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1_04C628B312BCDEA182C3DE15EAF2409DEC799086" xr6:coauthVersionLast="47" xr6:coauthVersionMax="47" xr10:uidLastSave="{00000000-0000-0000-0000-000000000000}"/>
  <bookViews>
    <workbookView xWindow="-108" yWindow="-108" windowWidth="23256" windowHeight="12456" activeTab="2" xr2:uid="{00000000-000D-0000-FFFF-FFFF00000000}"/>
  </bookViews>
  <sheets>
    <sheet name="README" sheetId="32" r:id="rId1"/>
    <sheet name="PowerLevel" sheetId="1" r:id="rId2"/>
    <sheet name="Roster" sheetId="31" r:id="rId3"/>
    <sheet name="Bat" sheetId="12" r:id="rId4"/>
    <sheet name="BlackKnight" sheetId="4" r:id="rId5"/>
    <sheet name="Crab" sheetId="13" r:id="rId6"/>
    <sheet name="EnemyRanger" sheetId="14" r:id="rId7"/>
    <sheet name="EvilKing" sheetId="5" r:id="rId8"/>
    <sheet name="EvilKnight" sheetId="6" r:id="rId9"/>
    <sheet name="EvilWizard" sheetId="7" r:id="rId10"/>
    <sheet name="EvilWizard2" sheetId="8" r:id="rId11"/>
    <sheet name="EvilWizard3" sheetId="9" r:id="rId12"/>
    <sheet name="FlyingEye" sheetId="15" r:id="rId13"/>
    <sheet name="Goblin" sheetId="16" r:id="rId14"/>
    <sheet name="Golem" sheetId="17" r:id="rId15"/>
    <sheet name="HeavyBandit" sheetId="18" r:id="rId16"/>
    <sheet name="LightBandit" sheetId="19" r:id="rId17"/>
    <sheet name="Mimic" sheetId="20" r:id="rId18"/>
    <sheet name="Mushroom" sheetId="21" r:id="rId19"/>
    <sheet name="Pebble" sheetId="22" r:id="rId20"/>
    <sheet name="PlagueRat" sheetId="23" r:id="rId21"/>
    <sheet name="Rat" sheetId="24" r:id="rId22"/>
    <sheet name="Reaper" sheetId="10" r:id="rId23"/>
    <sheet name="ReinforcedGolem" sheetId="11" r:id="rId24"/>
    <sheet name="Skeleton" sheetId="25" r:id="rId25"/>
    <sheet name="SkeletonAlly" sheetId="3" r:id="rId26"/>
    <sheet name="SkeletonWarrior" sheetId="26" r:id="rId27"/>
    <sheet name="Skull" sheetId="27" r:id="rId28"/>
    <sheet name="Slime" sheetId="28" r:id="rId29"/>
    <sheet name="SpikedSlime" sheetId="29" r:id="rId30"/>
    <sheet name="VampireBat" sheetId="30" r:id="rId31"/>
    <sheet name="Enums" sheetId="2" r:id="rId32"/>
  </sheets>
  <definedNames>
    <definedName name="_xlnm._FilterDatabase" localSheetId="2" hidden="1">Roster!$A$1:$Q$29</definedName>
    <definedName name="list_Bool">Enums!$E$2:$E$3</definedName>
    <definedName name="list_Brain">Enums!$A$2:$A$5</definedName>
    <definedName name="list_EnemyCard">Enums!$F$2:$F$48</definedName>
    <definedName name="list_Loot">Enums!$C$2:$C$14</definedName>
    <definedName name="list_Role">Enums!$D$2:$D$5</definedName>
    <definedName name="list_Targeting">Enums!$B$2:$B$9</definedName>
    <definedName name="pow_Bat">Bat!$B$16</definedName>
    <definedName name="pow_BlackKnight">BlackKnight!$B$16</definedName>
    <definedName name="pow_Crab">Crab!$B$16</definedName>
    <definedName name="pow_EnemyRanger">EnemyRanger!$B$16</definedName>
    <definedName name="pow_EvilKing">EvilKing!$B$16</definedName>
    <definedName name="pow_EvilKnight">EvilKnight!$B$16</definedName>
    <definedName name="pow_EvilWizard">EvilWizard!$B$16</definedName>
    <definedName name="pow_EvilWizard2">EvilWizard2!$B$16</definedName>
    <definedName name="pow_EvilWizard3">EvilWizard3!$B$16</definedName>
    <definedName name="pow_FlyingEye">FlyingEye!$B$16</definedName>
    <definedName name="pow_Goblin">Goblin!$B$16</definedName>
    <definedName name="pow_Golem">Golem!$B$16</definedName>
    <definedName name="pow_HeavyBandit">HeavyBandit!$B$16</definedName>
    <definedName name="pow_LightBandit">LightBandit!$B$16</definedName>
    <definedName name="pow_Mimic">Mimic!$B$16</definedName>
    <definedName name="pow_Mushroom">Mushroom!$B$16</definedName>
    <definedName name="pow_Pebble">Pebble!$B$16</definedName>
    <definedName name="pow_PlagueRat">PlagueRat!$B$16</definedName>
    <definedName name="pow_Rat">Rat!$B$16</definedName>
    <definedName name="pow_Reaper">Reaper!$B$16</definedName>
    <definedName name="pow_ReinforcedGolem">ReinforcedGolem!$B$16</definedName>
    <definedName name="pow_Skeleton">Skeleton!$B$16</definedName>
    <definedName name="pow_SkeletonAlly">SkeletonAlly!$B$16</definedName>
    <definedName name="pow_SkeletonWarrior">SkeletonWarrior!$B$16</definedName>
    <definedName name="pow_Skull">Skull!$B$16</definedName>
    <definedName name="pow_Slime">Slime!$B$16</definedName>
    <definedName name="pow_SpikedSlime">SpikedSlime!$B$16</definedName>
    <definedName name="pow_VampireBat">VampireBat!$B$16</definedName>
    <definedName name="pw_ActionScale">PowerLevel!$B$32</definedName>
    <definedName name="pw_Area">PowerLevel!$B$26</definedName>
    <definedName name="pw_Block">PowerLevel!$B$5</definedName>
    <definedName name="pw_Damage">PowerLevel!$B$2</definedName>
    <definedName name="pw_Divisor">PowerLevel!$B$9</definedName>
    <definedName name="pw_Dodge">PowerLevel!$B$15</definedName>
    <definedName name="pw_DoubleNextAttack">PowerLevel!$B$12</definedName>
    <definedName name="pw_DoubleShield">PowerLevel!$B$16</definedName>
    <definedName name="pw_Draw">PowerLevel!$B$28</definedName>
    <definedName name="pw_Energy">PowerLevel!$B$29</definedName>
    <definedName name="pw_Frozen">PowerLevel!$B$17</definedName>
    <definedName name="pw_Heal">PowerLevel!$B$10</definedName>
    <definedName name="pw_Health">PowerLevel!$B$8</definedName>
    <definedName name="pw_Horizon">PowerLevel!$B$27</definedName>
    <definedName name="pw_Move">PowerLevel!$B$7</definedName>
    <definedName name="pw_Parry">PowerLevel!$B$14</definedName>
    <definedName name="pw_Poison">PowerLevel!$B$3</definedName>
    <definedName name="pw_PoisonBlade">PowerLevel!$B$13</definedName>
    <definedName name="pw_Rooted">PowerLevel!$B$18</definedName>
    <definedName name="pw_SelfDamage">PowerLevel!$B$31</definedName>
    <definedName name="pw_Shield">PowerLevel!$B$4</definedName>
    <definedName name="pw_Stealth">PowerLevel!$B$22</definedName>
    <definedName name="pw_Strength">PowerLevel!$B$11</definedName>
    <definedName name="pw_Summon">PowerLevel!$B$23</definedName>
    <definedName name="pw_SummonHorizon">PowerLevel!$B$24</definedName>
    <definedName name="pw_Taunt">PowerLevel!$B$21</definedName>
    <definedName name="pw_Teleport">PowerLevel!$B$6</definedName>
    <definedName name="pw_TileEffect">PowerLevel!$B$30</definedName>
    <definedName name="pw_Tolerance">PowerLevel!$B$33</definedName>
    <definedName name="pw_TotemActivations">PowerLevel!$B$25</definedName>
    <definedName name="pw_Vulnerable">PowerLevel!$B$20</definedName>
    <definedName name="pw_Weaken">PowerLevel!$B$19</definedName>
    <definedName name="range_Power">PowerLevel!$A$38:$B$43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30" l="1"/>
  <c r="F54" i="30" s="1"/>
  <c r="F55" i="30" s="1"/>
  <c r="E33" i="30"/>
  <c r="E54" i="30" s="1"/>
  <c r="E55" i="30" s="1"/>
  <c r="D33" i="30"/>
  <c r="D54" i="30" s="1"/>
  <c r="D55" i="30" s="1"/>
  <c r="C33" i="30"/>
  <c r="C54" i="30" s="1"/>
  <c r="C55" i="30" s="1"/>
  <c r="B33" i="30"/>
  <c r="B54" i="30" s="1"/>
  <c r="B22" i="30"/>
  <c r="B20" i="30"/>
  <c r="B4" i="30"/>
  <c r="F54" i="29"/>
  <c r="F55" i="29" s="1"/>
  <c r="D54" i="29"/>
  <c r="D55" i="29" s="1"/>
  <c r="B54" i="29"/>
  <c r="F33" i="29"/>
  <c r="E33" i="29"/>
  <c r="E54" i="29" s="1"/>
  <c r="E55" i="29" s="1"/>
  <c r="D33" i="29"/>
  <c r="C33" i="29"/>
  <c r="C54" i="29" s="1"/>
  <c r="C55" i="29" s="1"/>
  <c r="B33" i="29"/>
  <c r="B22" i="29"/>
  <c r="B20" i="29"/>
  <c r="B4" i="29"/>
  <c r="B54" i="28"/>
  <c r="B55" i="28" s="1"/>
  <c r="B21" i="28" s="1"/>
  <c r="J27" i="31" s="1"/>
  <c r="F33" i="28"/>
  <c r="F54" i="28" s="1"/>
  <c r="F55" i="28" s="1"/>
  <c r="E33" i="28"/>
  <c r="E54" i="28" s="1"/>
  <c r="E55" i="28" s="1"/>
  <c r="D33" i="28"/>
  <c r="D54" i="28" s="1"/>
  <c r="D55" i="28" s="1"/>
  <c r="C33" i="28"/>
  <c r="C54" i="28" s="1"/>
  <c r="C55" i="28" s="1"/>
  <c r="B33" i="28"/>
  <c r="B22" i="28"/>
  <c r="B20" i="28"/>
  <c r="B4" i="28"/>
  <c r="E54" i="27"/>
  <c r="E55" i="27" s="1"/>
  <c r="D54" i="27"/>
  <c r="D55" i="27" s="1"/>
  <c r="B54" i="27"/>
  <c r="B19" i="27" s="1"/>
  <c r="F33" i="27"/>
  <c r="F54" i="27" s="1"/>
  <c r="F55" i="27" s="1"/>
  <c r="E33" i="27"/>
  <c r="D33" i="27"/>
  <c r="C33" i="27"/>
  <c r="C54" i="27" s="1"/>
  <c r="C55" i="27" s="1"/>
  <c r="B33" i="27"/>
  <c r="B22" i="27"/>
  <c r="B20" i="27"/>
  <c r="B4" i="27"/>
  <c r="F55" i="26"/>
  <c r="F54" i="26"/>
  <c r="D54" i="26"/>
  <c r="D55" i="26" s="1"/>
  <c r="F33" i="26"/>
  <c r="E33" i="26"/>
  <c r="E54" i="26" s="1"/>
  <c r="E55" i="26" s="1"/>
  <c r="D33" i="26"/>
  <c r="C33" i="26"/>
  <c r="C54" i="26" s="1"/>
  <c r="C55" i="26" s="1"/>
  <c r="B33" i="26"/>
  <c r="B54" i="26" s="1"/>
  <c r="B22" i="26"/>
  <c r="B20" i="26"/>
  <c r="I25" i="31" s="1"/>
  <c r="B4" i="26"/>
  <c r="E33" i="3"/>
  <c r="E54" i="3" s="1"/>
  <c r="E55" i="3" s="1"/>
  <c r="D33" i="3"/>
  <c r="D54" i="3" s="1"/>
  <c r="D55" i="3" s="1"/>
  <c r="C33" i="3"/>
  <c r="C54" i="3" s="1"/>
  <c r="C55" i="3" s="1"/>
  <c r="B33" i="3"/>
  <c r="B54" i="3" s="1"/>
  <c r="B22" i="3"/>
  <c r="B20" i="3"/>
  <c r="I24" i="31" s="1"/>
  <c r="B4" i="3"/>
  <c r="D54" i="25"/>
  <c r="D55" i="25" s="1"/>
  <c r="C54" i="25"/>
  <c r="C55" i="25" s="1"/>
  <c r="F33" i="25"/>
  <c r="F54" i="25" s="1"/>
  <c r="F55" i="25" s="1"/>
  <c r="E33" i="25"/>
  <c r="E54" i="25" s="1"/>
  <c r="E55" i="25" s="1"/>
  <c r="D33" i="25"/>
  <c r="C33" i="25"/>
  <c r="B33" i="25"/>
  <c r="B54" i="25" s="1"/>
  <c r="B22" i="25"/>
  <c r="B20" i="25"/>
  <c r="B4" i="25"/>
  <c r="D55" i="11"/>
  <c r="G54" i="11"/>
  <c r="G55" i="11" s="1"/>
  <c r="D54" i="11"/>
  <c r="H33" i="11"/>
  <c r="H54" i="11" s="1"/>
  <c r="H55" i="11" s="1"/>
  <c r="G33" i="11"/>
  <c r="F33" i="11"/>
  <c r="E33" i="11"/>
  <c r="E54" i="11" s="1"/>
  <c r="E55" i="11" s="1"/>
  <c r="D33" i="11"/>
  <c r="C33" i="11"/>
  <c r="C54" i="11" s="1"/>
  <c r="C55" i="11" s="1"/>
  <c r="B33" i="11"/>
  <c r="B54" i="11" s="1"/>
  <c r="B22" i="11"/>
  <c r="B20" i="11"/>
  <c r="I22" i="31" s="1"/>
  <c r="B4" i="11"/>
  <c r="H54" i="10"/>
  <c r="H55" i="10" s="1"/>
  <c r="G54" i="10"/>
  <c r="G55" i="10" s="1"/>
  <c r="D54" i="10"/>
  <c r="D55" i="10" s="1"/>
  <c r="H33" i="10"/>
  <c r="G33" i="10"/>
  <c r="F33" i="10"/>
  <c r="E33" i="10"/>
  <c r="E54" i="10" s="1"/>
  <c r="E55" i="10" s="1"/>
  <c r="D33" i="10"/>
  <c r="C33" i="10"/>
  <c r="C54" i="10" s="1"/>
  <c r="C55" i="10" s="1"/>
  <c r="B33" i="10"/>
  <c r="B54" i="10" s="1"/>
  <c r="B22" i="10"/>
  <c r="B20" i="10"/>
  <c r="B4" i="10"/>
  <c r="D54" i="24"/>
  <c r="D55" i="24" s="1"/>
  <c r="C54" i="24"/>
  <c r="C55" i="24" s="1"/>
  <c r="F33" i="24"/>
  <c r="F54" i="24" s="1"/>
  <c r="F55" i="24" s="1"/>
  <c r="E33" i="24"/>
  <c r="E54" i="24" s="1"/>
  <c r="E55" i="24" s="1"/>
  <c r="D33" i="24"/>
  <c r="C33" i="24"/>
  <c r="B33" i="24"/>
  <c r="B54" i="24" s="1"/>
  <c r="B22" i="24"/>
  <c r="B20" i="24"/>
  <c r="B4" i="24"/>
  <c r="E55" i="23"/>
  <c r="F54" i="23"/>
  <c r="F55" i="23" s="1"/>
  <c r="E54" i="23"/>
  <c r="C54" i="23"/>
  <c r="C55" i="23" s="1"/>
  <c r="F33" i="23"/>
  <c r="E33" i="23"/>
  <c r="D33" i="23"/>
  <c r="D54" i="23" s="1"/>
  <c r="D55" i="23" s="1"/>
  <c r="C33" i="23"/>
  <c r="B33" i="23"/>
  <c r="B54" i="23" s="1"/>
  <c r="B22" i="23"/>
  <c r="B20" i="23"/>
  <c r="B4" i="23"/>
  <c r="F55" i="22"/>
  <c r="F54" i="22"/>
  <c r="C54" i="22"/>
  <c r="C55" i="22" s="1"/>
  <c r="F33" i="22"/>
  <c r="E33" i="22"/>
  <c r="E54" i="22" s="1"/>
  <c r="E55" i="22" s="1"/>
  <c r="D33" i="22"/>
  <c r="D54" i="22" s="1"/>
  <c r="D55" i="22" s="1"/>
  <c r="C33" i="22"/>
  <c r="B33" i="22"/>
  <c r="B54" i="22" s="1"/>
  <c r="B22" i="22"/>
  <c r="K18" i="31" s="1"/>
  <c r="B20" i="22"/>
  <c r="B4" i="22"/>
  <c r="F54" i="21"/>
  <c r="F55" i="21" s="1"/>
  <c r="E54" i="21"/>
  <c r="E55" i="21" s="1"/>
  <c r="C54" i="21"/>
  <c r="C55" i="21" s="1"/>
  <c r="B54" i="21"/>
  <c r="F33" i="21"/>
  <c r="E33" i="21"/>
  <c r="D33" i="21"/>
  <c r="D54" i="21" s="1"/>
  <c r="D55" i="21" s="1"/>
  <c r="C33" i="21"/>
  <c r="B33" i="21"/>
  <c r="B22" i="21"/>
  <c r="B20" i="21"/>
  <c r="I17" i="31" s="1"/>
  <c r="B4" i="21"/>
  <c r="B55" i="20"/>
  <c r="E54" i="20"/>
  <c r="E55" i="20" s="1"/>
  <c r="B54" i="20"/>
  <c r="F33" i="20"/>
  <c r="F54" i="20" s="1"/>
  <c r="F55" i="20" s="1"/>
  <c r="E33" i="20"/>
  <c r="D33" i="20"/>
  <c r="D54" i="20" s="1"/>
  <c r="D55" i="20" s="1"/>
  <c r="C33" i="20"/>
  <c r="C54" i="20" s="1"/>
  <c r="B33" i="20"/>
  <c r="B22" i="20"/>
  <c r="K16" i="31" s="1"/>
  <c r="B20" i="20"/>
  <c r="B4" i="20"/>
  <c r="E54" i="19"/>
  <c r="E55" i="19" s="1"/>
  <c r="B54" i="19"/>
  <c r="F33" i="19"/>
  <c r="F54" i="19" s="1"/>
  <c r="F55" i="19" s="1"/>
  <c r="E33" i="19"/>
  <c r="D33" i="19"/>
  <c r="D54" i="19" s="1"/>
  <c r="D55" i="19" s="1"/>
  <c r="C33" i="19"/>
  <c r="C54" i="19" s="1"/>
  <c r="C55" i="19" s="1"/>
  <c r="B33" i="19"/>
  <c r="B22" i="19"/>
  <c r="B20" i="19"/>
  <c r="B4" i="19"/>
  <c r="C55" i="18"/>
  <c r="E54" i="18"/>
  <c r="E55" i="18" s="1"/>
  <c r="D54" i="18"/>
  <c r="D55" i="18" s="1"/>
  <c r="C54" i="18"/>
  <c r="F33" i="18"/>
  <c r="F54" i="18" s="1"/>
  <c r="F55" i="18" s="1"/>
  <c r="E33" i="18"/>
  <c r="D33" i="18"/>
  <c r="C33" i="18"/>
  <c r="B33" i="18"/>
  <c r="B54" i="18" s="1"/>
  <c r="B22" i="18"/>
  <c r="B20" i="18"/>
  <c r="I14" i="31" s="1"/>
  <c r="B4" i="18"/>
  <c r="D55" i="17"/>
  <c r="D54" i="17"/>
  <c r="F33" i="17"/>
  <c r="F54" i="17" s="1"/>
  <c r="F55" i="17" s="1"/>
  <c r="E33" i="17"/>
  <c r="E54" i="17" s="1"/>
  <c r="E55" i="17" s="1"/>
  <c r="D33" i="17"/>
  <c r="C33" i="17"/>
  <c r="C54" i="17" s="1"/>
  <c r="C55" i="17" s="1"/>
  <c r="B33" i="17"/>
  <c r="B54" i="17" s="1"/>
  <c r="B22" i="17"/>
  <c r="B20" i="17"/>
  <c r="B4" i="17"/>
  <c r="C54" i="16"/>
  <c r="C55" i="16" s="1"/>
  <c r="F33" i="16"/>
  <c r="F54" i="16" s="1"/>
  <c r="F55" i="16" s="1"/>
  <c r="E33" i="16"/>
  <c r="E54" i="16" s="1"/>
  <c r="E55" i="16" s="1"/>
  <c r="D33" i="16"/>
  <c r="D54" i="16" s="1"/>
  <c r="D55" i="16" s="1"/>
  <c r="C33" i="16"/>
  <c r="B33" i="16"/>
  <c r="B54" i="16" s="1"/>
  <c r="B22" i="16"/>
  <c r="B20" i="16"/>
  <c r="B4" i="16"/>
  <c r="D55" i="15"/>
  <c r="F54" i="15"/>
  <c r="F55" i="15" s="1"/>
  <c r="E54" i="15"/>
  <c r="E55" i="15" s="1"/>
  <c r="D54" i="15"/>
  <c r="C54" i="15"/>
  <c r="C55" i="15" s="1"/>
  <c r="F33" i="15"/>
  <c r="E33" i="15"/>
  <c r="D33" i="15"/>
  <c r="C33" i="15"/>
  <c r="B33" i="15"/>
  <c r="B54" i="15" s="1"/>
  <c r="B22" i="15"/>
  <c r="B20" i="15"/>
  <c r="B4" i="15"/>
  <c r="D54" i="9"/>
  <c r="D55" i="9" s="1"/>
  <c r="C54" i="9"/>
  <c r="C55" i="9" s="1"/>
  <c r="H33" i="9"/>
  <c r="H54" i="9" s="1"/>
  <c r="H55" i="9" s="1"/>
  <c r="G33" i="9"/>
  <c r="G54" i="9" s="1"/>
  <c r="G55" i="9" s="1"/>
  <c r="F33" i="9"/>
  <c r="E33" i="9"/>
  <c r="E54" i="9" s="1"/>
  <c r="E55" i="9" s="1"/>
  <c r="D33" i="9"/>
  <c r="C33" i="9"/>
  <c r="B33" i="9"/>
  <c r="B54" i="9" s="1"/>
  <c r="B22" i="9"/>
  <c r="B20" i="9"/>
  <c r="B4" i="9"/>
  <c r="G55" i="8"/>
  <c r="C55" i="8"/>
  <c r="G54" i="8"/>
  <c r="C54" i="8"/>
  <c r="H33" i="8"/>
  <c r="H54" i="8" s="1"/>
  <c r="H55" i="8" s="1"/>
  <c r="G33" i="8"/>
  <c r="F33" i="8"/>
  <c r="E33" i="8"/>
  <c r="E54" i="8" s="1"/>
  <c r="E55" i="8" s="1"/>
  <c r="D33" i="8"/>
  <c r="D54" i="8" s="1"/>
  <c r="D55" i="8" s="1"/>
  <c r="C33" i="8"/>
  <c r="B33" i="8"/>
  <c r="B54" i="8" s="1"/>
  <c r="B22" i="8"/>
  <c r="B20" i="8"/>
  <c r="I9" i="31" s="1"/>
  <c r="B4" i="8"/>
  <c r="D55" i="7"/>
  <c r="G54" i="7"/>
  <c r="G55" i="7" s="1"/>
  <c r="D54" i="7"/>
  <c r="H33" i="7"/>
  <c r="H54" i="7" s="1"/>
  <c r="H55" i="7" s="1"/>
  <c r="G33" i="7"/>
  <c r="F33" i="7"/>
  <c r="E33" i="7"/>
  <c r="E54" i="7" s="1"/>
  <c r="E55" i="7" s="1"/>
  <c r="D33" i="7"/>
  <c r="C33" i="7"/>
  <c r="C54" i="7" s="1"/>
  <c r="C55" i="7" s="1"/>
  <c r="B33" i="7"/>
  <c r="B54" i="7" s="1"/>
  <c r="B22" i="7"/>
  <c r="K8" i="31" s="1"/>
  <c r="B20" i="7"/>
  <c r="I8" i="31" s="1"/>
  <c r="B4" i="7"/>
  <c r="H54" i="6"/>
  <c r="H55" i="6" s="1"/>
  <c r="G54" i="6"/>
  <c r="G55" i="6" s="1"/>
  <c r="D54" i="6"/>
  <c r="D55" i="6" s="1"/>
  <c r="H33" i="6"/>
  <c r="G33" i="6"/>
  <c r="F33" i="6"/>
  <c r="E33" i="6"/>
  <c r="E54" i="6" s="1"/>
  <c r="E55" i="6" s="1"/>
  <c r="D33" i="6"/>
  <c r="C33" i="6"/>
  <c r="C54" i="6" s="1"/>
  <c r="C55" i="6" s="1"/>
  <c r="B33" i="6"/>
  <c r="B54" i="6" s="1"/>
  <c r="B22" i="6"/>
  <c r="B20" i="6"/>
  <c r="I7" i="31" s="1"/>
  <c r="B4" i="6"/>
  <c r="H54" i="5"/>
  <c r="H55" i="5" s="1"/>
  <c r="G54" i="5"/>
  <c r="G55" i="5" s="1"/>
  <c r="E54" i="5"/>
  <c r="E55" i="5" s="1"/>
  <c r="D54" i="5"/>
  <c r="D55" i="5" s="1"/>
  <c r="C54" i="5"/>
  <c r="C55" i="5" s="1"/>
  <c r="H33" i="5"/>
  <c r="G33" i="5"/>
  <c r="F33" i="5"/>
  <c r="E33" i="5"/>
  <c r="D33" i="5"/>
  <c r="C33" i="5"/>
  <c r="B33" i="5"/>
  <c r="B54" i="5" s="1"/>
  <c r="B22" i="5"/>
  <c r="B20" i="5"/>
  <c r="I6" i="31" s="1"/>
  <c r="B4" i="5"/>
  <c r="D54" i="14"/>
  <c r="D55" i="14" s="1"/>
  <c r="F33" i="14"/>
  <c r="F54" i="14" s="1"/>
  <c r="F55" i="14" s="1"/>
  <c r="E33" i="14"/>
  <c r="E54" i="14" s="1"/>
  <c r="E55" i="14" s="1"/>
  <c r="D33" i="14"/>
  <c r="C33" i="14"/>
  <c r="C54" i="14" s="1"/>
  <c r="C55" i="14" s="1"/>
  <c r="B33" i="14"/>
  <c r="B54" i="14" s="1"/>
  <c r="B22" i="14"/>
  <c r="B20" i="14"/>
  <c r="B4" i="14"/>
  <c r="F54" i="13"/>
  <c r="F55" i="13" s="1"/>
  <c r="D54" i="13"/>
  <c r="D55" i="13" s="1"/>
  <c r="C54" i="13"/>
  <c r="C55" i="13" s="1"/>
  <c r="B54" i="13"/>
  <c r="B55" i="13" s="1"/>
  <c r="B21" i="13" s="1"/>
  <c r="J4" i="31" s="1"/>
  <c r="F33" i="13"/>
  <c r="E33" i="13"/>
  <c r="E54" i="13" s="1"/>
  <c r="E55" i="13" s="1"/>
  <c r="D33" i="13"/>
  <c r="C33" i="13"/>
  <c r="B33" i="13"/>
  <c r="B22" i="13"/>
  <c r="B20" i="13"/>
  <c r="B4" i="13"/>
  <c r="D55" i="4"/>
  <c r="F54" i="4"/>
  <c r="F55" i="4" s="1"/>
  <c r="D54" i="4"/>
  <c r="F33" i="4"/>
  <c r="E33" i="4"/>
  <c r="D33" i="4"/>
  <c r="C33" i="4"/>
  <c r="C54" i="4" s="1"/>
  <c r="C55" i="4" s="1"/>
  <c r="B33" i="4"/>
  <c r="B54" i="4" s="1"/>
  <c r="B22" i="4"/>
  <c r="B20" i="4"/>
  <c r="I3" i="31" s="1"/>
  <c r="B4" i="4"/>
  <c r="C54" i="12"/>
  <c r="C55" i="12" s="1"/>
  <c r="F33" i="12"/>
  <c r="F54" i="12" s="1"/>
  <c r="F55" i="12" s="1"/>
  <c r="E33" i="12"/>
  <c r="E54" i="12" s="1"/>
  <c r="E55" i="12" s="1"/>
  <c r="D33" i="12"/>
  <c r="D54" i="12" s="1"/>
  <c r="D55" i="12" s="1"/>
  <c r="C33" i="12"/>
  <c r="B33" i="12"/>
  <c r="B54" i="12" s="1"/>
  <c r="B22" i="12"/>
  <c r="B20" i="12"/>
  <c r="B4" i="12"/>
  <c r="O29" i="31"/>
  <c r="N29" i="31"/>
  <c r="K29" i="31"/>
  <c r="I29" i="31"/>
  <c r="G29" i="31"/>
  <c r="F29" i="31"/>
  <c r="E29" i="31"/>
  <c r="D29" i="31"/>
  <c r="C29" i="31"/>
  <c r="N28" i="31"/>
  <c r="O28" i="31" s="1"/>
  <c r="K28" i="31"/>
  <c r="I28" i="31"/>
  <c r="G28" i="31"/>
  <c r="F28" i="31"/>
  <c r="E28" i="31"/>
  <c r="D28" i="31"/>
  <c r="C28" i="31"/>
  <c r="N27" i="31"/>
  <c r="O27" i="31" s="1"/>
  <c r="K27" i="31"/>
  <c r="I27" i="31"/>
  <c r="G27" i="31"/>
  <c r="F27" i="31"/>
  <c r="E27" i="31"/>
  <c r="D27" i="31"/>
  <c r="C27" i="31"/>
  <c r="N26" i="31"/>
  <c r="O26" i="31" s="1"/>
  <c r="K26" i="31"/>
  <c r="I26" i="31"/>
  <c r="G26" i="31"/>
  <c r="F26" i="31"/>
  <c r="E26" i="31"/>
  <c r="D26" i="31"/>
  <c r="C26" i="31"/>
  <c r="N25" i="31"/>
  <c r="O25" i="31" s="1"/>
  <c r="K25" i="31"/>
  <c r="G25" i="31"/>
  <c r="F25" i="31"/>
  <c r="E25" i="31"/>
  <c r="D25" i="31"/>
  <c r="C25" i="31"/>
  <c r="O24" i="31"/>
  <c r="N24" i="31"/>
  <c r="K24" i="31"/>
  <c r="G24" i="31"/>
  <c r="F24" i="31"/>
  <c r="E24" i="31"/>
  <c r="D24" i="31"/>
  <c r="C24" i="31"/>
  <c r="O23" i="31"/>
  <c r="N23" i="31"/>
  <c r="K23" i="31"/>
  <c r="I23" i="31"/>
  <c r="G23" i="31"/>
  <c r="F23" i="31"/>
  <c r="E23" i="31"/>
  <c r="D23" i="31"/>
  <c r="C23" i="31"/>
  <c r="N22" i="31"/>
  <c r="O22" i="31" s="1"/>
  <c r="K22" i="31"/>
  <c r="G22" i="31"/>
  <c r="F22" i="31"/>
  <c r="E22" i="31"/>
  <c r="D22" i="31"/>
  <c r="C22" i="31"/>
  <c r="O21" i="31"/>
  <c r="N21" i="31"/>
  <c r="K21" i="31"/>
  <c r="I21" i="31"/>
  <c r="G21" i="31"/>
  <c r="F21" i="31"/>
  <c r="E21" i="31"/>
  <c r="D21" i="31"/>
  <c r="C21" i="31"/>
  <c r="N20" i="31"/>
  <c r="O20" i="31" s="1"/>
  <c r="K20" i="31"/>
  <c r="I20" i="31"/>
  <c r="G20" i="31"/>
  <c r="F20" i="31"/>
  <c r="E20" i="31"/>
  <c r="D20" i="31"/>
  <c r="C20" i="31"/>
  <c r="N19" i="31"/>
  <c r="O19" i="31" s="1"/>
  <c r="K19" i="31"/>
  <c r="I19" i="31"/>
  <c r="G19" i="31"/>
  <c r="F19" i="31"/>
  <c r="E19" i="31"/>
  <c r="D19" i="31"/>
  <c r="C19" i="31"/>
  <c r="N18" i="31"/>
  <c r="O18" i="31" s="1"/>
  <c r="I18" i="31"/>
  <c r="G18" i="31"/>
  <c r="F18" i="31"/>
  <c r="E18" i="31"/>
  <c r="D18" i="31"/>
  <c r="C18" i="31"/>
  <c r="N17" i="31"/>
  <c r="O17" i="31" s="1"/>
  <c r="K17" i="31"/>
  <c r="G17" i="31"/>
  <c r="F17" i="31"/>
  <c r="E17" i="31"/>
  <c r="D17" i="31"/>
  <c r="C17" i="31"/>
  <c r="O16" i="31"/>
  <c r="N16" i="31"/>
  <c r="I16" i="31"/>
  <c r="G16" i="31"/>
  <c r="F16" i="31"/>
  <c r="E16" i="31"/>
  <c r="D16" i="31"/>
  <c r="C16" i="31"/>
  <c r="O15" i="31"/>
  <c r="N15" i="31"/>
  <c r="K15" i="31"/>
  <c r="I15" i="31"/>
  <c r="G15" i="31"/>
  <c r="F15" i="31"/>
  <c r="E15" i="31"/>
  <c r="D15" i="31"/>
  <c r="C15" i="31"/>
  <c r="N14" i="31"/>
  <c r="O14" i="31" s="1"/>
  <c r="K14" i="31"/>
  <c r="G14" i="31"/>
  <c r="F14" i="31"/>
  <c r="E14" i="31"/>
  <c r="D14" i="31"/>
  <c r="C14" i="31"/>
  <c r="O13" i="31"/>
  <c r="N13" i="31"/>
  <c r="K13" i="31"/>
  <c r="I13" i="31"/>
  <c r="G13" i="31"/>
  <c r="F13" i="31"/>
  <c r="E13" i="31"/>
  <c r="D13" i="31"/>
  <c r="C13" i="31"/>
  <c r="N12" i="31"/>
  <c r="O12" i="31" s="1"/>
  <c r="K12" i="31"/>
  <c r="I12" i="31"/>
  <c r="G12" i="31"/>
  <c r="F12" i="31"/>
  <c r="E12" i="31"/>
  <c r="D12" i="31"/>
  <c r="C12" i="31"/>
  <c r="N11" i="31"/>
  <c r="O11" i="31" s="1"/>
  <c r="K11" i="31"/>
  <c r="I11" i="31"/>
  <c r="G11" i="31"/>
  <c r="F11" i="31"/>
  <c r="E11" i="31"/>
  <c r="D11" i="31"/>
  <c r="C11" i="31"/>
  <c r="N10" i="31"/>
  <c r="O10" i="31" s="1"/>
  <c r="K10" i="31"/>
  <c r="I10" i="31"/>
  <c r="G10" i="31"/>
  <c r="F10" i="31"/>
  <c r="E10" i="31"/>
  <c r="D10" i="31"/>
  <c r="C10" i="31"/>
  <c r="N9" i="31"/>
  <c r="O9" i="31" s="1"/>
  <c r="K9" i="31"/>
  <c r="G9" i="31"/>
  <c r="F9" i="31"/>
  <c r="E9" i="31"/>
  <c r="D9" i="31"/>
  <c r="C9" i="31"/>
  <c r="O8" i="31"/>
  <c r="N8" i="31"/>
  <c r="G8" i="31"/>
  <c r="F8" i="31"/>
  <c r="E8" i="31"/>
  <c r="D8" i="31"/>
  <c r="C8" i="31"/>
  <c r="O7" i="31"/>
  <c r="N7" i="31"/>
  <c r="K7" i="31"/>
  <c r="G7" i="31"/>
  <c r="F7" i="31"/>
  <c r="E7" i="31"/>
  <c r="D7" i="31"/>
  <c r="C7" i="31"/>
  <c r="N6" i="31"/>
  <c r="O6" i="31" s="1"/>
  <c r="K6" i="31"/>
  <c r="G6" i="31"/>
  <c r="F6" i="31"/>
  <c r="E6" i="31"/>
  <c r="D6" i="31"/>
  <c r="C6" i="31"/>
  <c r="O5" i="31"/>
  <c r="N5" i="31"/>
  <c r="K5" i="31"/>
  <c r="I5" i="31"/>
  <c r="G5" i="31"/>
  <c r="F5" i="31"/>
  <c r="E5" i="31"/>
  <c r="D5" i="31"/>
  <c r="C5" i="31"/>
  <c r="N4" i="31"/>
  <c r="O4" i="31" s="1"/>
  <c r="K4" i="31"/>
  <c r="I4" i="31"/>
  <c r="G4" i="31"/>
  <c r="F4" i="31"/>
  <c r="E4" i="31"/>
  <c r="D4" i="31"/>
  <c r="C4" i="31"/>
  <c r="N3" i="31"/>
  <c r="O3" i="31" s="1"/>
  <c r="K3" i="31"/>
  <c r="G3" i="31"/>
  <c r="F3" i="31"/>
  <c r="E3" i="31"/>
  <c r="D3" i="31"/>
  <c r="C3" i="31"/>
  <c r="N2" i="31"/>
  <c r="O2" i="31" s="1"/>
  <c r="K2" i="31"/>
  <c r="I2" i="31"/>
  <c r="G2" i="31"/>
  <c r="F2" i="31"/>
  <c r="E2" i="31"/>
  <c r="D2" i="31"/>
  <c r="C2" i="31"/>
  <c r="B19" i="23" l="1"/>
  <c r="B55" i="23"/>
  <c r="B21" i="23" s="1"/>
  <c r="J19" i="31" s="1"/>
  <c r="B19" i="25"/>
  <c r="B55" i="25"/>
  <c r="B21" i="25" s="1"/>
  <c r="J23" i="31" s="1"/>
  <c r="B19" i="11"/>
  <c r="B55" i="11"/>
  <c r="B21" i="11" s="1"/>
  <c r="J22" i="31" s="1"/>
  <c r="B55" i="6"/>
  <c r="B21" i="6" s="1"/>
  <c r="J7" i="31" s="1"/>
  <c r="B19" i="6"/>
  <c r="B19" i="16"/>
  <c r="B55" i="16"/>
  <c r="B21" i="16" s="1"/>
  <c r="J12" i="31" s="1"/>
  <c r="B55" i="22"/>
  <c r="B21" i="22" s="1"/>
  <c r="J18" i="31" s="1"/>
  <c r="B19" i="22"/>
  <c r="B19" i="29"/>
  <c r="B19" i="4"/>
  <c r="B55" i="4"/>
  <c r="B21" i="4" s="1"/>
  <c r="J3" i="31" s="1"/>
  <c r="B55" i="10"/>
  <c r="B21" i="10" s="1"/>
  <c r="J21" i="31" s="1"/>
  <c r="B19" i="10"/>
  <c r="B16" i="27"/>
  <c r="L26" i="31"/>
  <c r="B19" i="18"/>
  <c r="B55" i="18"/>
  <c r="B21" i="18" s="1"/>
  <c r="J14" i="31" s="1"/>
  <c r="B19" i="19"/>
  <c r="B55" i="5"/>
  <c r="B21" i="5" s="1"/>
  <c r="J6" i="31" s="1"/>
  <c r="B19" i="5"/>
  <c r="B55" i="3"/>
  <c r="B21" i="3" s="1"/>
  <c r="J24" i="31" s="1"/>
  <c r="B19" i="3"/>
  <c r="B55" i="15"/>
  <c r="B21" i="15" s="1"/>
  <c r="J11" i="31" s="1"/>
  <c r="B19" i="15"/>
  <c r="B19" i="30"/>
  <c r="B55" i="30"/>
  <c r="B21" i="30" s="1"/>
  <c r="J29" i="31" s="1"/>
  <c r="B19" i="12"/>
  <c r="B55" i="12"/>
  <c r="B21" i="12" s="1"/>
  <c r="J2" i="31" s="1"/>
  <c r="B19" i="24"/>
  <c r="B55" i="24"/>
  <c r="B21" i="24" s="1"/>
  <c r="J20" i="31" s="1"/>
  <c r="B55" i="26"/>
  <c r="B21" i="26" s="1"/>
  <c r="J25" i="31" s="1"/>
  <c r="B19" i="26"/>
  <c r="B19" i="9"/>
  <c r="B55" i="9"/>
  <c r="B21" i="9" s="1"/>
  <c r="J10" i="31" s="1"/>
  <c r="B19" i="7"/>
  <c r="B55" i="7"/>
  <c r="B21" i="7" s="1"/>
  <c r="J8" i="31" s="1"/>
  <c r="B19" i="14"/>
  <c r="B55" i="14"/>
  <c r="B21" i="14" s="1"/>
  <c r="J5" i="31" s="1"/>
  <c r="B55" i="8"/>
  <c r="B21" i="8" s="1"/>
  <c r="J9" i="31" s="1"/>
  <c r="B19" i="8"/>
  <c r="B19" i="17"/>
  <c r="B55" i="17"/>
  <c r="B21" i="17" s="1"/>
  <c r="J13" i="31" s="1"/>
  <c r="B19" i="21"/>
  <c r="B19" i="20"/>
  <c r="C55" i="20"/>
  <c r="B21" i="20" s="1"/>
  <c r="J16" i="31" s="1"/>
  <c r="B19" i="28"/>
  <c r="B55" i="29"/>
  <c r="B21" i="29" s="1"/>
  <c r="J28" i="31" s="1"/>
  <c r="B55" i="21"/>
  <c r="B21" i="21" s="1"/>
  <c r="J17" i="31" s="1"/>
  <c r="B55" i="27"/>
  <c r="B21" i="27" s="1"/>
  <c r="J26" i="31" s="1"/>
  <c r="B55" i="19"/>
  <c r="B21" i="19" s="1"/>
  <c r="J15" i="31" s="1"/>
  <c r="B19" i="13"/>
  <c r="L24" i="31" l="1"/>
  <c r="B16" i="3"/>
  <c r="B16" i="29"/>
  <c r="L28" i="31"/>
  <c r="L3" i="31"/>
  <c r="B16" i="4"/>
  <c r="B16" i="7"/>
  <c r="L8" i="31"/>
  <c r="B16" i="5"/>
  <c r="L6" i="31"/>
  <c r="B16" i="22"/>
  <c r="L18" i="31"/>
  <c r="B16" i="16"/>
  <c r="L12" i="31"/>
  <c r="B16" i="13"/>
  <c r="L4" i="31"/>
  <c r="L7" i="31"/>
  <c r="B16" i="6"/>
  <c r="B16" i="18"/>
  <c r="L14" i="31"/>
  <c r="B16" i="26"/>
  <c r="L25" i="31"/>
  <c r="L16" i="31"/>
  <c r="B16" i="20"/>
  <c r="B16" i="11"/>
  <c r="L22" i="31"/>
  <c r="L10" i="31"/>
  <c r="B16" i="9"/>
  <c r="B17" i="27"/>
  <c r="P26" i="31" s="1"/>
  <c r="Q26" i="31" s="1"/>
  <c r="M26" i="31"/>
  <c r="L17" i="31"/>
  <c r="B16" i="21"/>
  <c r="L23" i="31"/>
  <c r="B16" i="25"/>
  <c r="B16" i="14"/>
  <c r="L5" i="31"/>
  <c r="L2" i="31"/>
  <c r="B16" i="12"/>
  <c r="L13" i="31"/>
  <c r="B16" i="17"/>
  <c r="L21" i="31"/>
  <c r="B16" i="10"/>
  <c r="L15" i="31"/>
  <c r="B16" i="19"/>
  <c r="B16" i="28"/>
  <c r="L27" i="31"/>
  <c r="B16" i="24"/>
  <c r="L20" i="31"/>
  <c r="B16" i="30"/>
  <c r="L29" i="31"/>
  <c r="L9" i="31"/>
  <c r="B16" i="8"/>
  <c r="L11" i="31"/>
  <c r="B16" i="15"/>
  <c r="L19" i="31"/>
  <c r="B16" i="23"/>
  <c r="M17" i="31" l="1"/>
  <c r="B17" i="21"/>
  <c r="P17" i="31" s="1"/>
  <c r="Q17" i="31" s="1"/>
  <c r="M4" i="31"/>
  <c r="B17" i="13"/>
  <c r="P4" i="31" s="1"/>
  <c r="Q4" i="31" s="1"/>
  <c r="M10" i="31"/>
  <c r="B17" i="9"/>
  <c r="P10" i="31" s="1"/>
  <c r="Q10" i="31" s="1"/>
  <c r="M19" i="31"/>
  <c r="B17" i="23"/>
  <c r="P19" i="31" s="1"/>
  <c r="Q19" i="31" s="1"/>
  <c r="B17" i="19"/>
  <c r="P15" i="31" s="1"/>
  <c r="Q15" i="31" s="1"/>
  <c r="M15" i="31"/>
  <c r="F52" i="5"/>
  <c r="F54" i="5" s="1"/>
  <c r="F55" i="5" s="1"/>
  <c r="B17" i="7"/>
  <c r="P8" i="31" s="1"/>
  <c r="Q8" i="31" s="1"/>
  <c r="M8" i="31"/>
  <c r="M3" i="31"/>
  <c r="B17" i="4"/>
  <c r="P3" i="31" s="1"/>
  <c r="Q3" i="31" s="1"/>
  <c r="F52" i="9"/>
  <c r="F54" i="9" s="1"/>
  <c r="F55" i="9" s="1"/>
  <c r="M27" i="31"/>
  <c r="B17" i="28"/>
  <c r="P27" i="31" s="1"/>
  <c r="Q27" i="31" s="1"/>
  <c r="B17" i="5"/>
  <c r="P6" i="31" s="1"/>
  <c r="M6" i="31"/>
  <c r="M25" i="31"/>
  <c r="B17" i="26"/>
  <c r="P25" i="31" s="1"/>
  <c r="Q25" i="31" s="1"/>
  <c r="M11" i="31"/>
  <c r="B17" i="15"/>
  <c r="P11" i="31" s="1"/>
  <c r="Q11" i="31" s="1"/>
  <c r="M21" i="31"/>
  <c r="B17" i="10"/>
  <c r="P21" i="31" s="1"/>
  <c r="Q21" i="31" s="1"/>
  <c r="M16" i="31"/>
  <c r="B17" i="20"/>
  <c r="P16" i="31" s="1"/>
  <c r="Q16" i="31" s="1"/>
  <c r="B17" i="14"/>
  <c r="P5" i="31" s="1"/>
  <c r="Q5" i="31" s="1"/>
  <c r="M5" i="31"/>
  <c r="F52" i="6"/>
  <c r="F54" i="6" s="1"/>
  <c r="F55" i="6" s="1"/>
  <c r="B17" i="18"/>
  <c r="P14" i="31" s="1"/>
  <c r="Q14" i="31" s="1"/>
  <c r="M14" i="31"/>
  <c r="M28" i="31"/>
  <c r="B17" i="29"/>
  <c r="P28" i="31" s="1"/>
  <c r="Q28" i="31" s="1"/>
  <c r="B17" i="16"/>
  <c r="P12" i="31" s="1"/>
  <c r="F52" i="7"/>
  <c r="F54" i="7" s="1"/>
  <c r="F55" i="7" s="1"/>
  <c r="M12" i="31"/>
  <c r="B17" i="11"/>
  <c r="P22" i="31" s="1"/>
  <c r="Q22" i="31" s="1"/>
  <c r="M22" i="31"/>
  <c r="F52" i="8"/>
  <c r="F54" i="8" s="1"/>
  <c r="F55" i="8" s="1"/>
  <c r="B17" i="12"/>
  <c r="P2" i="31" s="1"/>
  <c r="M2" i="31"/>
  <c r="M7" i="31"/>
  <c r="B17" i="6"/>
  <c r="P7" i="31" s="1"/>
  <c r="Q7" i="31" s="1"/>
  <c r="M24" i="31"/>
  <c r="B17" i="3"/>
  <c r="P24" i="31" s="1"/>
  <c r="Q24" i="31" s="1"/>
  <c r="B17" i="24"/>
  <c r="P20" i="31" s="1"/>
  <c r="Q20" i="31" s="1"/>
  <c r="M20" i="31"/>
  <c r="B17" i="22"/>
  <c r="P18" i="31" s="1"/>
  <c r="F52" i="11"/>
  <c r="F54" i="11" s="1"/>
  <c r="F55" i="11" s="1"/>
  <c r="M18" i="31"/>
  <c r="M13" i="31"/>
  <c r="B17" i="17"/>
  <c r="P13" i="31" s="1"/>
  <c r="Q13" i="31" s="1"/>
  <c r="M9" i="31"/>
  <c r="B17" i="8"/>
  <c r="P9" i="31" s="1"/>
  <c r="Q9" i="31" s="1"/>
  <c r="F52" i="10"/>
  <c r="F54" i="10" s="1"/>
  <c r="F55" i="10" s="1"/>
  <c r="E52" i="4"/>
  <c r="E54" i="4" s="1"/>
  <c r="E55" i="4" s="1"/>
  <c r="B17" i="25"/>
  <c r="P23" i="31" s="1"/>
  <c r="Q23" i="31" s="1"/>
  <c r="M23" i="31"/>
  <c r="B17" i="30"/>
  <c r="P29" i="31" s="1"/>
  <c r="Q29" i="31" s="1"/>
  <c r="M29" i="31"/>
  <c r="Q2" i="31" l="1"/>
  <c r="Q12" i="31"/>
  <c r="Q6" i="31"/>
  <c r="Q18" i="31"/>
</calcChain>
</file>

<file path=xl/sharedStrings.xml><?xml version="1.0" encoding="utf-8"?>
<sst xmlns="http://schemas.openxmlformats.org/spreadsheetml/2006/main" count="2384" uniqueCount="345">
  <si>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</si>
  <si>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</si>
  <si>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</si>
  <si>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</si>
  <si>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</si>
  <si>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</si>
  <si>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</si>
  <si>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</si>
  <si>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</si>
  <si>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</si>
  <si>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</si>
  <si>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</si>
  <si>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</si>
  <si>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</si>
  <si>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</si>
  <si>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</si>
  <si>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</si>
  <si>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</si>
  <si>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</si>
  <si>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</si>
  <si>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</si>
  <si>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</si>
  <si>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</si>
  <si>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</si>
  <si>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</si>
  <si>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</si>
  <si>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</si>
  <si>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</si>
  <si>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</si>
  <si>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</si>
  <si>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</si>
  <si>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</si>
  <si>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</si>
  <si>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</si>
  <si>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</si>
  <si>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</si>
  <si>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</si>
  <si>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</si>
  <si>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</si>
  <si>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</si>
  <si>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</si>
  <si>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</si>
  <si>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</si>
  <si>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</si>
  <si>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</si>
  <si>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</si>
  <si>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</si>
  <si>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</si>
  <si>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</si>
  <si>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</si>
  <si>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</si>
  <si>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</si>
  <si>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</si>
  <si>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</si>
  <si>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</si>
  <si>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</si>
  <si>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</si>
  <si>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</si>
  <si>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</si>
  <si>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</si>
  <si>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</si>
  <si>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</si>
  <si>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</si>
  <si>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</si>
  <si>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</si>
  <si>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</si>
  <si>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</si>
  <si>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</si>
  <si>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Range Power</t>
  </si>
  <si>
    <t>Range</t>
  </si>
  <si>
    <t>Power</t>
  </si>
  <si>
    <t>Looked up by nearest Range at or below a card's own Range Max - add a row for a new value; anything past the last row scores the same as it.</t>
  </si>
  <si>
    <t>Brain</t>
  </si>
  <si>
    <t>Targeting</t>
  </si>
  <si>
    <t>Loot</t>
  </si>
  <si>
    <t>Role</t>
  </si>
  <si>
    <t>Bool</t>
  </si>
  <si>
    <t>EnemyCard</t>
  </si>
  <si>
    <t>Drives the dropdowns on every body tab. Regenerated on every export.</t>
  </si>
  <si>
    <t>None</t>
  </si>
  <si>
    <t/>
  </si>
  <si>
    <t>Yes</t>
  </si>
  <si>
    <t>ArcaneLance</t>
  </si>
  <si>
    <t>Warrior</t>
  </si>
  <si>
    <t>Closest</t>
  </si>
  <si>
    <t>BlackKnightDrop</t>
  </si>
  <si>
    <t>Frontline</t>
  </si>
  <si>
    <t>No</t>
  </si>
  <si>
    <t>Backstab</t>
  </si>
  <si>
    <t>Ranger</t>
  </si>
  <si>
    <t>Furthest</t>
  </si>
  <si>
    <t>EarlyGame</t>
  </si>
  <si>
    <t>Backline</t>
  </si>
  <si>
    <t>BlackGuard</t>
  </si>
  <si>
    <t>Summoner</t>
  </si>
  <si>
    <t>Random</t>
  </si>
  <si>
    <t>EarlyLevelReward</t>
  </si>
  <si>
    <t>Both</t>
  </si>
  <si>
    <t>BoneBulwark</t>
  </si>
  <si>
    <t>RangerTargeting</t>
  </si>
  <si>
    <t>EvilKingDrop</t>
  </si>
  <si>
    <t>BoneChill</t>
  </si>
  <si>
    <t>Strongest</t>
  </si>
  <si>
    <t>EvilKnightDrop</t>
  </si>
  <si>
    <t>BoulderSmash</t>
  </si>
  <si>
    <t>WarriorTargeting</t>
  </si>
  <si>
    <t>EvilWizard2Drop</t>
  </si>
  <si>
    <t>CallReinforcements</t>
  </si>
  <si>
    <t>Weakest</t>
  </si>
  <si>
    <t>EvilWizard3Drop</t>
  </si>
  <si>
    <t>CallTheDamned</t>
  </si>
  <si>
    <t>EvilWizardDrop</t>
  </si>
  <si>
    <t>CallTheSwarm</t>
  </si>
  <si>
    <t>PoisonSkeleton</t>
  </si>
  <si>
    <t>Chomp</t>
  </si>
  <si>
    <t>ReaperDrop</t>
  </si>
  <si>
    <t>ConjureOoze</t>
  </si>
  <si>
    <t>ReinforcedGolemDrop</t>
  </si>
  <si>
    <t>DarkBolt</t>
  </si>
  <si>
    <t>TutorialSapDrop</t>
  </si>
  <si>
    <t>DeathsToll</t>
  </si>
  <si>
    <t>DrainBite</t>
  </si>
  <si>
    <t>DreadCleave</t>
  </si>
  <si>
    <t>EmberShroud</t>
  </si>
  <si>
    <t>EnemyArrow</t>
  </si>
  <si>
    <t>EnemySlash</t>
  </si>
  <si>
    <t>Engulf</t>
  </si>
  <si>
    <t>ExecutionersBlow</t>
  </si>
  <si>
    <t>Gnaw</t>
  </si>
  <si>
    <t>HeavySwing</t>
  </si>
  <si>
    <t>LifeLeech</t>
  </si>
  <si>
    <t>MeteorFall</t>
  </si>
  <si>
    <t>MoveInnate</t>
  </si>
  <si>
    <t>PincerGrip</t>
  </si>
  <si>
    <t>PlagueBite</t>
  </si>
  <si>
    <t>QuickCut</t>
  </si>
  <si>
    <t>RaiseDead</t>
  </si>
  <si>
    <t>Rally</t>
  </si>
  <si>
    <t>Riposte</t>
  </si>
  <si>
    <t>Roll</t>
  </si>
  <si>
    <t>RoyalCommand</t>
  </si>
  <si>
    <t>RoyalGuard</t>
  </si>
  <si>
    <t>SeismicSlam</t>
  </si>
  <si>
    <t>ShadowWard</t>
  </si>
  <si>
    <t>ShieldBash</t>
  </si>
  <si>
    <t>Slash+</t>
  </si>
  <si>
    <t>SoulReap</t>
  </si>
  <si>
    <t>SpikeBurst</t>
  </si>
  <si>
    <t>SplinterOff</t>
  </si>
  <si>
    <t>SporeCloud</t>
  </si>
  <si>
    <t>StoneSkin</t>
  </si>
  <si>
    <t>SummonImp</t>
  </si>
  <si>
    <t>SummonSkeletonWarrior</t>
  </si>
  <si>
    <t>VoidBarrier</t>
  </si>
  <si>
    <t>WitheringGaze</t>
  </si>
  <si>
    <t>Enemy Name</t>
  </si>
  <si>
    <t>SkeletonAlly</t>
  </si>
  <si>
    <t>Boss</t>
  </si>
  <si>
    <t>GUID</t>
  </si>
  <si>
    <t>eaade4b777fd45447af03588cf3692e5</t>
  </si>
  <si>
    <t>Sync</t>
  </si>
  <si>
    <t>Stats (synced to Unity)</t>
  </si>
  <si>
    <t>Display Name</t>
  </si>
  <si>
    <t>Skeleton</t>
  </si>
  <si>
    <t>Health</t>
  </si>
  <si>
    <t>Actions Per Turn</t>
  </si>
  <si>
    <t>Loot Table</t>
  </si>
  <si>
    <t>Brandon's Power Level</t>
  </si>
  <si>
    <t>Estimated Power Level</t>
  </si>
  <si>
    <t>Delta (Estimated - Brandon's)</t>
  </si>
  <si>
    <t>Average Card Power</t>
  </si>
  <si>
    <t>Average Damage</t>
  </si>
  <si>
    <t>Average Status Power</t>
  </si>
  <si>
    <t>Average Summon Power</t>
  </si>
  <si>
    <t>Deck</t>
  </si>
  <si>
    <t>Actions from Card</t>
  </si>
  <si>
    <t>5 damage</t>
  </si>
  <si>
    <t>Move 1</t>
  </si>
  <si>
    <t>Counted</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</si>
  <si>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</si>
  <si>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</si>
  <si>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</si>
  <si>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</si>
  <si>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</si>
  <si>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</si>
  <si>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</si>
  <si>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</si>
  <si>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</si>
  <si>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</si>
  <si>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</si>
  <si>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</si>
  <si>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</si>
  <si>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</si>
  <si>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</si>
  <si>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</si>
  <si>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</si>
  <si>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</si>
  <si>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</si>
  <si>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</si>
  <si>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</si>
  <si>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</si>
  <si>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</si>
  <si>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</si>
  <si>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</si>
  <si>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</si>
  <si>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</si>
  <si>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</si>
  <si>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BlackKnight</t>
  </si>
  <si>
    <t>fae9e0d8df06f744cb3eed28f98bb54f</t>
  </si>
  <si>
    <t>Black Knight</t>
  </si>
  <si>
    <t>8 damage</t>
  </si>
  <si>
    <t>5 damage, Shield 10</t>
  </si>
  <si>
    <t>Summon</t>
  </si>
  <si>
    <t>EvilKing</t>
  </si>
  <si>
    <t>e58fd978e913eea4699c373a33b5e08b</t>
  </si>
  <si>
    <t>Evil King</t>
  </si>
  <si>
    <t>9 damage</t>
  </si>
  <si>
    <t>EvilKnight</t>
  </si>
  <si>
    <t>e6c2dbc2feb811c4dbfea4d90220a6a5</t>
  </si>
  <si>
    <t>Evil Knight</t>
  </si>
  <si>
    <t>6 damage, Parry x1</t>
  </si>
  <si>
    <t>4 damage, Shield 10</t>
  </si>
  <si>
    <t>EvilWizard</t>
  </si>
  <si>
    <t>51a9fe976e746be4385a09a12bb4cc36</t>
  </si>
  <si>
    <t>Evil Wizard</t>
  </si>
  <si>
    <t>3 damage, Shield 7</t>
  </si>
  <si>
    <t>EvilWizard2</t>
  </si>
  <si>
    <t>8a02da994bf78784c901145a07a767e4</t>
  </si>
  <si>
    <t>Dread Sorcerer</t>
  </si>
  <si>
    <t>6 damage</t>
  </si>
  <si>
    <t>3 damage, Block x4</t>
  </si>
  <si>
    <t>EvilWizard3</t>
  </si>
  <si>
    <t>e47742cc0b6bff34d80516b86f0ed93e</t>
  </si>
  <si>
    <t>Emberlord</t>
  </si>
  <si>
    <t>4 damage, Shield 7</t>
  </si>
  <si>
    <t>Reaper</t>
  </si>
  <si>
    <t>f5f2a9fce9bdff34a958576185c3c68b</t>
  </si>
  <si>
    <t>6 damage, Heal 5</t>
  </si>
  <si>
    <t>4 damage, Vulnerable 1</t>
  </si>
  <si>
    <t>ReinforcedGolem</t>
  </si>
  <si>
    <t>8d47800381e9665459f3b0826adf6b76</t>
  </si>
  <si>
    <t>Reinforced Golem</t>
  </si>
  <si>
    <t>7 damage</t>
  </si>
  <si>
    <t>Bat</t>
  </si>
  <si>
    <t>51cc0c0b40e7b264ebdf1dc4594559a6</t>
  </si>
  <si>
    <t>2 damage, Heal 3</t>
  </si>
  <si>
    <t>Crab</t>
  </si>
  <si>
    <t>f80d9dc6173669245bd4782952cd1667</t>
  </si>
  <si>
    <t>4 damage, Block x2</t>
  </si>
  <si>
    <t>EnemyRanger</t>
  </si>
  <si>
    <t>e40f592bea6dbd64693626dad514798b</t>
  </si>
  <si>
    <t>3 damage</t>
  </si>
  <si>
    <t>FlyingEye</t>
  </si>
  <si>
    <t>158567c6103052b45a79feac134a4c3b</t>
  </si>
  <si>
    <t>Flying Eye</t>
  </si>
  <si>
    <t>Goblin</t>
  </si>
  <si>
    <t>fe7fe8169a3ae3f4ab1463af48263a1a</t>
  </si>
  <si>
    <t>4 damage</t>
  </si>
  <si>
    <t>Golem</t>
  </si>
  <si>
    <t>5bdb828176c88144986e3b367ffda1b4</t>
  </si>
  <si>
    <t>HeavyBandit</t>
  </si>
  <si>
    <t>abb6f217c283d344999e3f27fa36640f</t>
  </si>
  <si>
    <t>Heavy Bandit</t>
  </si>
  <si>
    <t>LightBandit</t>
  </si>
  <si>
    <t>df52b2ab92f38fd4eb6d6064e8197a56</t>
  </si>
  <si>
    <t>Light Bandit</t>
  </si>
  <si>
    <t>3 damage, Weaken 1</t>
  </si>
  <si>
    <t>Mimic</t>
  </si>
  <si>
    <t>022c86b9aa20aaf44806e866dd6d8971</t>
  </si>
  <si>
    <t>Mushroom</t>
  </si>
  <si>
    <t>f04aa7787f30bab4a96433807a0f06a5</t>
  </si>
  <si>
    <t>Poison 3</t>
  </si>
  <si>
    <t>Pebble</t>
  </si>
  <si>
    <t>cffb630e9ce4c0f4798ae3e294d1d8e8</t>
  </si>
  <si>
    <t>2 damage</t>
  </si>
  <si>
    <t>PlagueRat</t>
  </si>
  <si>
    <t>37960ead296e23e4ca189530884917c3</t>
  </si>
  <si>
    <t>Plague Rat</t>
  </si>
  <si>
    <t>2 damage, Poison 3</t>
  </si>
  <si>
    <t>Rat</t>
  </si>
  <si>
    <t>b9a57d66ac78e19468a62c235ce3e746</t>
  </si>
  <si>
    <t>2 damage, Poison 2</t>
  </si>
  <si>
    <t>909b3cba860296d47997ee7846ec93f8</t>
  </si>
  <si>
    <t>3 damage, Shield 5</t>
  </si>
  <si>
    <t>SkeletonWarrior</t>
  </si>
  <si>
    <t>d1b7793de9d268945bdf70cf0af39a94</t>
  </si>
  <si>
    <t>Skeleton Warrior</t>
  </si>
  <si>
    <t>Skull</t>
  </si>
  <si>
    <t>40cab8c86b3615741ac4bc8db8156b37</t>
  </si>
  <si>
    <t>3 damage, Vulnerable 1</t>
  </si>
  <si>
    <t>Slime</t>
  </si>
  <si>
    <t>7902e6bd6fe8b444eab36cf00a8771be</t>
  </si>
  <si>
    <t>3 damage, Root 1t</t>
  </si>
  <si>
    <t>SpikedSlime</t>
  </si>
  <si>
    <t>a759c0567adbde54f8e686c473b037cd</t>
  </si>
  <si>
    <t>Spiked Slime</t>
  </si>
  <si>
    <t>VampireBat</t>
  </si>
  <si>
    <t>e2566430033deb14c9d648e67fdf80e4</t>
  </si>
  <si>
    <t>Vampire Bat</t>
  </si>
  <si>
    <t>3 damage, Heal 3</t>
  </si>
  <si>
    <t>Name</t>
  </si>
  <si>
    <t>Actions</t>
  </si>
  <si>
    <t>Deck Size</t>
  </si>
  <si>
    <t>Avg Damage</t>
  </si>
  <si>
    <t>Avg Status</t>
  </si>
  <si>
    <t>Avg Summon</t>
  </si>
  <si>
    <t>Avg Card Power</t>
  </si>
  <si>
    <t>Estimated</t>
  </si>
  <si>
    <t>Brandon's</t>
  </si>
  <si>
    <t>Effective Power</t>
  </si>
  <si>
    <t>Delta</t>
  </si>
  <si>
    <t>Flag</t>
  </si>
  <si>
    <t>Enemy Design Workbook</t>
  </si>
  <si>
    <t>One tab per enemy, boss, ally and totem, all built from the actual prefabs and cards under Assets/Prefabs and Assets/Data/CardData/Enemy - this workbook only READS them today.</t>
  </si>
  <si>
    <t>The tabs</t>
  </si>
  <si>
    <t>PowerLevel</t>
  </si>
  <si>
    <t>The tuning surface. Every pw_* weight here is a named cell - change one and every body tab and Roster recalculate immediately, no re-export needed.</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</si>
  <si>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</si>
  <si>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</si>
  <si>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</si>
  <si>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</si>
  <si>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</si>
  <si>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so you can see how they stack up. Fully formula-driven off the individual tabs.</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</si>
  <si>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</si>
  <si>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</si>
  <si>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</si>
  <si>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</si>
  <si>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</si>
  <si>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Which spawn row(s) this body is eligible for - None (unconstrained), Frontline, Backline or Both. Synced to Character.battleRole; drives BattleManager.SpawnParty and EncounterRoller placement.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</si>
  <si>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</si>
  <si>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</si>
  <si>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</si>
  <si>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</si>
  <si>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to Health, Actions Per Turn, Brain, Targeting, Loot Table, Role and Deck to the matching prefab, then refreshes this workbook so anything changed in the Inspector shows up here too.</t>
  </si>
  <si>
    <t>One card name per column, left to right, no gaps - the first blank cell ends the deck. Duplicates are fine and expected (four Enemy Slash cards is four cells). Pick names from the dropdown so a typo cannot silently drop a card.</t>
  </si>
  <si>
    <t>Brandon's Power Level and Notes</t>
  </si>
  <si>
    <t>Never sync anywhere - they are authored HERE and preserved across every re-export.</t>
  </si>
  <si>
    <t>Card Facts, Card Power, averages, Roster</t>
  </si>
  <si>
    <t>Never hand-edit - fully derived from the prefab and its cards, rebuilt on every export.</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</si>
  <si>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</si>
  <si>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</si>
  <si>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</si>
  <si>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</si>
  <si>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Regenerating without syncing</t>
  </si>
  <si>
    <t>Tools &gt; Enemies &gt; Refresh Sheet From Unity discards any sheet edit that has not been synced yet - only for when the sheet is known to be wrong.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</si>
</sst>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2" fontId="0" fillId="0" borderId="0" xfId="0" applyNumberFormat="1"/>
    <xf numFmtId="0" fontId="0" fillId="0" borderId="0" xfId="0" applyAlignment="1">
      <alignment wrapText="1"/>
    </xf>
    <xf numFmtId="0" fontId="1" fillId="0" borderId="0" xfId="0" applyFont="1" applyAlignment="1">
      <alignment wrapText="1"/>
    </xf>
    <xf numFmtId="0" fontId="2" fillId="0" borderId="0" xfId="0" applyFont="1"/>
    <xf numFmtId="2" fontId="1" fillId="0" borderId="0" xfId="0" applyNumberFormat="1" applyFont="1"/>
    <xf numFmtId="1" fontId="0" fillId="0" borderId="0" xfId="0" applyNumberFormat="1"/>
    <xf numFmtId="0" fontId="3" fillId="0" borderId="0" xfId="0" applyFont="1"/>
    <xf numFmtId="0" fontId="4" fillId="0" borderId="0" xfId="0" applyFont="1"/>
  </cellXfs>
  <cellStyles count="1">
    <cellStyle name="Normal" xfId="0" builtinId="0"/>
  </cellStyles>
  <dxfs count="3">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workbookViewId="0"/>
  </sheetViews>
  <sheetFormatPr defaultRowHeight="14.4" x14ac:dyDescent="0.3"/>
  <cols>
    <col min="1" max="1" width="28" customWidth="1"/>
    <col min="2" max="2" width="110" style="3" customWidth="1"/>
  </cols>
  <sheetData>
    <row r="1" spans="1:2" ht="21" x14ac:dyDescent="0.4">
      <c r="A1" s="8" t="s">
        <v>312</v>
      </c>
    </row>
    <row r="2" spans="1:2" x14ac:dyDescent="0.3">
      <c r="A2" t="s">
        <v>80</v>
      </c>
    </row>
    <row r="3" spans="1:2" x14ac:dyDescent="0.3">
      <c r="A3" t="s">
        <v>313</v>
      </c>
    </row>
    <row r="4" spans="1:2" x14ac:dyDescent="0.3">
      <c r="A4" t="s">
        <v>80</v>
      </c>
    </row>
    <row r="5" spans="1:2" ht="15.6" x14ac:dyDescent="0.3">
      <c r="A5" s="9" t="s">
        <v>314</v>
      </c>
    </row>
    <row r="6" spans="1:2" ht="28.8" x14ac:dyDescent="0.3">
      <c r="A6" s="1" t="s">
        <v>315</v>
      </c>
      <c r="B6" s="3" t="s">
        <v>316</v>
      </c>
    </row>
    <row r="7" spans="1:2" ht="43.2" x14ac:dyDescent="0.3">
      <c r="A7" s="1" t="s">
        <v>317</v>
      </c>
      <c r="B7" s="3" t="s">
        <v>318</v>
      </c>
    </row>
    <row r="8" spans="1:2" x14ac:dyDescent="0.3">
      <c r="A8" s="1" t="s">
        <v>319</v>
      </c>
      <c r="B8" s="3" t="s">
        <v>320</v>
      </c>
    </row>
    <row r="9" spans="1:2" x14ac:dyDescent="0.3">
      <c r="A9" s="1" t="s">
        <v>321</v>
      </c>
      <c r="B9" s="3" t="s">
        <v>322</v>
      </c>
    </row>
    <row r="10" spans="1:2" x14ac:dyDescent="0.3">
      <c r="A10" s="1" t="s">
        <v>323</v>
      </c>
      <c r="B10" s="3" t="s">
        <v>324</v>
      </c>
    </row>
    <row r="11" spans="1:2" x14ac:dyDescent="0.3">
      <c r="A11" t="s">
        <v>80</v>
      </c>
    </row>
    <row r="12" spans="1:2" ht="15.6" x14ac:dyDescent="0.3">
      <c r="A12" s="9" t="s">
        <v>325</v>
      </c>
    </row>
    <row r="13" spans="1:2" x14ac:dyDescent="0.3">
      <c r="A13" s="1" t="s">
        <v>167</v>
      </c>
      <c r="B13" s="3" t="s">
        <v>326</v>
      </c>
    </row>
    <row r="14" spans="1:2" ht="28.8" x14ac:dyDescent="0.3">
      <c r="A14" s="1" t="s">
        <v>168</v>
      </c>
      <c r="B14" s="3" t="s">
        <v>327</v>
      </c>
    </row>
    <row r="15" spans="1:2" ht="28.8" x14ac:dyDescent="0.3">
      <c r="A15" s="1" t="s">
        <v>75</v>
      </c>
      <c r="B15" s="3" t="s">
        <v>328</v>
      </c>
    </row>
    <row r="16" spans="1:2" x14ac:dyDescent="0.3">
      <c r="A16" s="1" t="s">
        <v>178</v>
      </c>
      <c r="B16" s="3" t="s">
        <v>329</v>
      </c>
    </row>
    <row r="17" spans="1:2" ht="28.8" x14ac:dyDescent="0.3">
      <c r="A17" s="1" t="s">
        <v>202</v>
      </c>
      <c r="B17" s="3" t="s">
        <v>330</v>
      </c>
    </row>
    <row r="18" spans="1:2" x14ac:dyDescent="0.3">
      <c r="A18" t="s">
        <v>80</v>
      </c>
    </row>
    <row r="19" spans="1:2" ht="15.6" x14ac:dyDescent="0.3">
      <c r="A19" s="9" t="s">
        <v>331</v>
      </c>
    </row>
    <row r="20" spans="1:2" ht="28.8" x14ac:dyDescent="0.3">
      <c r="A20" s="1" t="s">
        <v>332</v>
      </c>
      <c r="B20" s="3" t="s">
        <v>333</v>
      </c>
    </row>
    <row r="21" spans="1:2" ht="28.8" x14ac:dyDescent="0.3">
      <c r="A21" s="1" t="s">
        <v>174</v>
      </c>
      <c r="B21" s="3" t="s">
        <v>334</v>
      </c>
    </row>
    <row r="22" spans="1:2" x14ac:dyDescent="0.3">
      <c r="A22" s="1" t="s">
        <v>335</v>
      </c>
      <c r="B22" s="3" t="s">
        <v>336</v>
      </c>
    </row>
    <row r="23" spans="1:2" x14ac:dyDescent="0.3">
      <c r="A23" s="1" t="s">
        <v>337</v>
      </c>
      <c r="B23" s="3" t="s">
        <v>338</v>
      </c>
    </row>
    <row r="24" spans="1:2" ht="43.2" x14ac:dyDescent="0.3">
      <c r="A24" s="1" t="s">
        <v>339</v>
      </c>
      <c r="B24" s="3" t="s">
        <v>340</v>
      </c>
    </row>
    <row r="25" spans="1:2" ht="28.8" x14ac:dyDescent="0.3">
      <c r="A25" s="1" t="s">
        <v>341</v>
      </c>
      <c r="B25" s="3" t="s">
        <v>342</v>
      </c>
    </row>
    <row r="26" spans="1:2" ht="28.8" x14ac:dyDescent="0.3">
      <c r="A26" s="1" t="s">
        <v>343</v>
      </c>
      <c r="B26" s="3" t="s">
        <v>344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0"/>
  <sheetViews>
    <sheetView workbookViewId="0">
      <pane ySplit="1" topLeftCell="A2" activePane="bottomLeft" state="frozen"/>
      <selection pane="bottomLeft"/>
    </sheetView>
  </sheetViews>
  <sheetFormatPr defaultRowHeight="14.4" x14ac:dyDescent="0.3"/>
  <cols>
    <col min="1" max="1" width="20" customWidth="1"/>
    <col min="2" max="2" width="11" customWidth="1"/>
    <col min="3" max="3" width="90" style="3" customWidth="1"/>
  </cols>
  <sheetData>
    <row r="1" spans="1:3" x14ac:dyDescent="0.3">
      <c r="A1" s="1" t="s">
        <v>0</v>
      </c>
      <c r="B1" s="1" t="s">
        <v>1</v>
      </c>
      <c r="C1" s="4" t="s">
        <v>2</v>
      </c>
    </row>
    <row r="2" spans="1:3" x14ac:dyDescent="0.3">
      <c r="A2" t="s">
        <v>3</v>
      </c>
      <c r="B2" s="2">
        <v>1</v>
      </c>
      <c r="C2" s="3" t="s">
        <v>4</v>
      </c>
    </row>
    <row r="3" spans="1:3" ht="28.8" x14ac:dyDescent="0.3">
      <c r="A3" t="s">
        <v>5</v>
      </c>
      <c r="B3" s="2">
        <v>0.9</v>
      </c>
      <c r="C3" s="3" t="s">
        <v>6</v>
      </c>
    </row>
    <row r="4" spans="1:3" x14ac:dyDescent="0.3">
      <c r="A4" t="s">
        <v>7</v>
      </c>
      <c r="B4" s="2">
        <v>0.5</v>
      </c>
      <c r="C4" s="3" t="s">
        <v>8</v>
      </c>
    </row>
    <row r="5" spans="1:3" x14ac:dyDescent="0.3">
      <c r="A5" t="s">
        <v>9</v>
      </c>
      <c r="B5" s="2">
        <v>0.5</v>
      </c>
      <c r="C5" s="3" t="s">
        <v>10</v>
      </c>
    </row>
    <row r="6" spans="1:3" x14ac:dyDescent="0.3">
      <c r="A6" t="s">
        <v>11</v>
      </c>
      <c r="B6" s="2">
        <v>4</v>
      </c>
      <c r="C6" s="3" t="s">
        <v>12</v>
      </c>
    </row>
    <row r="7" spans="1:3" x14ac:dyDescent="0.3">
      <c r="A7" t="s">
        <v>13</v>
      </c>
      <c r="B7" s="2">
        <v>1</v>
      </c>
      <c r="C7" s="3" t="s">
        <v>14</v>
      </c>
    </row>
    <row r="8" spans="1:3" x14ac:dyDescent="0.3">
      <c r="A8" t="s">
        <v>15</v>
      </c>
      <c r="B8" s="2">
        <v>0.5</v>
      </c>
      <c r="C8" s="3" t="s">
        <v>16</v>
      </c>
    </row>
    <row r="9" spans="1:3" ht="28.8" x14ac:dyDescent="0.3">
      <c r="A9" t="s">
        <v>17</v>
      </c>
      <c r="B9" s="2">
        <v>17</v>
      </c>
      <c r="C9" s="3" t="s">
        <v>18</v>
      </c>
    </row>
    <row r="10" spans="1:3" x14ac:dyDescent="0.3">
      <c r="A10" t="s">
        <v>19</v>
      </c>
      <c r="B10" s="2">
        <v>0.8</v>
      </c>
      <c r="C10" s="3" t="s">
        <v>20</v>
      </c>
    </row>
    <row r="11" spans="1:3" x14ac:dyDescent="0.3">
      <c r="A11" t="s">
        <v>21</v>
      </c>
      <c r="B11" s="2">
        <v>0.9</v>
      </c>
      <c r="C11" s="3" t="s">
        <v>22</v>
      </c>
    </row>
    <row r="12" spans="1:3" x14ac:dyDescent="0.3">
      <c r="A12" t="s">
        <v>23</v>
      </c>
      <c r="B12" s="2">
        <v>3</v>
      </c>
      <c r="C12" s="3" t="s">
        <v>24</v>
      </c>
    </row>
    <row r="13" spans="1:3" x14ac:dyDescent="0.3">
      <c r="A13" t="s">
        <v>25</v>
      </c>
      <c r="B13" s="2">
        <v>1</v>
      </c>
      <c r="C13" s="3" t="s">
        <v>26</v>
      </c>
    </row>
    <row r="14" spans="1:3" x14ac:dyDescent="0.3">
      <c r="A14" t="s">
        <v>27</v>
      </c>
      <c r="B14" s="2">
        <v>1.5</v>
      </c>
      <c r="C14" s="3" t="s">
        <v>28</v>
      </c>
    </row>
    <row r="15" spans="1:3" x14ac:dyDescent="0.3">
      <c r="A15" t="s">
        <v>29</v>
      </c>
      <c r="B15" s="2">
        <v>1.5</v>
      </c>
      <c r="C15" s="3" t="s">
        <v>30</v>
      </c>
    </row>
    <row r="16" spans="1:3" x14ac:dyDescent="0.3">
      <c r="A16" t="s">
        <v>31</v>
      </c>
      <c r="B16" s="2">
        <v>2</v>
      </c>
      <c r="C16" s="3" t="s">
        <v>32</v>
      </c>
    </row>
    <row r="17" spans="1:3" x14ac:dyDescent="0.3">
      <c r="A17" t="s">
        <v>33</v>
      </c>
      <c r="B17" s="2">
        <v>3</v>
      </c>
      <c r="C17" s="3" t="s">
        <v>34</v>
      </c>
    </row>
    <row r="18" spans="1:3" x14ac:dyDescent="0.3">
      <c r="A18" t="s">
        <v>35</v>
      </c>
      <c r="B18" s="2">
        <v>1.5</v>
      </c>
      <c r="C18" s="3" t="s">
        <v>36</v>
      </c>
    </row>
    <row r="19" spans="1:3" x14ac:dyDescent="0.3">
      <c r="A19" t="s">
        <v>37</v>
      </c>
      <c r="B19" s="2">
        <v>0.9</v>
      </c>
      <c r="C19" s="3" t="s">
        <v>38</v>
      </c>
    </row>
    <row r="20" spans="1:3" x14ac:dyDescent="0.3">
      <c r="A20" t="s">
        <v>39</v>
      </c>
      <c r="B20" s="2">
        <v>0.9</v>
      </c>
      <c r="C20" s="3" t="s">
        <v>40</v>
      </c>
    </row>
    <row r="21" spans="1:3" x14ac:dyDescent="0.3">
      <c r="A21" t="s">
        <v>41</v>
      </c>
      <c r="B21" s="2">
        <v>1.5</v>
      </c>
      <c r="C21" s="3" t="s">
        <v>42</v>
      </c>
    </row>
    <row r="22" spans="1:3" x14ac:dyDescent="0.3">
      <c r="A22" t="s">
        <v>43</v>
      </c>
      <c r="B22" s="2">
        <v>1</v>
      </c>
      <c r="C22" s="3" t="s">
        <v>44</v>
      </c>
    </row>
    <row r="23" spans="1:3" ht="28.8" x14ac:dyDescent="0.3">
      <c r="A23" t="s">
        <v>45</v>
      </c>
      <c r="B23" s="2">
        <v>1</v>
      </c>
      <c r="C23" s="3" t="s">
        <v>46</v>
      </c>
    </row>
    <row r="24" spans="1:3" ht="28.8" x14ac:dyDescent="0.3">
      <c r="A24" t="s">
        <v>47</v>
      </c>
      <c r="B24" s="2">
        <v>5</v>
      </c>
      <c r="C24" s="3" t="s">
        <v>48</v>
      </c>
    </row>
    <row r="25" spans="1:3" ht="28.8" x14ac:dyDescent="0.3">
      <c r="A25" t="s">
        <v>49</v>
      </c>
      <c r="B25" s="2">
        <v>3</v>
      </c>
      <c r="C25" s="3" t="s">
        <v>50</v>
      </c>
    </row>
    <row r="26" spans="1:3" x14ac:dyDescent="0.3">
      <c r="A26" t="s">
        <v>51</v>
      </c>
      <c r="B26" s="2">
        <v>0.3</v>
      </c>
      <c r="C26" s="3" t="s">
        <v>52</v>
      </c>
    </row>
    <row r="27" spans="1:3" ht="28.8" x14ac:dyDescent="0.3">
      <c r="A27" t="s">
        <v>53</v>
      </c>
      <c r="B27" s="2">
        <v>3</v>
      </c>
      <c r="C27" s="3" t="s">
        <v>54</v>
      </c>
    </row>
    <row r="28" spans="1:3" x14ac:dyDescent="0.3">
      <c r="A28" t="s">
        <v>55</v>
      </c>
      <c r="B28" s="2">
        <v>1</v>
      </c>
      <c r="C28" s="3" t="s">
        <v>56</v>
      </c>
    </row>
    <row r="29" spans="1:3" x14ac:dyDescent="0.3">
      <c r="A29" t="s">
        <v>57</v>
      </c>
      <c r="B29" s="2">
        <v>1</v>
      </c>
      <c r="C29" s="3" t="s">
        <v>58</v>
      </c>
    </row>
    <row r="30" spans="1:3" x14ac:dyDescent="0.3">
      <c r="A30" t="s">
        <v>59</v>
      </c>
      <c r="B30" s="2">
        <v>0.5</v>
      </c>
      <c r="C30" s="3" t="s">
        <v>60</v>
      </c>
    </row>
    <row r="31" spans="1:3" x14ac:dyDescent="0.3">
      <c r="A31" t="s">
        <v>61</v>
      </c>
      <c r="B31" s="2">
        <v>-1</v>
      </c>
      <c r="C31" s="3" t="s">
        <v>62</v>
      </c>
    </row>
    <row r="32" spans="1:3" ht="28.8" x14ac:dyDescent="0.3">
      <c r="A32" t="s">
        <v>63</v>
      </c>
      <c r="B32" s="2">
        <v>1</v>
      </c>
      <c r="C32" s="3" t="s">
        <v>64</v>
      </c>
    </row>
    <row r="33" spans="1:3" x14ac:dyDescent="0.3">
      <c r="A33" t="s">
        <v>65</v>
      </c>
      <c r="B33" s="2">
        <v>0.25</v>
      </c>
      <c r="C33" s="3" t="s">
        <v>66</v>
      </c>
    </row>
    <row r="34" spans="1:3" x14ac:dyDescent="0.3">
      <c r="B34" s="2"/>
    </row>
    <row r="35" spans="1:3" x14ac:dyDescent="0.3">
      <c r="A35" s="5" t="s">
        <v>67</v>
      </c>
      <c r="B35" s="2"/>
    </row>
    <row r="36" spans="1:3" x14ac:dyDescent="0.3">
      <c r="A36" s="1" t="s">
        <v>68</v>
      </c>
      <c r="B36" s="2"/>
    </row>
    <row r="37" spans="1:3" x14ac:dyDescent="0.3">
      <c r="A37" s="1" t="s">
        <v>69</v>
      </c>
      <c r="B37" s="6" t="s">
        <v>70</v>
      </c>
    </row>
    <row r="38" spans="1:3" x14ac:dyDescent="0.3">
      <c r="A38">
        <v>1</v>
      </c>
      <c r="B38" s="2">
        <v>0</v>
      </c>
    </row>
    <row r="39" spans="1:3" x14ac:dyDescent="0.3">
      <c r="A39">
        <v>2</v>
      </c>
      <c r="B39" s="2">
        <v>1.5</v>
      </c>
    </row>
    <row r="40" spans="1:3" x14ac:dyDescent="0.3">
      <c r="A40">
        <v>3</v>
      </c>
      <c r="B40" s="2">
        <v>4</v>
      </c>
    </row>
    <row r="41" spans="1:3" x14ac:dyDescent="0.3">
      <c r="A41">
        <v>4</v>
      </c>
      <c r="B41" s="2">
        <v>5</v>
      </c>
    </row>
    <row r="42" spans="1:3" x14ac:dyDescent="0.3">
      <c r="A42">
        <v>5</v>
      </c>
      <c r="B42" s="2">
        <v>6</v>
      </c>
    </row>
    <row r="43" spans="1:3" x14ac:dyDescent="0.3">
      <c r="A43">
        <v>6</v>
      </c>
      <c r="B43" s="2">
        <v>7</v>
      </c>
    </row>
    <row r="44" spans="1:3" x14ac:dyDescent="0.3">
      <c r="A44" s="5" t="s">
        <v>71</v>
      </c>
      <c r="B44" s="2"/>
    </row>
    <row r="45" spans="1:3" x14ac:dyDescent="0.3">
      <c r="B45" s="2"/>
    </row>
    <row r="46" spans="1:3" x14ac:dyDescent="0.3">
      <c r="B46" s="2"/>
    </row>
    <row r="47" spans="1:3" x14ac:dyDescent="0.3">
      <c r="B47" s="2"/>
    </row>
    <row r="48" spans="1:3" x14ac:dyDescent="0.3">
      <c r="B48" s="2"/>
    </row>
    <row r="49" spans="2:2" x14ac:dyDescent="0.3">
      <c r="B49" s="2"/>
    </row>
    <row r="50" spans="2:2" x14ac:dyDescent="0.3">
      <c r="B50" s="2"/>
    </row>
    <row r="51" spans="2:2" x14ac:dyDescent="0.3">
      <c r="B51" s="2"/>
    </row>
    <row r="52" spans="2:2" x14ac:dyDescent="0.3">
      <c r="B52" s="2"/>
    </row>
    <row r="53" spans="2:2" x14ac:dyDescent="0.3">
      <c r="B53" s="2"/>
    </row>
    <row r="54" spans="2:2" x14ac:dyDescent="0.3">
      <c r="B54" s="2"/>
    </row>
    <row r="55" spans="2:2" x14ac:dyDescent="0.3">
      <c r="B55" s="2"/>
    </row>
    <row r="56" spans="2:2" x14ac:dyDescent="0.3">
      <c r="B56" s="2"/>
    </row>
    <row r="57" spans="2:2" x14ac:dyDescent="0.3">
      <c r="B57" s="2"/>
    </row>
    <row r="58" spans="2:2" x14ac:dyDescent="0.3">
      <c r="B58" s="2"/>
    </row>
    <row r="59" spans="2:2" x14ac:dyDescent="0.3">
      <c r="B59" s="2"/>
    </row>
    <row r="60" spans="2:2" x14ac:dyDescent="0.3">
      <c r="B60" s="2"/>
    </row>
    <row r="61" spans="2:2" x14ac:dyDescent="0.3">
      <c r="B61" s="2"/>
    </row>
    <row r="62" spans="2:2" x14ac:dyDescent="0.3">
      <c r="B62" s="2"/>
    </row>
    <row r="63" spans="2:2" x14ac:dyDescent="0.3">
      <c r="B63" s="2"/>
    </row>
    <row r="64" spans="2:2" x14ac:dyDescent="0.3">
      <c r="B64" s="2"/>
    </row>
    <row r="65" spans="2:2" x14ac:dyDescent="0.3">
      <c r="B65" s="2"/>
    </row>
    <row r="66" spans="2:2" x14ac:dyDescent="0.3">
      <c r="B66" s="2"/>
    </row>
    <row r="67" spans="2:2" x14ac:dyDescent="0.3">
      <c r="B67" s="2"/>
    </row>
    <row r="68" spans="2:2" x14ac:dyDescent="0.3">
      <c r="B68" s="2"/>
    </row>
    <row r="69" spans="2:2" x14ac:dyDescent="0.3">
      <c r="B69" s="2"/>
    </row>
    <row r="70" spans="2:2" x14ac:dyDescent="0.3">
      <c r="B70" s="2"/>
    </row>
    <row r="71" spans="2:2" x14ac:dyDescent="0.3">
      <c r="B71" s="2"/>
    </row>
    <row r="72" spans="2:2" x14ac:dyDescent="0.3">
      <c r="B72" s="2"/>
    </row>
    <row r="73" spans="2:2" x14ac:dyDescent="0.3">
      <c r="B73" s="2"/>
    </row>
    <row r="74" spans="2:2" x14ac:dyDescent="0.3">
      <c r="B74" s="2"/>
    </row>
    <row r="75" spans="2:2" x14ac:dyDescent="0.3">
      <c r="B75" s="2"/>
    </row>
    <row r="76" spans="2:2" x14ac:dyDescent="0.3">
      <c r="B76" s="2"/>
    </row>
    <row r="77" spans="2:2" x14ac:dyDescent="0.3">
      <c r="B77" s="2"/>
    </row>
    <row r="78" spans="2:2" x14ac:dyDescent="0.3">
      <c r="B78" s="2"/>
    </row>
    <row r="79" spans="2:2" x14ac:dyDescent="0.3">
      <c r="B79" s="2"/>
    </row>
    <row r="80" spans="2:2" x14ac:dyDescent="0.3">
      <c r="B80" s="2"/>
    </row>
    <row r="81" spans="2:2" x14ac:dyDescent="0.3">
      <c r="B81" s="2"/>
    </row>
    <row r="82" spans="2:2" x14ac:dyDescent="0.3">
      <c r="B82" s="2"/>
    </row>
    <row r="83" spans="2:2" x14ac:dyDescent="0.3">
      <c r="B83" s="2"/>
    </row>
    <row r="84" spans="2:2" x14ac:dyDescent="0.3">
      <c r="B84" s="2"/>
    </row>
    <row r="85" spans="2:2" x14ac:dyDescent="0.3">
      <c r="B85" s="2"/>
    </row>
    <row r="86" spans="2:2" x14ac:dyDescent="0.3">
      <c r="B86" s="2"/>
    </row>
    <row r="87" spans="2:2" x14ac:dyDescent="0.3">
      <c r="B87" s="2"/>
    </row>
    <row r="88" spans="2:2" x14ac:dyDescent="0.3">
      <c r="B88" s="2"/>
    </row>
    <row r="89" spans="2:2" x14ac:dyDescent="0.3">
      <c r="B89" s="2"/>
    </row>
    <row r="90" spans="2:2" x14ac:dyDescent="0.3">
      <c r="B90" s="2"/>
    </row>
    <row r="91" spans="2:2" x14ac:dyDescent="0.3">
      <c r="B91" s="2"/>
    </row>
    <row r="92" spans="2:2" x14ac:dyDescent="0.3">
      <c r="B92" s="2"/>
    </row>
    <row r="93" spans="2:2" x14ac:dyDescent="0.3">
      <c r="B93" s="2"/>
    </row>
    <row r="94" spans="2:2" x14ac:dyDescent="0.3">
      <c r="B94" s="2"/>
    </row>
    <row r="95" spans="2:2" x14ac:dyDescent="0.3">
      <c r="B95" s="2"/>
    </row>
    <row r="96" spans="2:2" x14ac:dyDescent="0.3">
      <c r="B96" s="2"/>
    </row>
    <row r="97" spans="2:2" x14ac:dyDescent="0.3">
      <c r="B97" s="2"/>
    </row>
    <row r="98" spans="2:2" x14ac:dyDescent="0.3">
      <c r="B98" s="2"/>
    </row>
    <row r="99" spans="2:2" x14ac:dyDescent="0.3">
      <c r="B99" s="2"/>
    </row>
    <row r="100" spans="2:2" x14ac:dyDescent="0.3">
      <c r="B100" s="2"/>
    </row>
    <row r="101" spans="2:2" x14ac:dyDescent="0.3">
      <c r="B101" s="2"/>
    </row>
    <row r="102" spans="2:2" x14ac:dyDescent="0.3">
      <c r="B102" s="2"/>
    </row>
    <row r="103" spans="2:2" x14ac:dyDescent="0.3">
      <c r="B103" s="2"/>
    </row>
    <row r="104" spans="2:2" x14ac:dyDescent="0.3">
      <c r="B104" s="2"/>
    </row>
    <row r="105" spans="2:2" x14ac:dyDescent="0.3">
      <c r="B105" s="2"/>
    </row>
    <row r="106" spans="2:2" x14ac:dyDescent="0.3">
      <c r="B106" s="2"/>
    </row>
    <row r="107" spans="2:2" x14ac:dyDescent="0.3">
      <c r="B107" s="2"/>
    </row>
    <row r="108" spans="2:2" x14ac:dyDescent="0.3">
      <c r="B108" s="2"/>
    </row>
    <row r="109" spans="2:2" x14ac:dyDescent="0.3">
      <c r="B109" s="2"/>
    </row>
    <row r="110" spans="2:2" x14ac:dyDescent="0.3">
      <c r="B110" s="2"/>
    </row>
    <row r="111" spans="2:2" x14ac:dyDescent="0.3">
      <c r="B111" s="2"/>
    </row>
    <row r="112" spans="2:2" x14ac:dyDescent="0.3">
      <c r="B112" s="2"/>
    </row>
    <row r="113" spans="2:2" x14ac:dyDescent="0.3">
      <c r="B113" s="2"/>
    </row>
    <row r="114" spans="2:2" x14ac:dyDescent="0.3">
      <c r="B114" s="2"/>
    </row>
    <row r="115" spans="2:2" x14ac:dyDescent="0.3">
      <c r="B115" s="2"/>
    </row>
    <row r="116" spans="2:2" x14ac:dyDescent="0.3">
      <c r="B116" s="2"/>
    </row>
    <row r="117" spans="2:2" x14ac:dyDescent="0.3">
      <c r="B117" s="2"/>
    </row>
    <row r="118" spans="2:2" x14ac:dyDescent="0.3">
      <c r="B118" s="2"/>
    </row>
    <row r="119" spans="2:2" x14ac:dyDescent="0.3">
      <c r="B119" s="2"/>
    </row>
    <row r="120" spans="2:2" x14ac:dyDescent="0.3">
      <c r="B120" s="2"/>
    </row>
    <row r="121" spans="2:2" x14ac:dyDescent="0.3">
      <c r="B121" s="2"/>
    </row>
    <row r="122" spans="2:2" x14ac:dyDescent="0.3">
      <c r="B122" s="2"/>
    </row>
    <row r="123" spans="2:2" x14ac:dyDescent="0.3">
      <c r="B123" s="2"/>
    </row>
    <row r="124" spans="2:2" x14ac:dyDescent="0.3">
      <c r="B124" s="2"/>
    </row>
    <row r="125" spans="2:2" x14ac:dyDescent="0.3">
      <c r="B125" s="2"/>
    </row>
    <row r="126" spans="2:2" x14ac:dyDescent="0.3">
      <c r="B126" s="2"/>
    </row>
    <row r="127" spans="2:2" x14ac:dyDescent="0.3">
      <c r="B127" s="2"/>
    </row>
    <row r="128" spans="2:2" x14ac:dyDescent="0.3">
      <c r="B128" s="2"/>
    </row>
    <row r="129" spans="2:2" x14ac:dyDescent="0.3">
      <c r="B129" s="2"/>
    </row>
    <row r="130" spans="2:2" x14ac:dyDescent="0.3">
      <c r="B130" s="2"/>
    </row>
    <row r="131" spans="2:2" x14ac:dyDescent="0.3">
      <c r="B131" s="2"/>
    </row>
    <row r="132" spans="2:2" x14ac:dyDescent="0.3">
      <c r="B132" s="2"/>
    </row>
    <row r="133" spans="2:2" x14ac:dyDescent="0.3">
      <c r="B133" s="2"/>
    </row>
    <row r="134" spans="2:2" x14ac:dyDescent="0.3">
      <c r="B134" s="2"/>
    </row>
    <row r="135" spans="2:2" x14ac:dyDescent="0.3">
      <c r="B135" s="2"/>
    </row>
    <row r="136" spans="2:2" x14ac:dyDescent="0.3">
      <c r="B136" s="2"/>
    </row>
    <row r="137" spans="2:2" x14ac:dyDescent="0.3">
      <c r="B137" s="2"/>
    </row>
    <row r="138" spans="2:2" x14ac:dyDescent="0.3">
      <c r="B138" s="2"/>
    </row>
    <row r="139" spans="2:2" x14ac:dyDescent="0.3">
      <c r="B139" s="2"/>
    </row>
    <row r="140" spans="2:2" x14ac:dyDescent="0.3">
      <c r="B140" s="2"/>
    </row>
    <row r="141" spans="2:2" x14ac:dyDescent="0.3">
      <c r="B141" s="2"/>
    </row>
    <row r="142" spans="2:2" x14ac:dyDescent="0.3">
      <c r="B142" s="2"/>
    </row>
    <row r="143" spans="2:2" x14ac:dyDescent="0.3">
      <c r="B143" s="2"/>
    </row>
    <row r="144" spans="2:2" x14ac:dyDescent="0.3">
      <c r="B144" s="2"/>
    </row>
    <row r="145" spans="2:2" x14ac:dyDescent="0.3">
      <c r="B145" s="2"/>
    </row>
    <row r="146" spans="2:2" x14ac:dyDescent="0.3">
      <c r="B146" s="2"/>
    </row>
    <row r="147" spans="2:2" x14ac:dyDescent="0.3">
      <c r="B147" s="2"/>
    </row>
    <row r="148" spans="2:2" x14ac:dyDescent="0.3">
      <c r="B148" s="2"/>
    </row>
    <row r="149" spans="2:2" x14ac:dyDescent="0.3">
      <c r="B149" s="2"/>
    </row>
    <row r="150" spans="2:2" x14ac:dyDescent="0.3">
      <c r="B150" s="2"/>
    </row>
    <row r="151" spans="2:2" x14ac:dyDescent="0.3">
      <c r="B151" s="2"/>
    </row>
    <row r="152" spans="2:2" x14ac:dyDescent="0.3">
      <c r="B152" s="2"/>
    </row>
    <row r="153" spans="2:2" x14ac:dyDescent="0.3">
      <c r="B153" s="2"/>
    </row>
    <row r="154" spans="2:2" x14ac:dyDescent="0.3">
      <c r="B154" s="2"/>
    </row>
    <row r="155" spans="2:2" x14ac:dyDescent="0.3">
      <c r="B155" s="2"/>
    </row>
    <row r="156" spans="2:2" x14ac:dyDescent="0.3">
      <c r="B156" s="2"/>
    </row>
    <row r="157" spans="2:2" x14ac:dyDescent="0.3">
      <c r="B157" s="2"/>
    </row>
    <row r="158" spans="2:2" x14ac:dyDescent="0.3">
      <c r="B158" s="2"/>
    </row>
    <row r="159" spans="2:2" x14ac:dyDescent="0.3">
      <c r="B159" s="2"/>
    </row>
    <row r="160" spans="2:2" x14ac:dyDescent="0.3">
      <c r="B160" s="2"/>
    </row>
    <row r="161" spans="2:2" x14ac:dyDescent="0.3">
      <c r="B161" s="2"/>
    </row>
    <row r="162" spans="2:2" x14ac:dyDescent="0.3">
      <c r="B162" s="2"/>
    </row>
    <row r="163" spans="2:2" x14ac:dyDescent="0.3">
      <c r="B163" s="2"/>
    </row>
    <row r="164" spans="2:2" x14ac:dyDescent="0.3">
      <c r="B164" s="2"/>
    </row>
    <row r="165" spans="2:2" x14ac:dyDescent="0.3">
      <c r="B165" s="2"/>
    </row>
    <row r="166" spans="2:2" x14ac:dyDescent="0.3">
      <c r="B166" s="2"/>
    </row>
    <row r="167" spans="2:2" x14ac:dyDescent="0.3">
      <c r="B167" s="2"/>
    </row>
    <row r="168" spans="2:2" x14ac:dyDescent="0.3">
      <c r="B168" s="2"/>
    </row>
    <row r="169" spans="2:2" x14ac:dyDescent="0.3">
      <c r="B169" s="2"/>
    </row>
    <row r="170" spans="2:2" x14ac:dyDescent="0.3">
      <c r="B170" s="2"/>
    </row>
    <row r="171" spans="2:2" x14ac:dyDescent="0.3">
      <c r="B171" s="2"/>
    </row>
    <row r="172" spans="2:2" x14ac:dyDescent="0.3">
      <c r="B172" s="2"/>
    </row>
    <row r="173" spans="2:2" x14ac:dyDescent="0.3">
      <c r="B173" s="2"/>
    </row>
    <row r="174" spans="2:2" x14ac:dyDescent="0.3">
      <c r="B174" s="2"/>
    </row>
    <row r="175" spans="2:2" x14ac:dyDescent="0.3">
      <c r="B175" s="2"/>
    </row>
    <row r="176" spans="2:2" x14ac:dyDescent="0.3">
      <c r="B176" s="2"/>
    </row>
    <row r="177" spans="2:2" x14ac:dyDescent="0.3">
      <c r="B177" s="2"/>
    </row>
    <row r="178" spans="2:2" x14ac:dyDescent="0.3">
      <c r="B178" s="2"/>
    </row>
    <row r="179" spans="2:2" x14ac:dyDescent="0.3">
      <c r="B179" s="2"/>
    </row>
    <row r="180" spans="2:2" x14ac:dyDescent="0.3">
      <c r="B180" s="2"/>
    </row>
    <row r="181" spans="2:2" x14ac:dyDescent="0.3">
      <c r="B181" s="2"/>
    </row>
    <row r="182" spans="2:2" x14ac:dyDescent="0.3">
      <c r="B182" s="2"/>
    </row>
    <row r="183" spans="2:2" x14ac:dyDescent="0.3">
      <c r="B183" s="2"/>
    </row>
    <row r="184" spans="2:2" x14ac:dyDescent="0.3">
      <c r="B184" s="2"/>
    </row>
    <row r="185" spans="2:2" x14ac:dyDescent="0.3">
      <c r="B185" s="2"/>
    </row>
    <row r="186" spans="2:2" x14ac:dyDescent="0.3">
      <c r="B186" s="2"/>
    </row>
    <row r="187" spans="2:2" x14ac:dyDescent="0.3">
      <c r="B187" s="2"/>
    </row>
    <row r="188" spans="2:2" x14ac:dyDescent="0.3">
      <c r="B188" s="2"/>
    </row>
    <row r="189" spans="2:2" x14ac:dyDescent="0.3">
      <c r="B189" s="2"/>
    </row>
    <row r="190" spans="2:2" x14ac:dyDescent="0.3">
      <c r="B190" s="2"/>
    </row>
    <row r="191" spans="2:2" x14ac:dyDescent="0.3">
      <c r="B191" s="2"/>
    </row>
    <row r="192" spans="2:2" x14ac:dyDescent="0.3">
      <c r="B192" s="2"/>
    </row>
    <row r="193" spans="2:2" x14ac:dyDescent="0.3">
      <c r="B193" s="2"/>
    </row>
    <row r="194" spans="2:2" x14ac:dyDescent="0.3">
      <c r="B194" s="2"/>
    </row>
    <row r="195" spans="2:2" x14ac:dyDescent="0.3">
      <c r="B195" s="2"/>
    </row>
    <row r="196" spans="2:2" x14ac:dyDescent="0.3">
      <c r="B196" s="2"/>
    </row>
    <row r="197" spans="2:2" x14ac:dyDescent="0.3">
      <c r="B197" s="2"/>
    </row>
    <row r="198" spans="2:2" x14ac:dyDescent="0.3">
      <c r="B198" s="2"/>
    </row>
    <row r="199" spans="2:2" x14ac:dyDescent="0.3">
      <c r="B199" s="2"/>
    </row>
    <row r="200" spans="2:2" x14ac:dyDescent="0.3">
      <c r="B20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9"/>
  <sheetViews>
    <sheetView tabSelected="1" workbookViewId="0">
      <pane xSplit="1" ySplit="1" topLeftCell="B2" activePane="bottomRight" state="frozen"/>
      <selection pane="topRight" activeCell="B1" sqref="B1"/>
      <selection pane="bottomLeft" activeCell="A2" sqref="A2"/>
      <selection pane="bottomRight"/>
    </sheetView>
  </sheetViews>
  <sheetFormatPr defaultRowHeight="14.4" x14ac:dyDescent="0.3"/>
  <cols>
    <col min="1" max="1" width="22" customWidth="1"/>
    <col min="7" max="7" width="18" customWidth="1"/>
  </cols>
  <sheetData>
    <row r="1" spans="1:17" x14ac:dyDescent="0.3">
      <c r="A1" s="1" t="s">
        <v>300</v>
      </c>
      <c r="B1" s="1" t="s">
        <v>157</v>
      </c>
      <c r="C1" s="1" t="s">
        <v>75</v>
      </c>
      <c r="D1" s="1" t="s">
        <v>164</v>
      </c>
      <c r="E1" s="1" t="s">
        <v>301</v>
      </c>
      <c r="F1" s="1" t="s">
        <v>72</v>
      </c>
      <c r="G1" s="1" t="s">
        <v>73</v>
      </c>
      <c r="H1" s="1" t="s">
        <v>302</v>
      </c>
      <c r="I1" s="1" t="s">
        <v>303</v>
      </c>
      <c r="J1" s="1" t="s">
        <v>304</v>
      </c>
      <c r="K1" s="1" t="s">
        <v>305</v>
      </c>
      <c r="L1" s="1" t="s">
        <v>306</v>
      </c>
      <c r="M1" s="1" t="s">
        <v>307</v>
      </c>
      <c r="N1" s="1" t="s">
        <v>308</v>
      </c>
      <c r="O1" s="1" t="s">
        <v>309</v>
      </c>
      <c r="P1" s="1" t="s">
        <v>310</v>
      </c>
      <c r="Q1" s="1" t="s">
        <v>311</v>
      </c>
    </row>
    <row r="2" spans="1:17" x14ac:dyDescent="0.3">
      <c r="A2" t="s">
        <v>243</v>
      </c>
      <c r="B2" t="s">
        <v>87</v>
      </c>
      <c r="C2" t="str">
        <f>Bat!B13</f>
        <v>Both</v>
      </c>
      <c r="D2">
        <f>Bat!B8</f>
        <v>15</v>
      </c>
      <c r="E2">
        <f>Bat!B9</f>
        <v>2</v>
      </c>
      <c r="F2" t="str">
        <f>Bat!B10</f>
        <v>Warrior</v>
      </c>
      <c r="G2" t="str">
        <f>Bat!B11</f>
        <v>Weakest</v>
      </c>
      <c r="H2">
        <v>5</v>
      </c>
      <c r="I2" s="2">
        <f>Bat!B20</f>
        <v>2</v>
      </c>
      <c r="J2" s="2">
        <f>Bat!B21</f>
        <v>2.4000000000000004</v>
      </c>
      <c r="K2" s="2">
        <f>Bat!B22</f>
        <v>0</v>
      </c>
      <c r="L2" s="2">
        <f>Bat!B19</f>
        <v>4.4000000000000004</v>
      </c>
      <c r="M2" s="2">
        <f>Bat!B16</f>
        <v>0.95899999999999996</v>
      </c>
      <c r="N2" s="2">
        <f>Bat!B15</f>
        <v>2</v>
      </c>
      <c r="O2" s="2">
        <f t="shared" ref="O2:O29" si="0">IF(N2="",M2,N2)</f>
        <v>2</v>
      </c>
      <c r="P2" s="2">
        <f>Bat!B17</f>
        <v>-1.0409999999999999</v>
      </c>
      <c r="Q2" t="str">
        <f t="shared" ref="Q2:Q29" si="1">IF(P2="","",IF(ABS(P2)&lt;=M2*pw_Tolerance,"OK",IF(P2&gt;0,"OVER","UNDER")))</f>
        <v>UNDER</v>
      </c>
    </row>
    <row r="3" spans="1:17" x14ac:dyDescent="0.3">
      <c r="A3" t="s">
        <v>207</v>
      </c>
      <c r="B3" t="s">
        <v>81</v>
      </c>
      <c r="C3" t="str">
        <f>BlackKnight!B13</f>
        <v>None</v>
      </c>
      <c r="D3">
        <f>BlackKnight!B8</f>
        <v>120</v>
      </c>
      <c r="E3">
        <f>BlackKnight!B9</f>
        <v>2</v>
      </c>
      <c r="F3" t="str">
        <f>BlackKnight!B10</f>
        <v>Summoner</v>
      </c>
      <c r="G3" t="str">
        <f>BlackKnight!B11</f>
        <v>Strongest</v>
      </c>
      <c r="H3">
        <v>5</v>
      </c>
      <c r="I3" s="2">
        <f>BlackKnight!B20</f>
        <v>7</v>
      </c>
      <c r="J3" s="2">
        <f>BlackKnight!B21</f>
        <v>3.2666666666666671</v>
      </c>
      <c r="K3" s="2">
        <f>BlackKnight!B22</f>
        <v>0</v>
      </c>
      <c r="L3" s="2">
        <f>BlackKnight!B19</f>
        <v>10.266666666666667</v>
      </c>
      <c r="M3" s="2">
        <f>BlackKnight!B16</f>
        <v>4.7370000000000001</v>
      </c>
      <c r="N3" s="2">
        <f>BlackKnight!B15</f>
        <v>2</v>
      </c>
      <c r="O3" s="2">
        <f t="shared" si="0"/>
        <v>2</v>
      </c>
      <c r="P3" s="2">
        <f>BlackKnight!B17</f>
        <v>2.7370000000000001</v>
      </c>
      <c r="Q3" t="str">
        <f t="shared" si="1"/>
        <v>OVER</v>
      </c>
    </row>
    <row r="4" spans="1:17" x14ac:dyDescent="0.3">
      <c r="A4" t="s">
        <v>246</v>
      </c>
      <c r="B4" t="s">
        <v>87</v>
      </c>
      <c r="C4" t="str">
        <f>Crab!B13</f>
        <v>Frontline</v>
      </c>
      <c r="D4">
        <f>Crab!B8</f>
        <v>18</v>
      </c>
      <c r="E4">
        <f>Crab!B9</f>
        <v>1</v>
      </c>
      <c r="F4" t="str">
        <f>Crab!B10</f>
        <v>Warrior</v>
      </c>
      <c r="G4" t="str">
        <f>Crab!B11</f>
        <v>Closest</v>
      </c>
      <c r="H4">
        <v>5</v>
      </c>
      <c r="I4" s="2">
        <f>Crab!B20</f>
        <v>4</v>
      </c>
      <c r="J4" s="2">
        <f>Crab!B21</f>
        <v>5</v>
      </c>
      <c r="K4" s="2">
        <f>Crab!B22</f>
        <v>0</v>
      </c>
      <c r="L4" s="2">
        <f>Crab!B19</f>
        <v>9</v>
      </c>
      <c r="M4" s="2">
        <f>Crab!B16</f>
        <v>1.0589999999999999</v>
      </c>
      <c r="N4" s="2">
        <f>Crab!B15</f>
        <v>2</v>
      </c>
      <c r="O4" s="2">
        <f t="shared" si="0"/>
        <v>2</v>
      </c>
      <c r="P4" s="2">
        <f>Crab!B17</f>
        <v>-0.94099999999999995</v>
      </c>
      <c r="Q4" t="str">
        <f t="shared" si="1"/>
        <v>UNDER</v>
      </c>
    </row>
    <row r="5" spans="1:17" x14ac:dyDescent="0.3">
      <c r="A5" t="s">
        <v>249</v>
      </c>
      <c r="B5" t="s">
        <v>87</v>
      </c>
      <c r="C5" t="str">
        <f>EnemyRanger!B13</f>
        <v>Backline</v>
      </c>
      <c r="D5">
        <f>EnemyRanger!B8</f>
        <v>10</v>
      </c>
      <c r="E5">
        <f>EnemyRanger!B9</f>
        <v>1</v>
      </c>
      <c r="F5" t="str">
        <f>EnemyRanger!B10</f>
        <v>Ranger</v>
      </c>
      <c r="G5" t="str">
        <f>EnemyRanger!B11</f>
        <v>RangerTargeting</v>
      </c>
      <c r="H5">
        <v>5</v>
      </c>
      <c r="I5" s="2">
        <f>EnemyRanger!B20</f>
        <v>3</v>
      </c>
      <c r="J5" s="2">
        <f>EnemyRanger!B21</f>
        <v>0</v>
      </c>
      <c r="K5" s="2">
        <f>EnemyRanger!B22</f>
        <v>0</v>
      </c>
      <c r="L5" s="2">
        <f>EnemyRanger!B19</f>
        <v>10</v>
      </c>
      <c r="M5" s="2">
        <f>EnemyRanger!B16</f>
        <v>0.88200000000000001</v>
      </c>
      <c r="N5" s="2">
        <f>EnemyRanger!B15</f>
        <v>2</v>
      </c>
      <c r="O5" s="2">
        <f t="shared" si="0"/>
        <v>2</v>
      </c>
      <c r="P5" s="2">
        <f>EnemyRanger!B17</f>
        <v>-1.1180000000000001</v>
      </c>
      <c r="Q5" t="str">
        <f t="shared" si="1"/>
        <v>UNDER</v>
      </c>
    </row>
    <row r="6" spans="1:17" x14ac:dyDescent="0.3">
      <c r="A6" t="s">
        <v>213</v>
      </c>
      <c r="B6" t="s">
        <v>81</v>
      </c>
      <c r="C6" t="str">
        <f>EvilKing!B13</f>
        <v>None</v>
      </c>
      <c r="D6">
        <f>EvilKing!B8</f>
        <v>140</v>
      </c>
      <c r="E6">
        <f>EvilKing!B9</f>
        <v>2</v>
      </c>
      <c r="F6" t="str">
        <f>EvilKing!B10</f>
        <v>Summoner</v>
      </c>
      <c r="G6" t="str">
        <f>EvilKing!B11</f>
        <v>Strongest</v>
      </c>
      <c r="H6">
        <v>7</v>
      </c>
      <c r="I6" s="2">
        <f>EvilKing!B20</f>
        <v>7</v>
      </c>
      <c r="J6" s="2">
        <f>EvilKing!B21</f>
        <v>3.7</v>
      </c>
      <c r="K6" s="2">
        <f>EvilKing!B22</f>
        <v>0</v>
      </c>
      <c r="L6" s="2">
        <f>EvilKing!B19</f>
        <v>10.7</v>
      </c>
      <c r="M6" s="2">
        <f>EvilKing!B16</f>
        <v>5.3760000000000003</v>
      </c>
      <c r="N6" s="2">
        <f>EvilKing!B15</f>
        <v>2</v>
      </c>
      <c r="O6" s="2">
        <f t="shared" si="0"/>
        <v>2</v>
      </c>
      <c r="P6" s="2">
        <f>EvilKing!B17</f>
        <v>3.3759999999999999</v>
      </c>
      <c r="Q6" t="str">
        <f t="shared" si="1"/>
        <v>OVER</v>
      </c>
    </row>
    <row r="7" spans="1:17" x14ac:dyDescent="0.3">
      <c r="A7" t="s">
        <v>217</v>
      </c>
      <c r="B7" t="s">
        <v>81</v>
      </c>
      <c r="C7" t="str">
        <f>EvilKnight!B13</f>
        <v>None</v>
      </c>
      <c r="D7">
        <f>EvilKnight!B8</f>
        <v>130</v>
      </c>
      <c r="E7">
        <f>EvilKnight!B9</f>
        <v>2</v>
      </c>
      <c r="F7" t="str">
        <f>EvilKnight!B10</f>
        <v>Summoner</v>
      </c>
      <c r="G7" t="str">
        <f>EvilKnight!B11</f>
        <v>Closest</v>
      </c>
      <c r="H7">
        <v>7</v>
      </c>
      <c r="I7" s="2">
        <f>EvilKnight!B20</f>
        <v>5</v>
      </c>
      <c r="J7" s="2">
        <f>EvilKnight!B21</f>
        <v>3.25</v>
      </c>
      <c r="K7" s="2">
        <f>EvilKnight!B22</f>
        <v>0</v>
      </c>
      <c r="L7" s="2">
        <f>EvilKnight!B19</f>
        <v>8.25</v>
      </c>
      <c r="M7" s="2">
        <f>EvilKnight!B16</f>
        <v>4.7939999999999996</v>
      </c>
      <c r="N7" s="2">
        <f>EvilKnight!B15</f>
        <v>2</v>
      </c>
      <c r="O7" s="2">
        <f t="shared" si="0"/>
        <v>2</v>
      </c>
      <c r="P7" s="2">
        <f>EvilKnight!B17</f>
        <v>2.794</v>
      </c>
      <c r="Q7" t="str">
        <f t="shared" si="1"/>
        <v>OVER</v>
      </c>
    </row>
    <row r="8" spans="1:17" x14ac:dyDescent="0.3">
      <c r="A8" t="s">
        <v>222</v>
      </c>
      <c r="B8" t="s">
        <v>81</v>
      </c>
      <c r="C8" t="str">
        <f>EvilWizard!B13</f>
        <v>None</v>
      </c>
      <c r="D8">
        <f>EvilWizard!B8</f>
        <v>90</v>
      </c>
      <c r="E8">
        <f>EvilWizard!B9</f>
        <v>2</v>
      </c>
      <c r="F8" t="str">
        <f>EvilWizard!B10</f>
        <v>Summoner</v>
      </c>
      <c r="G8" t="str">
        <f>EvilWizard!B11</f>
        <v>Weakest</v>
      </c>
      <c r="H8">
        <v>7</v>
      </c>
      <c r="I8" s="2">
        <f>EvilWizard!B20</f>
        <v>4</v>
      </c>
      <c r="J8" s="2">
        <f>EvilWizard!B21</f>
        <v>1.75</v>
      </c>
      <c r="K8" s="2">
        <f>EvilWizard!B22</f>
        <v>0</v>
      </c>
      <c r="L8" s="2">
        <f>EvilWizard!B19</f>
        <v>11.25</v>
      </c>
      <c r="M8" s="2">
        <f>EvilWizard!B16</f>
        <v>3.9710000000000001</v>
      </c>
      <c r="N8" s="2">
        <f>EvilWizard!B15</f>
        <v>2</v>
      </c>
      <c r="O8" s="2">
        <f t="shared" si="0"/>
        <v>2</v>
      </c>
      <c r="P8" s="2">
        <f>EvilWizard!B17</f>
        <v>1.9710000000000001</v>
      </c>
      <c r="Q8" t="str">
        <f t="shared" si="1"/>
        <v>OVER</v>
      </c>
    </row>
    <row r="9" spans="1:17" x14ac:dyDescent="0.3">
      <c r="A9" t="s">
        <v>226</v>
      </c>
      <c r="B9" t="s">
        <v>81</v>
      </c>
      <c r="C9" t="str">
        <f>EvilWizard2!B13</f>
        <v>None</v>
      </c>
      <c r="D9">
        <f>EvilWizard2!B8</f>
        <v>95</v>
      </c>
      <c r="E9">
        <f>EvilWizard2!B9</f>
        <v>2</v>
      </c>
      <c r="F9" t="str">
        <f>EvilWizard2!B10</f>
        <v>Summoner</v>
      </c>
      <c r="G9" t="str">
        <f>EvilWizard2!B11</f>
        <v>Furthest</v>
      </c>
      <c r="H9">
        <v>7</v>
      </c>
      <c r="I9" s="2">
        <f>EvilWizard2!B20</f>
        <v>4.5</v>
      </c>
      <c r="J9" s="2">
        <f>EvilWizard2!B21</f>
        <v>5</v>
      </c>
      <c r="K9" s="2">
        <f>EvilWizard2!B22</f>
        <v>0</v>
      </c>
      <c r="L9" s="2">
        <f>EvilWizard2!B19</f>
        <v>15</v>
      </c>
      <c r="M9" s="2">
        <f>EvilWizard2!B16</f>
        <v>4.5590000000000002</v>
      </c>
      <c r="N9" s="2">
        <f>EvilWizard2!B15</f>
        <v>2</v>
      </c>
      <c r="O9" s="2">
        <f t="shared" si="0"/>
        <v>2</v>
      </c>
      <c r="P9" s="2">
        <f>EvilWizard2!B17</f>
        <v>2.5590000000000002</v>
      </c>
      <c r="Q9" t="str">
        <f t="shared" si="1"/>
        <v>OVER</v>
      </c>
    </row>
    <row r="10" spans="1:17" x14ac:dyDescent="0.3">
      <c r="A10" t="s">
        <v>231</v>
      </c>
      <c r="B10" t="s">
        <v>81</v>
      </c>
      <c r="C10" t="str">
        <f>EvilWizard3!B13</f>
        <v>None</v>
      </c>
      <c r="D10">
        <f>EvilWizard3!B8</f>
        <v>100</v>
      </c>
      <c r="E10">
        <f>EvilWizard3!B9</f>
        <v>2</v>
      </c>
      <c r="F10" t="str">
        <f>EvilWizard3!B10</f>
        <v>Summoner</v>
      </c>
      <c r="G10" t="str">
        <f>EvilWizard3!B11</f>
        <v>Strongest</v>
      </c>
      <c r="H10">
        <v>7</v>
      </c>
      <c r="I10" s="2">
        <f>EvilWizard3!B20</f>
        <v>5</v>
      </c>
      <c r="J10" s="2">
        <f>EvilWizard3!B21</f>
        <v>2.95</v>
      </c>
      <c r="K10" s="2">
        <f>EvilWizard3!B22</f>
        <v>0</v>
      </c>
      <c r="L10" s="2">
        <f>EvilWizard3!B19</f>
        <v>13.45</v>
      </c>
      <c r="M10" s="2">
        <f>EvilWizard3!B16</f>
        <v>4.524</v>
      </c>
      <c r="N10" s="2">
        <f>EvilWizard3!B15</f>
        <v>2</v>
      </c>
      <c r="O10" s="2">
        <f t="shared" si="0"/>
        <v>2</v>
      </c>
      <c r="P10" s="2">
        <f>EvilWizard3!B17</f>
        <v>2.524</v>
      </c>
      <c r="Q10" t="str">
        <f t="shared" si="1"/>
        <v>OVER</v>
      </c>
    </row>
    <row r="11" spans="1:17" x14ac:dyDescent="0.3">
      <c r="A11" t="s">
        <v>252</v>
      </c>
      <c r="B11" t="s">
        <v>87</v>
      </c>
      <c r="C11" t="str">
        <f>FlyingEye!B13</f>
        <v>Backline</v>
      </c>
      <c r="D11">
        <f>FlyingEye!B8</f>
        <v>10</v>
      </c>
      <c r="E11">
        <f>FlyingEye!B9</f>
        <v>1</v>
      </c>
      <c r="F11" t="str">
        <f>FlyingEye!B10</f>
        <v>Ranger</v>
      </c>
      <c r="G11" t="str">
        <f>FlyingEye!B11</f>
        <v>Furthest</v>
      </c>
      <c r="H11">
        <v>5</v>
      </c>
      <c r="I11" s="2">
        <f>FlyingEye!B20</f>
        <v>3</v>
      </c>
      <c r="J11" s="2">
        <f>FlyingEye!B21</f>
        <v>0</v>
      </c>
      <c r="K11" s="2">
        <f>FlyingEye!B22</f>
        <v>0</v>
      </c>
      <c r="L11" s="2">
        <f>FlyingEye!B19</f>
        <v>8</v>
      </c>
      <c r="M11" s="2">
        <f>FlyingEye!B16</f>
        <v>0.76500000000000001</v>
      </c>
      <c r="N11" s="2">
        <f>FlyingEye!B15</f>
        <v>2</v>
      </c>
      <c r="O11" s="2">
        <f t="shared" si="0"/>
        <v>2</v>
      </c>
      <c r="P11" s="2">
        <f>FlyingEye!B17</f>
        <v>-1.2350000000000001</v>
      </c>
      <c r="Q11" t="str">
        <f t="shared" si="1"/>
        <v>UNDER</v>
      </c>
    </row>
    <row r="12" spans="1:17" x14ac:dyDescent="0.3">
      <c r="A12" t="s">
        <v>255</v>
      </c>
      <c r="B12" t="s">
        <v>87</v>
      </c>
      <c r="C12" t="str">
        <f>Goblin!B13</f>
        <v>Frontline</v>
      </c>
      <c r="D12">
        <f>Goblin!B8</f>
        <v>14</v>
      </c>
      <c r="E12">
        <f>Goblin!B9</f>
        <v>2</v>
      </c>
      <c r="F12" t="str">
        <f>Goblin!B10</f>
        <v>Warrior</v>
      </c>
      <c r="G12" t="str">
        <f>Goblin!B11</f>
        <v>Weakest</v>
      </c>
      <c r="H12">
        <v>5</v>
      </c>
      <c r="I12" s="2">
        <f>Goblin!B20</f>
        <v>4</v>
      </c>
      <c r="J12" s="2">
        <f>Goblin!B21</f>
        <v>0</v>
      </c>
      <c r="K12" s="2">
        <f>Goblin!B22</f>
        <v>0</v>
      </c>
      <c r="L12" s="2">
        <f>Goblin!B19</f>
        <v>4</v>
      </c>
      <c r="M12" s="2">
        <f>Goblin!B16</f>
        <v>0.88200000000000001</v>
      </c>
      <c r="N12" s="2">
        <f>Goblin!B15</f>
        <v>2</v>
      </c>
      <c r="O12" s="2">
        <f t="shared" si="0"/>
        <v>2</v>
      </c>
      <c r="P12" s="2">
        <f>Goblin!B17</f>
        <v>-1.1180000000000001</v>
      </c>
      <c r="Q12" t="str">
        <f t="shared" si="1"/>
        <v>UNDER</v>
      </c>
    </row>
    <row r="13" spans="1:17" x14ac:dyDescent="0.3">
      <c r="A13" t="s">
        <v>258</v>
      </c>
      <c r="B13" t="s">
        <v>87</v>
      </c>
      <c r="C13" t="str">
        <f>Golem!B13</f>
        <v>Frontline</v>
      </c>
      <c r="D13">
        <f>Golem!B8</f>
        <v>30</v>
      </c>
      <c r="E13">
        <f>Golem!B9</f>
        <v>1</v>
      </c>
      <c r="F13" t="str">
        <f>Golem!B10</f>
        <v>Warrior</v>
      </c>
      <c r="G13" t="str">
        <f>Golem!B11</f>
        <v>Closest</v>
      </c>
      <c r="H13">
        <v>5</v>
      </c>
      <c r="I13" s="2">
        <f>Golem!B20</f>
        <v>5</v>
      </c>
      <c r="J13" s="2">
        <f>Golem!B21</f>
        <v>0</v>
      </c>
      <c r="K13" s="2">
        <f>Golem!B22</f>
        <v>0</v>
      </c>
      <c r="L13" s="2">
        <f>Golem!B19</f>
        <v>5</v>
      </c>
      <c r="M13" s="2">
        <f>Golem!B16</f>
        <v>1.1759999999999999</v>
      </c>
      <c r="N13" s="2">
        <f>Golem!B15</f>
        <v>2</v>
      </c>
      <c r="O13" s="2">
        <f t="shared" si="0"/>
        <v>2</v>
      </c>
      <c r="P13" s="2">
        <f>Golem!B17</f>
        <v>-0.82399999999999995</v>
      </c>
      <c r="Q13" t="str">
        <f t="shared" si="1"/>
        <v>UNDER</v>
      </c>
    </row>
    <row r="14" spans="1:17" x14ac:dyDescent="0.3">
      <c r="A14" t="s">
        <v>260</v>
      </c>
      <c r="B14" t="s">
        <v>87</v>
      </c>
      <c r="C14" t="str">
        <f>HeavyBandit!B13</f>
        <v>Frontline</v>
      </c>
      <c r="D14">
        <f>HeavyBandit!B8</f>
        <v>22</v>
      </c>
      <c r="E14">
        <f>HeavyBandit!B9</f>
        <v>1</v>
      </c>
      <c r="F14" t="str">
        <f>HeavyBandit!B10</f>
        <v>Warrior</v>
      </c>
      <c r="G14" t="str">
        <f>HeavyBandit!B11</f>
        <v>Strongest</v>
      </c>
      <c r="H14">
        <v>5</v>
      </c>
      <c r="I14" s="2">
        <f>HeavyBandit!B20</f>
        <v>6</v>
      </c>
      <c r="J14" s="2">
        <f>HeavyBandit!B21</f>
        <v>0</v>
      </c>
      <c r="K14" s="2">
        <f>HeavyBandit!B22</f>
        <v>0</v>
      </c>
      <c r="L14" s="2">
        <f>HeavyBandit!B19</f>
        <v>6</v>
      </c>
      <c r="M14" s="2">
        <f>HeavyBandit!B16</f>
        <v>1</v>
      </c>
      <c r="N14" s="2">
        <f>HeavyBandit!B15</f>
        <v>2</v>
      </c>
      <c r="O14" s="2">
        <f t="shared" si="0"/>
        <v>2</v>
      </c>
      <c r="P14" s="2">
        <f>HeavyBandit!B17</f>
        <v>-1</v>
      </c>
      <c r="Q14" t="str">
        <f t="shared" si="1"/>
        <v>UNDER</v>
      </c>
    </row>
    <row r="15" spans="1:17" x14ac:dyDescent="0.3">
      <c r="A15" t="s">
        <v>263</v>
      </c>
      <c r="B15" t="s">
        <v>87</v>
      </c>
      <c r="C15" t="str">
        <f>LightBandit!B13</f>
        <v>Backline</v>
      </c>
      <c r="D15">
        <f>LightBandit!B8</f>
        <v>12</v>
      </c>
      <c r="E15">
        <f>LightBandit!B9</f>
        <v>2</v>
      </c>
      <c r="F15" t="str">
        <f>LightBandit!B10</f>
        <v>Warrior</v>
      </c>
      <c r="G15" t="str">
        <f>LightBandit!B11</f>
        <v>Weakest</v>
      </c>
      <c r="H15">
        <v>5</v>
      </c>
      <c r="I15" s="2">
        <f>LightBandit!B20</f>
        <v>3</v>
      </c>
      <c r="J15" s="2">
        <f>LightBandit!B21</f>
        <v>2.7000000000000006</v>
      </c>
      <c r="K15" s="2">
        <f>LightBandit!B22</f>
        <v>0</v>
      </c>
      <c r="L15" s="2">
        <f>LightBandit!B19</f>
        <v>5.7</v>
      </c>
      <c r="M15" s="2">
        <f>LightBandit!B16</f>
        <v>1.024</v>
      </c>
      <c r="N15" s="2">
        <f>LightBandit!B15</f>
        <v>2</v>
      </c>
      <c r="O15" s="2">
        <f t="shared" si="0"/>
        <v>2</v>
      </c>
      <c r="P15" s="2">
        <f>LightBandit!B17</f>
        <v>-0.97599999999999998</v>
      </c>
      <c r="Q15" t="str">
        <f t="shared" si="1"/>
        <v>UNDER</v>
      </c>
    </row>
    <row r="16" spans="1:17" x14ac:dyDescent="0.3">
      <c r="A16" t="s">
        <v>267</v>
      </c>
      <c r="B16" t="s">
        <v>87</v>
      </c>
      <c r="C16" t="str">
        <f>Mimic!B13</f>
        <v>Frontline</v>
      </c>
      <c r="D16">
        <f>Mimic!B8</f>
        <v>26</v>
      </c>
      <c r="E16">
        <f>Mimic!B9</f>
        <v>1</v>
      </c>
      <c r="F16" t="str">
        <f>Mimic!B10</f>
        <v>Warrior</v>
      </c>
      <c r="G16" t="str">
        <f>Mimic!B11</f>
        <v>Closest</v>
      </c>
      <c r="H16">
        <v>5</v>
      </c>
      <c r="I16" s="2">
        <f>Mimic!B20</f>
        <v>7</v>
      </c>
      <c r="J16" s="2">
        <f>Mimic!B21</f>
        <v>0</v>
      </c>
      <c r="K16" s="2">
        <f>Mimic!B22</f>
        <v>0</v>
      </c>
      <c r="L16" s="2">
        <f>Mimic!B19</f>
        <v>7</v>
      </c>
      <c r="M16" s="2">
        <f>Mimic!B16</f>
        <v>1.1759999999999999</v>
      </c>
      <c r="N16" s="2">
        <f>Mimic!B15</f>
        <v>2</v>
      </c>
      <c r="O16" s="2">
        <f t="shared" si="0"/>
        <v>2</v>
      </c>
      <c r="P16" s="2">
        <f>Mimic!B17</f>
        <v>-0.82399999999999995</v>
      </c>
      <c r="Q16" t="str">
        <f t="shared" si="1"/>
        <v>UNDER</v>
      </c>
    </row>
    <row r="17" spans="1:17" x14ac:dyDescent="0.3">
      <c r="A17" t="s">
        <v>269</v>
      </c>
      <c r="B17" t="s">
        <v>87</v>
      </c>
      <c r="C17" t="str">
        <f>Mushroom!B13</f>
        <v>Frontline</v>
      </c>
      <c r="D17">
        <f>Mushroom!B8</f>
        <v>13</v>
      </c>
      <c r="E17">
        <f>Mushroom!B9</f>
        <v>1</v>
      </c>
      <c r="F17" t="str">
        <f>Mushroom!B10</f>
        <v>Ranger</v>
      </c>
      <c r="G17" t="str">
        <f>Mushroom!B11</f>
        <v>Closest</v>
      </c>
      <c r="H17">
        <v>5</v>
      </c>
      <c r="I17" s="2">
        <f>Mushroom!B20</f>
        <v>0</v>
      </c>
      <c r="J17" s="2">
        <f>Mushroom!B21</f>
        <v>7.8000000000000007</v>
      </c>
      <c r="K17" s="2">
        <f>Mushroom!B22</f>
        <v>0</v>
      </c>
      <c r="L17" s="2">
        <f>Mushroom!B19</f>
        <v>11.800000000000002</v>
      </c>
      <c r="M17" s="2">
        <f>Mushroom!B16</f>
        <v>1.0760000000000001</v>
      </c>
      <c r="N17" s="2">
        <f>Mushroom!B15</f>
        <v>2</v>
      </c>
      <c r="O17" s="2">
        <f t="shared" si="0"/>
        <v>2</v>
      </c>
      <c r="P17" s="2">
        <f>Mushroom!B17</f>
        <v>-0.92400000000000004</v>
      </c>
      <c r="Q17" t="str">
        <f t="shared" si="1"/>
        <v>UNDER</v>
      </c>
    </row>
    <row r="18" spans="1:17" x14ac:dyDescent="0.3">
      <c r="A18" t="s">
        <v>272</v>
      </c>
      <c r="B18" t="s">
        <v>87</v>
      </c>
      <c r="C18" t="str">
        <f>Pebble!B13</f>
        <v>Frontline</v>
      </c>
      <c r="D18">
        <f>Pebble!B8</f>
        <v>6</v>
      </c>
      <c r="E18">
        <f>Pebble!B9</f>
        <v>1</v>
      </c>
      <c r="F18" t="str">
        <f>Pebble!B10</f>
        <v>Warrior</v>
      </c>
      <c r="G18" t="str">
        <f>Pebble!B11</f>
        <v>Closest</v>
      </c>
      <c r="H18">
        <v>5</v>
      </c>
      <c r="I18" s="2">
        <f>Pebble!B20</f>
        <v>2</v>
      </c>
      <c r="J18" s="2">
        <f>Pebble!B21</f>
        <v>0</v>
      </c>
      <c r="K18" s="2">
        <f>Pebble!B22</f>
        <v>0</v>
      </c>
      <c r="L18" s="2">
        <f>Pebble!B19</f>
        <v>2</v>
      </c>
      <c r="M18" s="2">
        <f>Pebble!B16</f>
        <v>0.29399999999999998</v>
      </c>
      <c r="N18" s="2">
        <f>Pebble!B15</f>
        <v>2</v>
      </c>
      <c r="O18" s="2">
        <f t="shared" si="0"/>
        <v>2</v>
      </c>
      <c r="P18" s="2">
        <f>Pebble!B17</f>
        <v>-1.706</v>
      </c>
      <c r="Q18" t="str">
        <f t="shared" si="1"/>
        <v>UNDER</v>
      </c>
    </row>
    <row r="19" spans="1:17" x14ac:dyDescent="0.3">
      <c r="A19" t="s">
        <v>275</v>
      </c>
      <c r="B19" t="s">
        <v>87</v>
      </c>
      <c r="C19" t="str">
        <f>PlagueRat!B13</f>
        <v>Frontline</v>
      </c>
      <c r="D19">
        <f>PlagueRat!B8</f>
        <v>11</v>
      </c>
      <c r="E19">
        <f>PlagueRat!B9</f>
        <v>2</v>
      </c>
      <c r="F19" t="str">
        <f>PlagueRat!B10</f>
        <v>Warrior</v>
      </c>
      <c r="G19" t="str">
        <f>PlagueRat!B11</f>
        <v>Weakest</v>
      </c>
      <c r="H19">
        <v>5</v>
      </c>
      <c r="I19" s="2">
        <f>PlagueRat!B20</f>
        <v>2</v>
      </c>
      <c r="J19" s="2">
        <f>PlagueRat!B21</f>
        <v>5.4000000000000012</v>
      </c>
      <c r="K19" s="2">
        <f>PlagueRat!B22</f>
        <v>0</v>
      </c>
      <c r="L19" s="2">
        <f>PlagueRat!B19</f>
        <v>7.4000000000000012</v>
      </c>
      <c r="M19" s="2">
        <f>PlagueRat!B16</f>
        <v>1.194</v>
      </c>
      <c r="N19" s="2">
        <f>PlagueRat!B15</f>
        <v>2</v>
      </c>
      <c r="O19" s="2">
        <f t="shared" si="0"/>
        <v>2</v>
      </c>
      <c r="P19" s="2">
        <f>PlagueRat!B17</f>
        <v>-0.80600000000000005</v>
      </c>
      <c r="Q19" t="str">
        <f t="shared" si="1"/>
        <v>UNDER</v>
      </c>
    </row>
    <row r="20" spans="1:17" x14ac:dyDescent="0.3">
      <c r="A20" t="s">
        <v>279</v>
      </c>
      <c r="B20" t="s">
        <v>87</v>
      </c>
      <c r="C20" t="str">
        <f>Rat!B13</f>
        <v>Frontline</v>
      </c>
      <c r="D20">
        <f>Rat!B8</f>
        <v>9</v>
      </c>
      <c r="E20">
        <f>Rat!B9</f>
        <v>2</v>
      </c>
      <c r="F20" t="str">
        <f>Rat!B10</f>
        <v>Warrior</v>
      </c>
      <c r="G20" t="str">
        <f>Rat!B11</f>
        <v>Weakest</v>
      </c>
      <c r="H20">
        <v>5</v>
      </c>
      <c r="I20" s="2">
        <f>Rat!B20</f>
        <v>2</v>
      </c>
      <c r="J20" s="2">
        <f>Rat!B21</f>
        <v>2.7000000000000006</v>
      </c>
      <c r="K20" s="2">
        <f>Rat!B22</f>
        <v>0</v>
      </c>
      <c r="L20" s="2">
        <f>Rat!B19</f>
        <v>4.7</v>
      </c>
      <c r="M20" s="2">
        <f>Rat!B16</f>
        <v>0.81799999999999995</v>
      </c>
      <c r="N20" s="2">
        <f>Rat!B15</f>
        <v>2</v>
      </c>
      <c r="O20" s="2">
        <f t="shared" si="0"/>
        <v>2</v>
      </c>
      <c r="P20" s="2">
        <f>Rat!B17</f>
        <v>-1.1819999999999999</v>
      </c>
      <c r="Q20" t="str">
        <f t="shared" si="1"/>
        <v>UNDER</v>
      </c>
    </row>
    <row r="21" spans="1:17" x14ac:dyDescent="0.3">
      <c r="A21" t="s">
        <v>235</v>
      </c>
      <c r="B21" t="s">
        <v>81</v>
      </c>
      <c r="C21" t="str">
        <f>Reaper!B13</f>
        <v>None</v>
      </c>
      <c r="D21">
        <f>Reaper!B8</f>
        <v>110</v>
      </c>
      <c r="E21">
        <f>Reaper!B9</f>
        <v>2</v>
      </c>
      <c r="F21" t="str">
        <f>Reaper!B10</f>
        <v>Summoner</v>
      </c>
      <c r="G21" t="str">
        <f>Reaper!B11</f>
        <v>Weakest</v>
      </c>
      <c r="H21">
        <v>7</v>
      </c>
      <c r="I21" s="2">
        <f>Reaper!B20</f>
        <v>5</v>
      </c>
      <c r="J21" s="2">
        <f>Reaper!B21</f>
        <v>4.55</v>
      </c>
      <c r="K21" s="2">
        <f>Reaper!B22</f>
        <v>0</v>
      </c>
      <c r="L21" s="2">
        <f>Reaper!B19</f>
        <v>12.8</v>
      </c>
      <c r="M21" s="2">
        <f>Reaper!B16</f>
        <v>4.7409999999999997</v>
      </c>
      <c r="N21" s="2">
        <f>Reaper!B15</f>
        <v>2</v>
      </c>
      <c r="O21" s="2">
        <f t="shared" si="0"/>
        <v>2</v>
      </c>
      <c r="P21" s="2">
        <f>Reaper!B17</f>
        <v>2.7410000000000001</v>
      </c>
      <c r="Q21" t="str">
        <f t="shared" si="1"/>
        <v>OVER</v>
      </c>
    </row>
    <row r="22" spans="1:17" x14ac:dyDescent="0.3">
      <c r="A22" t="s">
        <v>239</v>
      </c>
      <c r="B22" t="s">
        <v>81</v>
      </c>
      <c r="C22" t="str">
        <f>ReinforcedGolem!B13</f>
        <v>None</v>
      </c>
      <c r="D22">
        <f>ReinforcedGolem!B8</f>
        <v>150</v>
      </c>
      <c r="E22">
        <f>ReinforcedGolem!B9</f>
        <v>2</v>
      </c>
      <c r="F22" t="str">
        <f>ReinforcedGolem!B10</f>
        <v>Summoner</v>
      </c>
      <c r="G22" t="str">
        <f>ReinforcedGolem!B11</f>
        <v>Closest</v>
      </c>
      <c r="H22">
        <v>7</v>
      </c>
      <c r="I22" s="2">
        <f>ReinforcedGolem!B20</f>
        <v>5.5</v>
      </c>
      <c r="J22" s="2">
        <f>ReinforcedGolem!B21</f>
        <v>3.7</v>
      </c>
      <c r="K22" s="2">
        <f>ReinforcedGolem!B22</f>
        <v>0</v>
      </c>
      <c r="L22" s="2">
        <f>ReinforcedGolem!B19</f>
        <v>9.1999999999999993</v>
      </c>
      <c r="M22" s="2">
        <f>ReinforcedGolem!B16</f>
        <v>5.4939999999999998</v>
      </c>
      <c r="N22" s="2">
        <f>ReinforcedGolem!B15</f>
        <v>2</v>
      </c>
      <c r="O22" s="2">
        <f t="shared" si="0"/>
        <v>2</v>
      </c>
      <c r="P22" s="2">
        <f>ReinforcedGolem!B17</f>
        <v>3.4940000000000002</v>
      </c>
      <c r="Q22" t="str">
        <f t="shared" si="1"/>
        <v>OVER</v>
      </c>
    </row>
    <row r="23" spans="1:17" x14ac:dyDescent="0.3">
      <c r="A23" t="s">
        <v>163</v>
      </c>
      <c r="B23" t="s">
        <v>87</v>
      </c>
      <c r="C23" t="str">
        <f>Skeleton!B13</f>
        <v>Frontline</v>
      </c>
      <c r="D23">
        <f>Skeleton!B8</f>
        <v>16</v>
      </c>
      <c r="E23">
        <f>Skeleton!B9</f>
        <v>1</v>
      </c>
      <c r="F23" t="str">
        <f>Skeleton!B10</f>
        <v>Warrior</v>
      </c>
      <c r="G23" t="str">
        <f>Skeleton!B11</f>
        <v>Closest</v>
      </c>
      <c r="H23">
        <v>5</v>
      </c>
      <c r="I23" s="2">
        <f>Skeleton!B20</f>
        <v>3</v>
      </c>
      <c r="J23" s="2">
        <f>Skeleton!B21</f>
        <v>2.5</v>
      </c>
      <c r="K23" s="2">
        <f>Skeleton!B22</f>
        <v>0</v>
      </c>
      <c r="L23" s="2">
        <f>Skeleton!B19</f>
        <v>5.5</v>
      </c>
      <c r="M23" s="2">
        <f>Skeleton!B16</f>
        <v>0.79400000000000004</v>
      </c>
      <c r="N23" s="2">
        <f>Skeleton!B15</f>
        <v>2</v>
      </c>
      <c r="O23" s="2">
        <f t="shared" si="0"/>
        <v>2</v>
      </c>
      <c r="P23" s="2">
        <f>Skeleton!B17</f>
        <v>-1.206</v>
      </c>
      <c r="Q23" t="str">
        <f t="shared" si="1"/>
        <v>UNDER</v>
      </c>
    </row>
    <row r="24" spans="1:17" x14ac:dyDescent="0.3">
      <c r="A24" t="s">
        <v>156</v>
      </c>
      <c r="B24" t="s">
        <v>87</v>
      </c>
      <c r="C24" t="str">
        <f>SkeletonAlly!B13</f>
        <v>None</v>
      </c>
      <c r="D24">
        <f>SkeletonAlly!B8</f>
        <v>15</v>
      </c>
      <c r="E24">
        <f>SkeletonAlly!B9</f>
        <v>1</v>
      </c>
      <c r="F24" t="str">
        <f>SkeletonAlly!B10</f>
        <v>Warrior</v>
      </c>
      <c r="G24" t="str">
        <f>SkeletonAlly!B11</f>
        <v/>
      </c>
      <c r="H24">
        <v>4</v>
      </c>
      <c r="I24" s="2">
        <f>SkeletonAlly!B20</f>
        <v>5</v>
      </c>
      <c r="J24" s="2">
        <f>SkeletonAlly!B21</f>
        <v>0</v>
      </c>
      <c r="K24" s="2">
        <f>SkeletonAlly!B22</f>
        <v>0</v>
      </c>
      <c r="L24" s="2">
        <f>SkeletonAlly!B19</f>
        <v>5</v>
      </c>
      <c r="M24" s="2">
        <f>SkeletonAlly!B16</f>
        <v>0.73499999999999999</v>
      </c>
      <c r="N24" s="2">
        <f>SkeletonAlly!B15</f>
        <v>2</v>
      </c>
      <c r="O24" s="2">
        <f t="shared" si="0"/>
        <v>2</v>
      </c>
      <c r="P24" s="2">
        <f>SkeletonAlly!B17</f>
        <v>-1.2649999999999999</v>
      </c>
      <c r="Q24" t="str">
        <f t="shared" si="1"/>
        <v>UNDER</v>
      </c>
    </row>
    <row r="25" spans="1:17" x14ac:dyDescent="0.3">
      <c r="A25" t="s">
        <v>284</v>
      </c>
      <c r="B25" t="s">
        <v>87</v>
      </c>
      <c r="C25" t="str">
        <f>SkeletonWarrior!B13</f>
        <v>Frontline</v>
      </c>
      <c r="D25">
        <f>SkeletonWarrior!B8</f>
        <v>25</v>
      </c>
      <c r="E25">
        <f>SkeletonWarrior!B9</f>
        <v>1</v>
      </c>
      <c r="F25" t="str">
        <f>SkeletonWarrior!B10</f>
        <v>Warrior</v>
      </c>
      <c r="G25" t="str">
        <f>SkeletonWarrior!B11</f>
        <v>WarriorTargeting</v>
      </c>
      <c r="H25">
        <v>5</v>
      </c>
      <c r="I25" s="2">
        <f>SkeletonWarrior!B20</f>
        <v>5</v>
      </c>
      <c r="J25" s="2">
        <f>SkeletonWarrior!B21</f>
        <v>0</v>
      </c>
      <c r="K25" s="2">
        <f>SkeletonWarrior!B22</f>
        <v>0</v>
      </c>
      <c r="L25" s="2">
        <f>SkeletonWarrior!B19</f>
        <v>5</v>
      </c>
      <c r="M25" s="2">
        <f>SkeletonWarrior!B16</f>
        <v>1.0289999999999999</v>
      </c>
      <c r="N25" s="2">
        <f>SkeletonWarrior!B15</f>
        <v>1</v>
      </c>
      <c r="O25" s="2">
        <f t="shared" si="0"/>
        <v>1</v>
      </c>
      <c r="P25" s="2">
        <f>SkeletonWarrior!B17</f>
        <v>2.9000000000000001E-2</v>
      </c>
      <c r="Q25" t="str">
        <f t="shared" si="1"/>
        <v>OK</v>
      </c>
    </row>
    <row r="26" spans="1:17" x14ac:dyDescent="0.3">
      <c r="A26" t="s">
        <v>287</v>
      </c>
      <c r="B26" t="s">
        <v>87</v>
      </c>
      <c r="C26" t="str">
        <f>Skull!B13</f>
        <v>Backline</v>
      </c>
      <c r="D26">
        <f>Skull!B8</f>
        <v>7</v>
      </c>
      <c r="E26">
        <f>Skull!B9</f>
        <v>1</v>
      </c>
      <c r="F26" t="str">
        <f>Skull!B10</f>
        <v>Warrior</v>
      </c>
      <c r="G26" t="str">
        <f>Skull!B11</f>
        <v>Random</v>
      </c>
      <c r="H26">
        <v>5</v>
      </c>
      <c r="I26" s="2">
        <f>Skull!B20</f>
        <v>3</v>
      </c>
      <c r="J26" s="2">
        <f>Skull!B21</f>
        <v>2.6999999999999993</v>
      </c>
      <c r="K26" s="2">
        <f>Skull!B22</f>
        <v>0</v>
      </c>
      <c r="L26" s="2">
        <f>Skull!B19</f>
        <v>9.6999999999999993</v>
      </c>
      <c r="M26" s="2">
        <f>Skull!B16</f>
        <v>0.77600000000000002</v>
      </c>
      <c r="N26" s="2">
        <f>Skull!B15</f>
        <v>2</v>
      </c>
      <c r="O26" s="2">
        <f t="shared" si="0"/>
        <v>2</v>
      </c>
      <c r="P26" s="2">
        <f>Skull!B17</f>
        <v>-1.224</v>
      </c>
      <c r="Q26" t="str">
        <f t="shared" si="1"/>
        <v>UNDER</v>
      </c>
    </row>
    <row r="27" spans="1:17" x14ac:dyDescent="0.3">
      <c r="A27" t="s">
        <v>290</v>
      </c>
      <c r="B27" t="s">
        <v>87</v>
      </c>
      <c r="C27" t="str">
        <f>Slime!B13</f>
        <v>Frontline</v>
      </c>
      <c r="D27">
        <f>Slime!B8</f>
        <v>20</v>
      </c>
      <c r="E27">
        <f>Slime!B9</f>
        <v>1</v>
      </c>
      <c r="F27" t="str">
        <f>Slime!B10</f>
        <v>Warrior</v>
      </c>
      <c r="G27" t="str">
        <f>Slime!B11</f>
        <v>Closest</v>
      </c>
      <c r="H27">
        <v>5</v>
      </c>
      <c r="I27" s="2">
        <f>Slime!B20</f>
        <v>3</v>
      </c>
      <c r="J27" s="2">
        <f>Slime!B21</f>
        <v>1.5</v>
      </c>
      <c r="K27" s="2">
        <f>Slime!B22</f>
        <v>0</v>
      </c>
      <c r="L27" s="2">
        <f>Slime!B19</f>
        <v>4.5</v>
      </c>
      <c r="M27" s="2">
        <f>Slime!B16</f>
        <v>0.85299999999999998</v>
      </c>
      <c r="N27" s="2">
        <f>Slime!B15</f>
        <v>2</v>
      </c>
      <c r="O27" s="2">
        <f t="shared" si="0"/>
        <v>2</v>
      </c>
      <c r="P27" s="2">
        <f>Slime!B17</f>
        <v>-1.147</v>
      </c>
      <c r="Q27" t="str">
        <f t="shared" si="1"/>
        <v>UNDER</v>
      </c>
    </row>
    <row r="28" spans="1:17" x14ac:dyDescent="0.3">
      <c r="A28" t="s">
        <v>293</v>
      </c>
      <c r="B28" t="s">
        <v>87</v>
      </c>
      <c r="C28" t="str">
        <f>SpikedSlime!B13</f>
        <v>Frontline</v>
      </c>
      <c r="D28">
        <f>SpikedSlime!B8</f>
        <v>16</v>
      </c>
      <c r="E28">
        <f>SpikedSlime!B9</f>
        <v>1</v>
      </c>
      <c r="F28" t="str">
        <f>SpikedSlime!B10</f>
        <v>Warrior</v>
      </c>
      <c r="G28" t="str">
        <f>SpikedSlime!B11</f>
        <v>Closest</v>
      </c>
      <c r="H28">
        <v>5</v>
      </c>
      <c r="I28" s="2">
        <f>SpikedSlime!B20</f>
        <v>3</v>
      </c>
      <c r="J28" s="2">
        <f>SpikedSlime!B21</f>
        <v>2.4000000000000004</v>
      </c>
      <c r="K28" s="2">
        <f>SpikedSlime!B22</f>
        <v>0</v>
      </c>
      <c r="L28" s="2">
        <f>SpikedSlime!B19</f>
        <v>5.4000000000000012</v>
      </c>
      <c r="M28" s="2">
        <f>SpikedSlime!B16</f>
        <v>0.78800000000000003</v>
      </c>
      <c r="N28" s="2">
        <f>SpikedSlime!B15</f>
        <v>2</v>
      </c>
      <c r="O28" s="2">
        <f t="shared" si="0"/>
        <v>2</v>
      </c>
      <c r="P28" s="2">
        <f>SpikedSlime!B17</f>
        <v>-1.212</v>
      </c>
      <c r="Q28" t="str">
        <f t="shared" si="1"/>
        <v>UNDER</v>
      </c>
    </row>
    <row r="29" spans="1:17" x14ac:dyDescent="0.3">
      <c r="A29" t="s">
        <v>296</v>
      </c>
      <c r="B29" t="s">
        <v>87</v>
      </c>
      <c r="C29" t="str">
        <f>VampireBat!B13</f>
        <v>Backline</v>
      </c>
      <c r="D29">
        <f>VampireBat!B8</f>
        <v>9</v>
      </c>
      <c r="E29">
        <f>VampireBat!B9</f>
        <v>2</v>
      </c>
      <c r="F29" t="str">
        <f>VampireBat!B10</f>
        <v>Warrior</v>
      </c>
      <c r="G29" t="str">
        <f>VampireBat!B11</f>
        <v>Weakest</v>
      </c>
      <c r="H29">
        <v>5</v>
      </c>
      <c r="I29" s="2">
        <f>VampireBat!B20</f>
        <v>3</v>
      </c>
      <c r="J29" s="2">
        <f>VampireBat!B21</f>
        <v>2.4000000000000004</v>
      </c>
      <c r="K29" s="2">
        <f>VampireBat!B22</f>
        <v>0</v>
      </c>
      <c r="L29" s="2">
        <f>VampireBat!B19</f>
        <v>5.4000000000000012</v>
      </c>
      <c r="M29" s="2">
        <f>VampireBat!B16</f>
        <v>0.9</v>
      </c>
      <c r="N29" s="2">
        <f>VampireBat!B15</f>
        <v>2</v>
      </c>
      <c r="O29" s="2">
        <f t="shared" si="0"/>
        <v>2</v>
      </c>
      <c r="P29" s="2">
        <f>VampireBat!B17</f>
        <v>-1.1000000000000001</v>
      </c>
      <c r="Q29" t="str">
        <f t="shared" si="1"/>
        <v>UNDER</v>
      </c>
    </row>
  </sheetData>
  <autoFilter ref="A1:Q29" xr:uid="{00000000-0009-0000-0000-000002000000}"/>
  <conditionalFormatting sqref="Q2:Q29">
    <cfRule type="cellIs" dxfId="2" priority="1" operator="equal">
      <formula>"OVER"</formula>
    </cfRule>
    <cfRule type="cellIs" dxfId="1" priority="2" operator="equal">
      <formula>"UNDER"</formula>
    </cfRule>
    <cfRule type="cellIs" dxfId="0" priority="3" operator="equal">
      <formula>"OK"</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243</v>
      </c>
    </row>
    <row r="2" spans="1:2" x14ac:dyDescent="0.3">
      <c r="A2" s="1" t="s">
        <v>157</v>
      </c>
      <c r="B2" t="s">
        <v>87</v>
      </c>
    </row>
    <row r="3" spans="1:2" x14ac:dyDescent="0.3">
      <c r="A3" s="1" t="s">
        <v>158</v>
      </c>
      <c r="B3" t="s">
        <v>244</v>
      </c>
    </row>
    <row r="4" spans="1:2" x14ac:dyDescent="0.3">
      <c r="A4" s="1" t="s">
        <v>160</v>
      </c>
      <c r="B4" t="str">
        <f>IF($B$3="","NEW","Live")</f>
        <v>Live</v>
      </c>
    </row>
    <row r="6" spans="1:2" x14ac:dyDescent="0.3">
      <c r="A6" s="1" t="s">
        <v>161</v>
      </c>
    </row>
    <row r="7" spans="1:2" x14ac:dyDescent="0.3">
      <c r="A7" s="5" t="s">
        <v>162</v>
      </c>
      <c r="B7" t="s">
        <v>243</v>
      </c>
    </row>
    <row r="8" spans="1:2" x14ac:dyDescent="0.3">
      <c r="A8" s="5" t="s">
        <v>164</v>
      </c>
      <c r="B8">
        <v>15</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80</v>
      </c>
    </row>
    <row r="13" spans="1:2" x14ac:dyDescent="0.3">
      <c r="A13" s="5" t="s">
        <v>75</v>
      </c>
      <c r="B13" t="s">
        <v>97</v>
      </c>
    </row>
    <row r="15" spans="1:2" x14ac:dyDescent="0.3">
      <c r="A15" s="1" t="s">
        <v>167</v>
      </c>
      <c r="B15">
        <v>2</v>
      </c>
    </row>
    <row r="16" spans="1:2" x14ac:dyDescent="0.3">
      <c r="A16" s="1" t="s">
        <v>168</v>
      </c>
      <c r="B16" s="2">
        <f>IF($B$8="","",ROUND(($B$19*$B$9*pw_ActionScale+$B$8*pw_Health)/pw_Divisor,3))</f>
        <v>0.95899999999999996</v>
      </c>
    </row>
    <row r="17" spans="1:6" x14ac:dyDescent="0.3">
      <c r="A17" t="s">
        <v>169</v>
      </c>
      <c r="B17" s="2">
        <f>IF($B$15="","",ROUND($B$16-$B$15,3))</f>
        <v>-1.0409999999999999</v>
      </c>
    </row>
    <row r="18" spans="1:6" x14ac:dyDescent="0.3">
      <c r="B18" s="2"/>
    </row>
    <row r="19" spans="1:6" x14ac:dyDescent="0.3">
      <c r="A19" t="s">
        <v>170</v>
      </c>
      <c r="B19" s="2">
        <f>IFERROR(AVERAGEIF(B$26:F$26,"Yes",B$54:F$54),0)</f>
        <v>4.4000000000000004</v>
      </c>
    </row>
    <row r="20" spans="1:6" x14ac:dyDescent="0.3">
      <c r="A20" t="s">
        <v>171</v>
      </c>
      <c r="B20" s="2">
        <f>IFERROR(AVERAGEIF(B$26:F$26,"Yes",B$32:F$32),0)</f>
        <v>2</v>
      </c>
    </row>
    <row r="21" spans="1:6" x14ac:dyDescent="0.3">
      <c r="A21" t="s">
        <v>172</v>
      </c>
      <c r="B21" s="2">
        <f>IFERROR(AVERAGEIF(B$26:F$26,"Yes",B$55:F$55),0)</f>
        <v>2.4000000000000004</v>
      </c>
    </row>
    <row r="22" spans="1:6" x14ac:dyDescent="0.3">
      <c r="A22" t="s">
        <v>173</v>
      </c>
      <c r="B22" s="2">
        <f>IFERROR(AVERAGEIF(B$26:F$26,"Yes",B$52:F$52),0)</f>
        <v>0</v>
      </c>
    </row>
    <row r="24" spans="1:6" x14ac:dyDescent="0.3">
      <c r="A24" s="1" t="s">
        <v>174</v>
      </c>
      <c r="B24" t="s">
        <v>121</v>
      </c>
      <c r="C24" t="s">
        <v>121</v>
      </c>
      <c r="D24" t="s">
        <v>121</v>
      </c>
      <c r="E24" t="s">
        <v>121</v>
      </c>
      <c r="F24" t="s">
        <v>132</v>
      </c>
    </row>
    <row r="25" spans="1:6" x14ac:dyDescent="0.3">
      <c r="A25" t="s">
        <v>175</v>
      </c>
      <c r="B25" t="s">
        <v>245</v>
      </c>
      <c r="C25" t="s">
        <v>245</v>
      </c>
      <c r="D25" t="s">
        <v>245</v>
      </c>
      <c r="E25" t="s">
        <v>245</v>
      </c>
      <c r="F25" t="s">
        <v>177</v>
      </c>
    </row>
    <row r="26" spans="1:6" x14ac:dyDescent="0.3">
      <c r="A26" t="s">
        <v>178</v>
      </c>
      <c r="B26" t="s">
        <v>81</v>
      </c>
      <c r="C26" t="s">
        <v>81</v>
      </c>
      <c r="D26" t="s">
        <v>81</v>
      </c>
      <c r="E26" t="s">
        <v>81</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2</v>
      </c>
      <c r="C32" s="2">
        <v>2</v>
      </c>
      <c r="D32" s="2">
        <v>2</v>
      </c>
      <c r="E32" s="2">
        <v>2</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3</v>
      </c>
      <c r="C35" s="2">
        <v>3</v>
      </c>
      <c r="D35" s="2">
        <v>3</v>
      </c>
      <c r="E35" s="2">
        <v>3</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0</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4.4000000000000004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4.4000000000000004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4.4000000000000004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4.4000000000000004</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2.4000000000000004</v>
      </c>
      <c r="C55" s="2">
        <f>C$54-C$32*pw_Damage-C$33-C$52*pw_Summon</f>
        <v>2.4000000000000004</v>
      </c>
      <c r="D55" s="2">
        <f>D$54-D$32*pw_Damage-D$33-D$52*pw_Summon</f>
        <v>2.4000000000000004</v>
      </c>
      <c r="E55" s="2">
        <f>E$54-E$32*pw_Damage-E$33-E$52*pw_Summon</f>
        <v>2.4000000000000004</v>
      </c>
      <c r="F55" s="2">
        <f>F$54-F$32*pw_Damage-F$33-F$52*pw_Summon</f>
        <v>1</v>
      </c>
    </row>
    <row r="57" spans="1:6" x14ac:dyDescent="0.3">
      <c r="A57" s="1" t="s">
        <v>206</v>
      </c>
      <c r="B57" s="3"/>
    </row>
  </sheetData>
  <dataValidations count="5">
    <dataValidation type="list" allowBlank="1" sqref="B10" xr:uid="{00000000-0002-0000-0300-000000000000}">
      <formula1>list_Brain</formula1>
    </dataValidation>
    <dataValidation type="list" allowBlank="1" sqref="B11" xr:uid="{00000000-0002-0000-0300-000001000000}">
      <formula1>list_Targeting</formula1>
    </dataValidation>
    <dataValidation type="list" allowBlank="1" sqref="B12" xr:uid="{00000000-0002-0000-0300-000002000000}">
      <formula1>list_Loot</formula1>
    </dataValidation>
    <dataValidation type="list" allowBlank="1" sqref="B13" xr:uid="{00000000-0002-0000-0300-000003000000}">
      <formula1>list_Role</formula1>
    </dataValidation>
    <dataValidation type="list" allowBlank="1" sqref="B24:F24" xr:uid="{00000000-0002-0000-0300-000004000000}">
      <formula1>list_EnemyCard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207</v>
      </c>
    </row>
    <row r="2" spans="1:2" x14ac:dyDescent="0.3">
      <c r="A2" s="1" t="s">
        <v>157</v>
      </c>
      <c r="B2" t="s">
        <v>81</v>
      </c>
    </row>
    <row r="3" spans="1:2" x14ac:dyDescent="0.3">
      <c r="A3" s="1" t="s">
        <v>158</v>
      </c>
      <c r="B3" t="s">
        <v>208</v>
      </c>
    </row>
    <row r="4" spans="1:2" x14ac:dyDescent="0.3">
      <c r="A4" s="1" t="s">
        <v>160</v>
      </c>
      <c r="B4" t="str">
        <f>IF($B$3="","NEW","Live")</f>
        <v>Live</v>
      </c>
    </row>
    <row r="6" spans="1:2" x14ac:dyDescent="0.3">
      <c r="A6" s="1" t="s">
        <v>161</v>
      </c>
    </row>
    <row r="7" spans="1:2" x14ac:dyDescent="0.3">
      <c r="A7" s="5" t="s">
        <v>162</v>
      </c>
      <c r="B7" t="s">
        <v>209</v>
      </c>
    </row>
    <row r="8" spans="1:2" x14ac:dyDescent="0.3">
      <c r="A8" s="5" t="s">
        <v>164</v>
      </c>
      <c r="B8">
        <v>120</v>
      </c>
    </row>
    <row r="9" spans="1:2" x14ac:dyDescent="0.3">
      <c r="A9" s="5" t="s">
        <v>165</v>
      </c>
      <c r="B9">
        <v>2</v>
      </c>
    </row>
    <row r="10" spans="1:2" x14ac:dyDescent="0.3">
      <c r="A10" s="5" t="s">
        <v>72</v>
      </c>
      <c r="B10" t="s">
        <v>94</v>
      </c>
    </row>
    <row r="11" spans="1:2" x14ac:dyDescent="0.3">
      <c r="A11" s="5" t="s">
        <v>73</v>
      </c>
      <c r="B11" t="s">
        <v>102</v>
      </c>
    </row>
    <row r="12" spans="1:2" x14ac:dyDescent="0.3">
      <c r="A12" s="5" t="s">
        <v>166</v>
      </c>
      <c r="B12" t="s">
        <v>85</v>
      </c>
    </row>
    <row r="13" spans="1:2" x14ac:dyDescent="0.3">
      <c r="A13" s="5" t="s">
        <v>75</v>
      </c>
      <c r="B13" t="s">
        <v>79</v>
      </c>
    </row>
    <row r="15" spans="1:2" x14ac:dyDescent="0.3">
      <c r="A15" s="1" t="s">
        <v>167</v>
      </c>
      <c r="B15">
        <v>2</v>
      </c>
    </row>
    <row r="16" spans="1:2" x14ac:dyDescent="0.3">
      <c r="A16" s="1" t="s">
        <v>168</v>
      </c>
      <c r="B16" s="2">
        <f>IF($B$8="","",ROUND(($B$19*$B$9*pw_ActionScale+$B$8*pw_Health)/pw_Divisor,3))</f>
        <v>4.7370000000000001</v>
      </c>
    </row>
    <row r="17" spans="1:6" x14ac:dyDescent="0.3">
      <c r="A17" t="s">
        <v>169</v>
      </c>
      <c r="B17" s="2">
        <f>IF($B$15="","",ROUND($B$16-$B$15,3))</f>
        <v>2.7370000000000001</v>
      </c>
    </row>
    <row r="18" spans="1:6" x14ac:dyDescent="0.3">
      <c r="B18" s="2"/>
    </row>
    <row r="19" spans="1:6" x14ac:dyDescent="0.3">
      <c r="A19" t="s">
        <v>170</v>
      </c>
      <c r="B19" s="2">
        <f>IFERROR(AVERAGEIF(B$26:F$26,"Yes",B$54:F$54),0)</f>
        <v>10.266666666666667</v>
      </c>
    </row>
    <row r="20" spans="1:6" x14ac:dyDescent="0.3">
      <c r="A20" t="s">
        <v>171</v>
      </c>
      <c r="B20" s="2">
        <f>IFERROR(AVERAGEIF(B$26:F$26,"Yes",B$32:F$32),0)</f>
        <v>7</v>
      </c>
    </row>
    <row r="21" spans="1:6" x14ac:dyDescent="0.3">
      <c r="A21" t="s">
        <v>172</v>
      </c>
      <c r="B21" s="2">
        <f>IFERROR(AVERAGEIF(B$26:F$26,"Yes",B$55:F$55),0)</f>
        <v>3.2666666666666671</v>
      </c>
    </row>
    <row r="22" spans="1:6" x14ac:dyDescent="0.3">
      <c r="A22" t="s">
        <v>173</v>
      </c>
      <c r="B22" s="2">
        <f>IFERROR(AVERAGEIF(B$26:F$26,"Yes",B$52:F$52),0)</f>
        <v>0</v>
      </c>
    </row>
    <row r="24" spans="1:6" x14ac:dyDescent="0.3">
      <c r="A24" s="1" t="s">
        <v>174</v>
      </c>
      <c r="B24" t="s">
        <v>122</v>
      </c>
      <c r="C24" t="s">
        <v>122</v>
      </c>
      <c r="D24" t="s">
        <v>93</v>
      </c>
      <c r="E24" t="s">
        <v>110</v>
      </c>
      <c r="F24" t="s">
        <v>132</v>
      </c>
    </row>
    <row r="25" spans="1:6" x14ac:dyDescent="0.3">
      <c r="A25" t="s">
        <v>175</v>
      </c>
      <c r="B25" t="s">
        <v>210</v>
      </c>
      <c r="C25" t="s">
        <v>210</v>
      </c>
      <c r="D25" t="s">
        <v>211</v>
      </c>
      <c r="E25" t="s">
        <v>212</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0</v>
      </c>
      <c r="F29" s="7">
        <v>1</v>
      </c>
    </row>
    <row r="30" spans="1:6" x14ac:dyDescent="0.3">
      <c r="A30" t="s">
        <v>181</v>
      </c>
      <c r="B30" s="7">
        <v>1</v>
      </c>
      <c r="C30" s="7">
        <v>1</v>
      </c>
      <c r="D30" s="7">
        <v>1</v>
      </c>
      <c r="E30" s="7">
        <v>3</v>
      </c>
      <c r="F30" s="7">
        <v>1</v>
      </c>
    </row>
    <row r="31" spans="1:6" x14ac:dyDescent="0.3">
      <c r="A31" t="s">
        <v>182</v>
      </c>
      <c r="B31" s="7">
        <v>9</v>
      </c>
      <c r="C31" s="7">
        <v>9</v>
      </c>
      <c r="D31" s="7">
        <v>1</v>
      </c>
      <c r="E31" s="7">
        <v>1</v>
      </c>
      <c r="F31" s="7">
        <v>1</v>
      </c>
    </row>
    <row r="32" spans="1:6" x14ac:dyDescent="0.3">
      <c r="A32" t="s">
        <v>183</v>
      </c>
      <c r="B32" s="2">
        <v>8</v>
      </c>
      <c r="C32" s="2">
        <v>8</v>
      </c>
      <c r="D32" s="2">
        <v>5</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4</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10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0</v>
      </c>
      <c r="F51" s="2">
        <v>1</v>
      </c>
    </row>
    <row r="52" spans="1:6" x14ac:dyDescent="0.3">
      <c r="A52" t="s">
        <v>202</v>
      </c>
      <c r="B52" s="2">
        <v>0</v>
      </c>
      <c r="C52" s="2">
        <v>0</v>
      </c>
      <c r="D52" s="2">
        <v>0</v>
      </c>
      <c r="E52" s="2">
        <f>pow_Skeleton</f>
        <v>0.79400000000000004</v>
      </c>
      <c r="F52" s="2">
        <v>0</v>
      </c>
    </row>
    <row r="53" spans="1:6" x14ac:dyDescent="0.3">
      <c r="A53" t="s">
        <v>203</v>
      </c>
      <c r="B53" s="7">
        <v>0</v>
      </c>
      <c r="C53" s="7">
        <v>0</v>
      </c>
      <c r="D53" s="7">
        <v>0</v>
      </c>
      <c r="E53" s="7">
        <v>3</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10.4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10.4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10</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4.7940000000000005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2.4000000000000004</v>
      </c>
      <c r="C55" s="2">
        <f>C$54-C$32*pw_Damage-C$33-C$52*pw_Summon</f>
        <v>2.4000000000000004</v>
      </c>
      <c r="D55" s="2">
        <f>D$54-D$32*pw_Damage-D$33-D$52*pw_Summon</f>
        <v>5</v>
      </c>
      <c r="E55" s="2">
        <f>E$54-E$32*pw_Damage-E$33-E$52*pw_Summon</f>
        <v>0</v>
      </c>
      <c r="F55" s="2">
        <f>F$54-F$32*pw_Damage-F$33-F$52*pw_Summon</f>
        <v>1</v>
      </c>
    </row>
    <row r="57" spans="1:6" x14ac:dyDescent="0.3">
      <c r="A57" s="1" t="s">
        <v>206</v>
      </c>
      <c r="B57" s="3"/>
    </row>
  </sheetData>
  <dataValidations count="5">
    <dataValidation type="list" allowBlank="1" sqref="B10" xr:uid="{00000000-0002-0000-0400-000000000000}">
      <formula1>list_Brain</formula1>
    </dataValidation>
    <dataValidation type="list" allowBlank="1" sqref="B11" xr:uid="{00000000-0002-0000-0400-000001000000}">
      <formula1>list_Targeting</formula1>
    </dataValidation>
    <dataValidation type="list" allowBlank="1" sqref="B12" xr:uid="{00000000-0002-0000-0400-000002000000}">
      <formula1>list_Loot</formula1>
    </dataValidation>
    <dataValidation type="list" allowBlank="1" sqref="B13" xr:uid="{00000000-0002-0000-0400-000003000000}">
      <formula1>list_Role</formula1>
    </dataValidation>
    <dataValidation type="list" allowBlank="1" sqref="B24:F24" xr:uid="{00000000-0002-0000-0400-000004000000}">
      <formula1>list_EnemyCard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246</v>
      </c>
    </row>
    <row r="2" spans="1:2" x14ac:dyDescent="0.3">
      <c r="A2" s="1" t="s">
        <v>157</v>
      </c>
      <c r="B2" t="s">
        <v>87</v>
      </c>
    </row>
    <row r="3" spans="1:2" x14ac:dyDescent="0.3">
      <c r="A3" s="1" t="s">
        <v>158</v>
      </c>
      <c r="B3" t="s">
        <v>247</v>
      </c>
    </row>
    <row r="4" spans="1:2" x14ac:dyDescent="0.3">
      <c r="A4" s="1" t="s">
        <v>160</v>
      </c>
      <c r="B4" t="str">
        <f>IF($B$3="","NEW","Live")</f>
        <v>Live</v>
      </c>
    </row>
    <row r="6" spans="1:2" x14ac:dyDescent="0.3">
      <c r="A6" s="1" t="s">
        <v>161</v>
      </c>
    </row>
    <row r="7" spans="1:2" x14ac:dyDescent="0.3">
      <c r="A7" s="5" t="s">
        <v>162</v>
      </c>
      <c r="B7" t="s">
        <v>246</v>
      </c>
    </row>
    <row r="8" spans="1:2" x14ac:dyDescent="0.3">
      <c r="A8" s="5" t="s">
        <v>164</v>
      </c>
      <c r="B8">
        <v>18</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1.0589999999999999</v>
      </c>
    </row>
    <row r="17" spans="1:6" x14ac:dyDescent="0.3">
      <c r="A17" t="s">
        <v>169</v>
      </c>
      <c r="B17" s="2">
        <f>IF($B$15="","",ROUND($B$16-$B$15,3))</f>
        <v>-0.94099999999999995</v>
      </c>
    </row>
    <row r="18" spans="1:6" x14ac:dyDescent="0.3">
      <c r="B18" s="2"/>
    </row>
    <row r="19" spans="1:6" x14ac:dyDescent="0.3">
      <c r="A19" t="s">
        <v>170</v>
      </c>
      <c r="B19" s="2">
        <f>IFERROR(AVERAGEIF(B$26:F$26,"Yes",B$54:F$54),0)</f>
        <v>9</v>
      </c>
    </row>
    <row r="20" spans="1:6" x14ac:dyDescent="0.3">
      <c r="A20" t="s">
        <v>171</v>
      </c>
      <c r="B20" s="2">
        <f>IFERROR(AVERAGEIF(B$26:F$26,"Yes",B$32:F$32),0)</f>
        <v>4</v>
      </c>
    </row>
    <row r="21" spans="1:6" x14ac:dyDescent="0.3">
      <c r="A21" t="s">
        <v>172</v>
      </c>
      <c r="B21" s="2">
        <f>IFERROR(AVERAGEIF(B$26:F$26,"Yes",B$55:F$55),0)</f>
        <v>5</v>
      </c>
    </row>
    <row r="22" spans="1:6" x14ac:dyDescent="0.3">
      <c r="A22" t="s">
        <v>173</v>
      </c>
      <c r="B22" s="2">
        <f>IFERROR(AVERAGEIF(B$26:F$26,"Yes",B$52:F$52),0)</f>
        <v>0</v>
      </c>
    </row>
    <row r="24" spans="1:6" x14ac:dyDescent="0.3">
      <c r="A24" s="1" t="s">
        <v>174</v>
      </c>
      <c r="B24" t="s">
        <v>133</v>
      </c>
      <c r="C24" t="s">
        <v>133</v>
      </c>
      <c r="D24" t="s">
        <v>133</v>
      </c>
      <c r="E24" t="s">
        <v>132</v>
      </c>
      <c r="F24" t="s">
        <v>132</v>
      </c>
    </row>
    <row r="25" spans="1:6" x14ac:dyDescent="0.3">
      <c r="A25" t="s">
        <v>175</v>
      </c>
      <c r="B25" t="s">
        <v>248</v>
      </c>
      <c r="C25" t="s">
        <v>248</v>
      </c>
      <c r="D25" t="s">
        <v>248</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4</v>
      </c>
      <c r="C32" s="2">
        <v>4</v>
      </c>
      <c r="D32" s="2">
        <v>4</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10</v>
      </c>
      <c r="C37" s="2">
        <v>10</v>
      </c>
      <c r="D37" s="2">
        <v>10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9</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9</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9</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5</v>
      </c>
      <c r="C55" s="2">
        <f>C$54-C$32*pw_Damage-C$33-C$52*pw_Summon</f>
        <v>5</v>
      </c>
      <c r="D55" s="2">
        <f>D$54-D$32*pw_Damage-D$33-D$52*pw_Summon</f>
        <v>5</v>
      </c>
      <c r="E55" s="2">
        <f>E$54-E$32*pw_Damage-E$33-E$52*pw_Summon</f>
        <v>1</v>
      </c>
      <c r="F55" s="2">
        <f>F$54-F$32*pw_Damage-F$33-F$52*pw_Summon</f>
        <v>1</v>
      </c>
    </row>
    <row r="57" spans="1:6" x14ac:dyDescent="0.3">
      <c r="A57" s="1" t="s">
        <v>206</v>
      </c>
      <c r="B57" s="3"/>
    </row>
  </sheetData>
  <dataValidations count="5">
    <dataValidation type="list" allowBlank="1" sqref="B10" xr:uid="{00000000-0002-0000-0500-000000000000}">
      <formula1>list_Brain</formula1>
    </dataValidation>
    <dataValidation type="list" allowBlank="1" sqref="B11" xr:uid="{00000000-0002-0000-0500-000001000000}">
      <formula1>list_Targeting</formula1>
    </dataValidation>
    <dataValidation type="list" allowBlank="1" sqref="B12" xr:uid="{00000000-0002-0000-0500-000002000000}">
      <formula1>list_Loot</formula1>
    </dataValidation>
    <dataValidation type="list" allowBlank="1" sqref="B13" xr:uid="{00000000-0002-0000-0500-000003000000}">
      <formula1>list_Role</formula1>
    </dataValidation>
    <dataValidation type="list" allowBlank="1" sqref="B24:F24" xr:uid="{00000000-0002-0000-0500-000004000000}">
      <formula1>list_EnemyCard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249</v>
      </c>
    </row>
    <row r="2" spans="1:2" x14ac:dyDescent="0.3">
      <c r="A2" s="1" t="s">
        <v>157</v>
      </c>
      <c r="B2" t="s">
        <v>87</v>
      </c>
    </row>
    <row r="3" spans="1:2" x14ac:dyDescent="0.3">
      <c r="A3" s="1" t="s">
        <v>158</v>
      </c>
      <c r="B3" t="s">
        <v>250</v>
      </c>
    </row>
    <row r="4" spans="1:2" x14ac:dyDescent="0.3">
      <c r="A4" s="1" t="s">
        <v>160</v>
      </c>
      <c r="B4" t="str">
        <f>IF($B$3="","NEW","Live")</f>
        <v>Live</v>
      </c>
    </row>
    <row r="6" spans="1:2" x14ac:dyDescent="0.3">
      <c r="A6" s="1" t="s">
        <v>161</v>
      </c>
    </row>
    <row r="7" spans="1:2" x14ac:dyDescent="0.3">
      <c r="A7" s="5" t="s">
        <v>162</v>
      </c>
      <c r="B7" t="s">
        <v>89</v>
      </c>
    </row>
    <row r="8" spans="1:2" x14ac:dyDescent="0.3">
      <c r="A8" s="5" t="s">
        <v>164</v>
      </c>
      <c r="B8">
        <v>10</v>
      </c>
    </row>
    <row r="9" spans="1:2" x14ac:dyDescent="0.3">
      <c r="A9" s="5" t="s">
        <v>165</v>
      </c>
      <c r="B9">
        <v>1</v>
      </c>
    </row>
    <row r="10" spans="1:2" x14ac:dyDescent="0.3">
      <c r="A10" s="5" t="s">
        <v>72</v>
      </c>
      <c r="B10" t="s">
        <v>89</v>
      </c>
    </row>
    <row r="11" spans="1:2" x14ac:dyDescent="0.3">
      <c r="A11" s="5" t="s">
        <v>73</v>
      </c>
      <c r="B11" t="s">
        <v>99</v>
      </c>
    </row>
    <row r="12" spans="1:2" x14ac:dyDescent="0.3">
      <c r="A12" s="5" t="s">
        <v>166</v>
      </c>
      <c r="B12" t="s">
        <v>80</v>
      </c>
    </row>
    <row r="13" spans="1:2" x14ac:dyDescent="0.3">
      <c r="A13" s="5" t="s">
        <v>75</v>
      </c>
      <c r="B13" t="s">
        <v>92</v>
      </c>
    </row>
    <row r="15" spans="1:2" x14ac:dyDescent="0.3">
      <c r="A15" s="1" t="s">
        <v>167</v>
      </c>
      <c r="B15">
        <v>2</v>
      </c>
    </row>
    <row r="16" spans="1:2" x14ac:dyDescent="0.3">
      <c r="A16" s="1" t="s">
        <v>168</v>
      </c>
      <c r="B16" s="2">
        <f>IF($B$8="","",ROUND(($B$19*$B$9*pw_ActionScale+$B$8*pw_Health)/pw_Divisor,3))</f>
        <v>0.88200000000000001</v>
      </c>
    </row>
    <row r="17" spans="1:6" x14ac:dyDescent="0.3">
      <c r="A17" t="s">
        <v>169</v>
      </c>
      <c r="B17" s="2">
        <f>IF($B$15="","",ROUND($B$16-$B$15,3))</f>
        <v>-1.1180000000000001</v>
      </c>
    </row>
    <row r="18" spans="1:6" x14ac:dyDescent="0.3">
      <c r="B18" s="2"/>
    </row>
    <row r="19" spans="1:6" x14ac:dyDescent="0.3">
      <c r="A19" t="s">
        <v>170</v>
      </c>
      <c r="B19" s="2">
        <f>IFERROR(AVERAGEIF(B$26:F$26,"Yes",B$54:F$54),0)</f>
        <v>10</v>
      </c>
    </row>
    <row r="20" spans="1:6" x14ac:dyDescent="0.3">
      <c r="A20" t="s">
        <v>171</v>
      </c>
      <c r="B20" s="2">
        <f>IFERROR(AVERAGEIF(B$26:F$26,"Yes",B$32:F$32),0)</f>
        <v>3</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124</v>
      </c>
      <c r="C24" t="s">
        <v>124</v>
      </c>
      <c r="D24" t="s">
        <v>124</v>
      </c>
      <c r="E24" t="s">
        <v>124</v>
      </c>
      <c r="F24" t="s">
        <v>132</v>
      </c>
    </row>
    <row r="25" spans="1:6" x14ac:dyDescent="0.3">
      <c r="A25" t="s">
        <v>175</v>
      </c>
      <c r="B25" t="s">
        <v>251</v>
      </c>
      <c r="C25" t="s">
        <v>251</v>
      </c>
      <c r="D25" t="s">
        <v>251</v>
      </c>
      <c r="E25" t="s">
        <v>251</v>
      </c>
      <c r="F25" t="s">
        <v>177</v>
      </c>
    </row>
    <row r="26" spans="1:6" x14ac:dyDescent="0.3">
      <c r="A26" t="s">
        <v>178</v>
      </c>
      <c r="B26" t="s">
        <v>81</v>
      </c>
      <c r="C26" t="s">
        <v>81</v>
      </c>
      <c r="D26" t="s">
        <v>81</v>
      </c>
      <c r="E26" t="s">
        <v>81</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6</v>
      </c>
      <c r="C30" s="7">
        <v>6</v>
      </c>
      <c r="D30" s="7">
        <v>6</v>
      </c>
      <c r="E30" s="7">
        <v>6</v>
      </c>
      <c r="F30" s="7">
        <v>1</v>
      </c>
    </row>
    <row r="31" spans="1:6" x14ac:dyDescent="0.3">
      <c r="A31" t="s">
        <v>182</v>
      </c>
      <c r="B31" s="7">
        <v>1</v>
      </c>
      <c r="C31" s="7">
        <v>1</v>
      </c>
      <c r="D31" s="7">
        <v>1</v>
      </c>
      <c r="E31" s="7">
        <v>1</v>
      </c>
      <c r="F31" s="7">
        <v>1</v>
      </c>
    </row>
    <row r="32" spans="1:6" x14ac:dyDescent="0.3">
      <c r="A32" t="s">
        <v>183</v>
      </c>
      <c r="B32" s="2">
        <v>3</v>
      </c>
      <c r="C32" s="2">
        <v>3</v>
      </c>
      <c r="D32" s="2">
        <v>3</v>
      </c>
      <c r="E32" s="2">
        <v>3</v>
      </c>
      <c r="F32" s="2">
        <v>0</v>
      </c>
    </row>
    <row r="33" spans="1:6" x14ac:dyDescent="0.3">
      <c r="A33" t="s">
        <v>69</v>
      </c>
      <c r="B33" s="2">
        <f>IFERROR(VLOOKUP(B$30,range_Power,2,TRUE),0)</f>
        <v>7</v>
      </c>
      <c r="C33" s="2">
        <f>IFERROR(VLOOKUP(C$30,range_Power,2,TRUE),0)</f>
        <v>7</v>
      </c>
      <c r="D33" s="2">
        <f>IFERROR(VLOOKUP(D$30,range_Power,2,TRUE),0)</f>
        <v>7</v>
      </c>
      <c r="E33" s="2">
        <f>IFERROR(VLOOKUP(E$30,range_Power,2,TRUE),0)</f>
        <v>7</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0</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10</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10</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10</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10</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0</v>
      </c>
      <c r="F55" s="2">
        <f>F$54-F$32*pw_Damage-F$33-F$52*pw_Summon</f>
        <v>1</v>
      </c>
    </row>
    <row r="57" spans="1:6" x14ac:dyDescent="0.3">
      <c r="A57" s="1" t="s">
        <v>206</v>
      </c>
      <c r="B57" s="3"/>
    </row>
  </sheetData>
  <dataValidations count="5">
    <dataValidation type="list" allowBlank="1" sqref="B10" xr:uid="{00000000-0002-0000-0600-000000000000}">
      <formula1>list_Brain</formula1>
    </dataValidation>
    <dataValidation type="list" allowBlank="1" sqref="B11" xr:uid="{00000000-0002-0000-0600-000001000000}">
      <formula1>list_Targeting</formula1>
    </dataValidation>
    <dataValidation type="list" allowBlank="1" sqref="B12" xr:uid="{00000000-0002-0000-0600-000002000000}">
      <formula1>list_Loot</formula1>
    </dataValidation>
    <dataValidation type="list" allowBlank="1" sqref="B13" xr:uid="{00000000-0002-0000-0600-000003000000}">
      <formula1>list_Role</formula1>
    </dataValidation>
    <dataValidation type="list" allowBlank="1" sqref="B24:F24" xr:uid="{00000000-0002-0000-0600-000004000000}">
      <formula1>list_EnemyCard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213</v>
      </c>
    </row>
    <row r="2" spans="1:2" x14ac:dyDescent="0.3">
      <c r="A2" s="1" t="s">
        <v>157</v>
      </c>
      <c r="B2" t="s">
        <v>81</v>
      </c>
    </row>
    <row r="3" spans="1:2" x14ac:dyDescent="0.3">
      <c r="A3" s="1" t="s">
        <v>158</v>
      </c>
      <c r="B3" t="s">
        <v>214</v>
      </c>
    </row>
    <row r="4" spans="1:2" x14ac:dyDescent="0.3">
      <c r="A4" s="1" t="s">
        <v>160</v>
      </c>
      <c r="B4" t="str">
        <f>IF($B$3="","NEW","Live")</f>
        <v>Live</v>
      </c>
    </row>
    <row r="6" spans="1:2" x14ac:dyDescent="0.3">
      <c r="A6" s="1" t="s">
        <v>161</v>
      </c>
    </row>
    <row r="7" spans="1:2" x14ac:dyDescent="0.3">
      <c r="A7" s="5" t="s">
        <v>162</v>
      </c>
      <c r="B7" t="s">
        <v>215</v>
      </c>
    </row>
    <row r="8" spans="1:2" x14ac:dyDescent="0.3">
      <c r="A8" s="5" t="s">
        <v>164</v>
      </c>
      <c r="B8">
        <v>140</v>
      </c>
    </row>
    <row r="9" spans="1:2" x14ac:dyDescent="0.3">
      <c r="A9" s="5" t="s">
        <v>165</v>
      </c>
      <c r="B9">
        <v>2</v>
      </c>
    </row>
    <row r="10" spans="1:2" x14ac:dyDescent="0.3">
      <c r="A10" s="5" t="s">
        <v>72</v>
      </c>
      <c r="B10" t="s">
        <v>94</v>
      </c>
    </row>
    <row r="11" spans="1:2" x14ac:dyDescent="0.3">
      <c r="A11" s="5" t="s">
        <v>73</v>
      </c>
      <c r="B11" t="s">
        <v>102</v>
      </c>
    </row>
    <row r="12" spans="1:2" x14ac:dyDescent="0.3">
      <c r="A12" s="5" t="s">
        <v>166</v>
      </c>
      <c r="B12" t="s">
        <v>100</v>
      </c>
    </row>
    <row r="13" spans="1:2" x14ac:dyDescent="0.3">
      <c r="A13" s="5" t="s">
        <v>75</v>
      </c>
      <c r="B13" t="s">
        <v>79</v>
      </c>
    </row>
    <row r="15" spans="1:2" x14ac:dyDescent="0.3">
      <c r="A15" s="1" t="s">
        <v>167</v>
      </c>
      <c r="B15">
        <v>2</v>
      </c>
    </row>
    <row r="16" spans="1:2" x14ac:dyDescent="0.3">
      <c r="A16" s="1" t="s">
        <v>168</v>
      </c>
      <c r="B16" s="2">
        <f>IF($B$8="","",ROUND(($B$19*$B$9*pw_ActionScale+$B$8*pw_Health)/pw_Divisor,3))</f>
        <v>5.3760000000000003</v>
      </c>
    </row>
    <row r="17" spans="1:8" x14ac:dyDescent="0.3">
      <c r="A17" t="s">
        <v>169</v>
      </c>
      <c r="B17" s="2">
        <f>IF($B$15="","",ROUND($B$16-$B$15,3))</f>
        <v>3.3759999999999999</v>
      </c>
    </row>
    <row r="18" spans="1:8" x14ac:dyDescent="0.3">
      <c r="B18" s="2"/>
    </row>
    <row r="19" spans="1:8" x14ac:dyDescent="0.3">
      <c r="A19" t="s">
        <v>170</v>
      </c>
      <c r="B19" s="2">
        <f>IFERROR(AVERAGEIF(B$26:H$26,"Yes",B$54:H$54),0)</f>
        <v>10.7</v>
      </c>
    </row>
    <row r="20" spans="1:8" x14ac:dyDescent="0.3">
      <c r="A20" t="s">
        <v>171</v>
      </c>
      <c r="B20" s="2">
        <f>IFERROR(AVERAGEIF(B$26:H$26,"Yes",B$32:H$32),0)</f>
        <v>7</v>
      </c>
    </row>
    <row r="21" spans="1:8" x14ac:dyDescent="0.3">
      <c r="A21" t="s">
        <v>172</v>
      </c>
      <c r="B21" s="2">
        <f>IFERROR(AVERAGEIF(B$26:H$26,"Yes",B$55:H$55),0)</f>
        <v>3.7</v>
      </c>
    </row>
    <row r="22" spans="1:8" x14ac:dyDescent="0.3">
      <c r="A22" t="s">
        <v>173</v>
      </c>
      <c r="B22" s="2">
        <f>IFERROR(AVERAGEIF(B$26:H$26,"Yes",B$52:H$52),0)</f>
        <v>0</v>
      </c>
    </row>
    <row r="24" spans="1:8" x14ac:dyDescent="0.3">
      <c r="A24" s="1" t="s">
        <v>174</v>
      </c>
      <c r="B24" t="s">
        <v>127</v>
      </c>
      <c r="C24" t="s">
        <v>127</v>
      </c>
      <c r="D24" t="s">
        <v>141</v>
      </c>
      <c r="E24" t="s">
        <v>141</v>
      </c>
      <c r="F24" t="s">
        <v>140</v>
      </c>
      <c r="G24" t="s">
        <v>132</v>
      </c>
      <c r="H24" t="s">
        <v>132</v>
      </c>
    </row>
    <row r="25" spans="1:8" x14ac:dyDescent="0.3">
      <c r="A25" t="s">
        <v>175</v>
      </c>
      <c r="B25" t="s">
        <v>216</v>
      </c>
      <c r="C25" t="s">
        <v>216</v>
      </c>
      <c r="D25" t="s">
        <v>211</v>
      </c>
      <c r="E25" t="s">
        <v>211</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1</v>
      </c>
      <c r="C30" s="7">
        <v>1</v>
      </c>
      <c r="D30" s="7">
        <v>1</v>
      </c>
      <c r="E30" s="7">
        <v>1</v>
      </c>
      <c r="F30" s="7">
        <v>3</v>
      </c>
      <c r="G30" s="7">
        <v>1</v>
      </c>
      <c r="H30" s="7">
        <v>1</v>
      </c>
    </row>
    <row r="31" spans="1:8" x14ac:dyDescent="0.3">
      <c r="A31" t="s">
        <v>182</v>
      </c>
      <c r="B31" s="7">
        <v>1</v>
      </c>
      <c r="C31" s="7">
        <v>1</v>
      </c>
      <c r="D31" s="7">
        <v>9</v>
      </c>
      <c r="E31" s="7">
        <v>9</v>
      </c>
      <c r="F31" s="7">
        <v>1</v>
      </c>
      <c r="G31" s="7">
        <v>1</v>
      </c>
      <c r="H31" s="7">
        <v>1</v>
      </c>
    </row>
    <row r="32" spans="1:8" x14ac:dyDescent="0.3">
      <c r="A32" t="s">
        <v>183</v>
      </c>
      <c r="B32" s="2">
        <v>9</v>
      </c>
      <c r="C32" s="2">
        <v>9</v>
      </c>
      <c r="D32" s="2">
        <v>5</v>
      </c>
      <c r="E32" s="2">
        <v>5</v>
      </c>
      <c r="F32" s="2">
        <v>0</v>
      </c>
      <c r="G32" s="2">
        <v>0</v>
      </c>
      <c r="H32" s="2">
        <v>0</v>
      </c>
    </row>
    <row r="33" spans="1:8" x14ac:dyDescent="0.3">
      <c r="A33" t="s">
        <v>69</v>
      </c>
      <c r="B33" s="2">
        <f t="shared" ref="B33:H33" si="0">IFERROR(VLOOKUP(B$30,range_Power,2,TRUE),0)</f>
        <v>0</v>
      </c>
      <c r="C33" s="2">
        <f t="shared" si="0"/>
        <v>0</v>
      </c>
      <c r="D33" s="2">
        <f t="shared" si="0"/>
        <v>0</v>
      </c>
      <c r="E33" s="2">
        <f t="shared" si="0"/>
        <v>0</v>
      </c>
      <c r="F33" s="2">
        <f t="shared" si="0"/>
        <v>4</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10</v>
      </c>
      <c r="E36" s="2">
        <v>10</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pow_LightBandit</f>
        <v>1.024</v>
      </c>
      <c r="G52" s="2">
        <v>0</v>
      </c>
      <c r="H52" s="2">
        <v>0</v>
      </c>
    </row>
    <row r="53" spans="1:8" x14ac:dyDescent="0.3">
      <c r="A53" t="s">
        <v>203</v>
      </c>
      <c r="B53" s="7">
        <v>0</v>
      </c>
      <c r="C53" s="7">
        <v>0</v>
      </c>
      <c r="D53" s="7">
        <v>0</v>
      </c>
      <c r="E53" s="7">
        <v>0</v>
      </c>
      <c r="F53" s="7">
        <v>3</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9</v>
      </c>
      <c r="C54" s="2">
        <f t="shared" si="1"/>
        <v>9</v>
      </c>
      <c r="D54" s="2">
        <f t="shared" si="1"/>
        <v>12.4</v>
      </c>
      <c r="E54" s="2">
        <f t="shared" si="1"/>
        <v>12.4</v>
      </c>
      <c r="F54" s="2">
        <f t="shared" si="1"/>
        <v>5.024</v>
      </c>
      <c r="G54" s="2">
        <f t="shared" si="1"/>
        <v>1</v>
      </c>
      <c r="H54" s="2">
        <f t="shared" si="1"/>
        <v>1</v>
      </c>
    </row>
    <row r="55" spans="1:8" x14ac:dyDescent="0.3">
      <c r="A55" t="s">
        <v>205</v>
      </c>
      <c r="B55" s="2">
        <f t="shared" ref="B55:H55" si="2">B$54-B$32*pw_Damage-B$33-B$52*pw_Summon</f>
        <v>0</v>
      </c>
      <c r="C55" s="2">
        <f t="shared" si="2"/>
        <v>0</v>
      </c>
      <c r="D55" s="2">
        <f t="shared" si="2"/>
        <v>7.4</v>
      </c>
      <c r="E55" s="2">
        <f t="shared" si="2"/>
        <v>7.4</v>
      </c>
      <c r="F55" s="2">
        <f t="shared" si="2"/>
        <v>0</v>
      </c>
      <c r="G55" s="2">
        <f t="shared" si="2"/>
        <v>1</v>
      </c>
      <c r="H55" s="2">
        <f t="shared" si="2"/>
        <v>1</v>
      </c>
    </row>
    <row r="57" spans="1:8" x14ac:dyDescent="0.3">
      <c r="A57" s="1" t="s">
        <v>206</v>
      </c>
      <c r="B57" s="3"/>
    </row>
  </sheetData>
  <dataValidations count="5">
    <dataValidation type="list" allowBlank="1" sqref="B10" xr:uid="{00000000-0002-0000-0700-000000000000}">
      <formula1>list_Brain</formula1>
    </dataValidation>
    <dataValidation type="list" allowBlank="1" sqref="B11" xr:uid="{00000000-0002-0000-0700-000001000000}">
      <formula1>list_Targeting</formula1>
    </dataValidation>
    <dataValidation type="list" allowBlank="1" sqref="B12" xr:uid="{00000000-0002-0000-0700-000002000000}">
      <formula1>list_Loot</formula1>
    </dataValidation>
    <dataValidation type="list" allowBlank="1" sqref="B13" xr:uid="{00000000-0002-0000-0700-000003000000}">
      <formula1>list_Role</formula1>
    </dataValidation>
    <dataValidation type="list" allowBlank="1" sqref="B24:H24" xr:uid="{00000000-0002-0000-0700-000004000000}">
      <formula1>list_EnemyCard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217</v>
      </c>
    </row>
    <row r="2" spans="1:2" x14ac:dyDescent="0.3">
      <c r="A2" s="1" t="s">
        <v>157</v>
      </c>
      <c r="B2" t="s">
        <v>81</v>
      </c>
    </row>
    <row r="3" spans="1:2" x14ac:dyDescent="0.3">
      <c r="A3" s="1" t="s">
        <v>158</v>
      </c>
      <c r="B3" t="s">
        <v>218</v>
      </c>
    </row>
    <row r="4" spans="1:2" x14ac:dyDescent="0.3">
      <c r="A4" s="1" t="s">
        <v>160</v>
      </c>
      <c r="B4" t="str">
        <f>IF($B$3="","NEW","Live")</f>
        <v>Live</v>
      </c>
    </row>
    <row r="6" spans="1:2" x14ac:dyDescent="0.3">
      <c r="A6" s="1" t="s">
        <v>161</v>
      </c>
    </row>
    <row r="7" spans="1:2" x14ac:dyDescent="0.3">
      <c r="A7" s="5" t="s">
        <v>162</v>
      </c>
      <c r="B7" t="s">
        <v>219</v>
      </c>
    </row>
    <row r="8" spans="1:2" x14ac:dyDescent="0.3">
      <c r="A8" s="5" t="s">
        <v>164</v>
      </c>
      <c r="B8">
        <v>130</v>
      </c>
    </row>
    <row r="9" spans="1:2" x14ac:dyDescent="0.3">
      <c r="A9" s="5" t="s">
        <v>165</v>
      </c>
      <c r="B9">
        <v>2</v>
      </c>
    </row>
    <row r="10" spans="1:2" x14ac:dyDescent="0.3">
      <c r="A10" s="5" t="s">
        <v>72</v>
      </c>
      <c r="B10" t="s">
        <v>94</v>
      </c>
    </row>
    <row r="11" spans="1:2" x14ac:dyDescent="0.3">
      <c r="A11" s="5" t="s">
        <v>73</v>
      </c>
      <c r="B11" t="s">
        <v>84</v>
      </c>
    </row>
    <row r="12" spans="1:2" x14ac:dyDescent="0.3">
      <c r="A12" s="5" t="s">
        <v>166</v>
      </c>
      <c r="B12" t="s">
        <v>103</v>
      </c>
    </row>
    <row r="13" spans="1:2" x14ac:dyDescent="0.3">
      <c r="A13" s="5" t="s">
        <v>75</v>
      </c>
      <c r="B13" t="s">
        <v>79</v>
      </c>
    </row>
    <row r="15" spans="1:2" x14ac:dyDescent="0.3">
      <c r="A15" s="1" t="s">
        <v>167</v>
      </c>
      <c r="B15">
        <v>2</v>
      </c>
    </row>
    <row r="16" spans="1:2" x14ac:dyDescent="0.3">
      <c r="A16" s="1" t="s">
        <v>168</v>
      </c>
      <c r="B16" s="2">
        <f>IF($B$8="","",ROUND(($B$19*$B$9*pw_ActionScale+$B$8*pw_Health)/pw_Divisor,3))</f>
        <v>4.7939999999999996</v>
      </c>
    </row>
    <row r="17" spans="1:8" x14ac:dyDescent="0.3">
      <c r="A17" t="s">
        <v>169</v>
      </c>
      <c r="B17" s="2">
        <f>IF($B$15="","",ROUND($B$16-$B$15,3))</f>
        <v>2.794</v>
      </c>
    </row>
    <row r="18" spans="1:8" x14ac:dyDescent="0.3">
      <c r="B18" s="2"/>
    </row>
    <row r="19" spans="1:8" x14ac:dyDescent="0.3">
      <c r="A19" t="s">
        <v>170</v>
      </c>
      <c r="B19" s="2">
        <f>IFERROR(AVERAGEIF(B$26:H$26,"Yes",B$54:H$54),0)</f>
        <v>8.25</v>
      </c>
    </row>
    <row r="20" spans="1:8" x14ac:dyDescent="0.3">
      <c r="A20" t="s">
        <v>171</v>
      </c>
      <c r="B20" s="2">
        <f>IFERROR(AVERAGEIF(B$26:H$26,"Yes",B$32:H$32),0)</f>
        <v>5</v>
      </c>
    </row>
    <row r="21" spans="1:8" x14ac:dyDescent="0.3">
      <c r="A21" t="s">
        <v>172</v>
      </c>
      <c r="B21" s="2">
        <f>IFERROR(AVERAGEIF(B$26:H$26,"Yes",B$55:H$55),0)</f>
        <v>3.25</v>
      </c>
    </row>
    <row r="22" spans="1:8" x14ac:dyDescent="0.3">
      <c r="A22" t="s">
        <v>173</v>
      </c>
      <c r="B22" s="2">
        <f>IFERROR(AVERAGEIF(B$26:H$26,"Yes",B$52:H$52),0)</f>
        <v>0</v>
      </c>
    </row>
    <row r="24" spans="1:8" x14ac:dyDescent="0.3">
      <c r="A24" s="1" t="s">
        <v>174</v>
      </c>
      <c r="B24" t="s">
        <v>138</v>
      </c>
      <c r="C24" t="s">
        <v>138</v>
      </c>
      <c r="D24" t="s">
        <v>144</v>
      </c>
      <c r="E24" t="s">
        <v>144</v>
      </c>
      <c r="F24" t="s">
        <v>137</v>
      </c>
      <c r="G24" t="s">
        <v>132</v>
      </c>
      <c r="H24" t="s">
        <v>132</v>
      </c>
    </row>
    <row r="25" spans="1:8" x14ac:dyDescent="0.3">
      <c r="A25" t="s">
        <v>175</v>
      </c>
      <c r="B25" t="s">
        <v>220</v>
      </c>
      <c r="C25" t="s">
        <v>220</v>
      </c>
      <c r="D25" t="s">
        <v>221</v>
      </c>
      <c r="E25" t="s">
        <v>221</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1</v>
      </c>
      <c r="C30" s="7">
        <v>1</v>
      </c>
      <c r="D30" s="7">
        <v>1</v>
      </c>
      <c r="E30" s="7">
        <v>1</v>
      </c>
      <c r="F30" s="7">
        <v>3</v>
      </c>
      <c r="G30" s="7">
        <v>1</v>
      </c>
      <c r="H30" s="7">
        <v>1</v>
      </c>
    </row>
    <row r="31" spans="1:8" x14ac:dyDescent="0.3">
      <c r="A31" t="s">
        <v>182</v>
      </c>
      <c r="B31" s="7">
        <v>1</v>
      </c>
      <c r="C31" s="7">
        <v>1</v>
      </c>
      <c r="D31" s="7">
        <v>1</v>
      </c>
      <c r="E31" s="7">
        <v>1</v>
      </c>
      <c r="F31" s="7">
        <v>1</v>
      </c>
      <c r="G31" s="7">
        <v>1</v>
      </c>
      <c r="H31" s="7">
        <v>1</v>
      </c>
    </row>
    <row r="32" spans="1:8" x14ac:dyDescent="0.3">
      <c r="A32" t="s">
        <v>183</v>
      </c>
      <c r="B32" s="2">
        <v>6</v>
      </c>
      <c r="C32" s="2">
        <v>6</v>
      </c>
      <c r="D32" s="2">
        <v>4</v>
      </c>
      <c r="E32" s="2">
        <v>4</v>
      </c>
      <c r="F32" s="2">
        <v>0</v>
      </c>
      <c r="G32" s="2">
        <v>0</v>
      </c>
      <c r="H32" s="2">
        <v>0</v>
      </c>
    </row>
    <row r="33" spans="1:8" x14ac:dyDescent="0.3">
      <c r="A33" t="s">
        <v>69</v>
      </c>
      <c r="B33" s="2">
        <f t="shared" ref="B33:H33" si="0">IFERROR(VLOOKUP(B$30,range_Power,2,TRUE),0)</f>
        <v>0</v>
      </c>
      <c r="C33" s="2">
        <f t="shared" si="0"/>
        <v>0</v>
      </c>
      <c r="D33" s="2">
        <f t="shared" si="0"/>
        <v>0</v>
      </c>
      <c r="E33" s="2">
        <f t="shared" si="0"/>
        <v>0</v>
      </c>
      <c r="F33" s="2">
        <f t="shared" si="0"/>
        <v>4</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10</v>
      </c>
      <c r="E36" s="2">
        <v>10</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1</v>
      </c>
      <c r="C38" s="2">
        <v>1</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pow_HeavyBandit</f>
        <v>1</v>
      </c>
      <c r="G52" s="2">
        <v>0</v>
      </c>
      <c r="H52" s="2">
        <v>0</v>
      </c>
    </row>
    <row r="53" spans="1:8" x14ac:dyDescent="0.3">
      <c r="A53" t="s">
        <v>203</v>
      </c>
      <c r="B53" s="7">
        <v>0</v>
      </c>
      <c r="C53" s="7">
        <v>0</v>
      </c>
      <c r="D53" s="7">
        <v>0</v>
      </c>
      <c r="E53" s="7">
        <v>0</v>
      </c>
      <c r="F53" s="7">
        <v>4</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7.5</v>
      </c>
      <c r="C54" s="2">
        <f t="shared" si="1"/>
        <v>7.5</v>
      </c>
      <c r="D54" s="2">
        <f t="shared" si="1"/>
        <v>9</v>
      </c>
      <c r="E54" s="2">
        <f t="shared" si="1"/>
        <v>9</v>
      </c>
      <c r="F54" s="2">
        <f t="shared" si="1"/>
        <v>5</v>
      </c>
      <c r="G54" s="2">
        <f t="shared" si="1"/>
        <v>1</v>
      </c>
      <c r="H54" s="2">
        <f t="shared" si="1"/>
        <v>1</v>
      </c>
    </row>
    <row r="55" spans="1:8" x14ac:dyDescent="0.3">
      <c r="A55" t="s">
        <v>205</v>
      </c>
      <c r="B55" s="2">
        <f t="shared" ref="B55:H55" si="2">B$54-B$32*pw_Damage-B$33-B$52*pw_Summon</f>
        <v>1.5</v>
      </c>
      <c r="C55" s="2">
        <f t="shared" si="2"/>
        <v>1.5</v>
      </c>
      <c r="D55" s="2">
        <f t="shared" si="2"/>
        <v>5</v>
      </c>
      <c r="E55" s="2">
        <f t="shared" si="2"/>
        <v>5</v>
      </c>
      <c r="F55" s="2">
        <f t="shared" si="2"/>
        <v>0</v>
      </c>
      <c r="G55" s="2">
        <f t="shared" si="2"/>
        <v>1</v>
      </c>
      <c r="H55" s="2">
        <f t="shared" si="2"/>
        <v>1</v>
      </c>
    </row>
    <row r="57" spans="1:8" x14ac:dyDescent="0.3">
      <c r="A57" s="1" t="s">
        <v>206</v>
      </c>
      <c r="B57" s="3"/>
    </row>
  </sheetData>
  <dataValidations count="5">
    <dataValidation type="list" allowBlank="1" sqref="B10" xr:uid="{00000000-0002-0000-0800-000000000000}">
      <formula1>list_Brain</formula1>
    </dataValidation>
    <dataValidation type="list" allowBlank="1" sqref="B11" xr:uid="{00000000-0002-0000-0800-000001000000}">
      <formula1>list_Targeting</formula1>
    </dataValidation>
    <dataValidation type="list" allowBlank="1" sqref="B12" xr:uid="{00000000-0002-0000-0800-000002000000}">
      <formula1>list_Loot</formula1>
    </dataValidation>
    <dataValidation type="list" allowBlank="1" sqref="B13" xr:uid="{00000000-0002-0000-0800-000003000000}">
      <formula1>list_Role</formula1>
    </dataValidation>
    <dataValidation type="list" allowBlank="1" sqref="B24:H24" xr:uid="{00000000-0002-0000-0800-000004000000}">
      <formula1>list_EnemyCard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222</v>
      </c>
    </row>
    <row r="2" spans="1:2" x14ac:dyDescent="0.3">
      <c r="A2" s="1" t="s">
        <v>157</v>
      </c>
      <c r="B2" t="s">
        <v>81</v>
      </c>
    </row>
    <row r="3" spans="1:2" x14ac:dyDescent="0.3">
      <c r="A3" s="1" t="s">
        <v>158</v>
      </c>
      <c r="B3" t="s">
        <v>223</v>
      </c>
    </row>
    <row r="4" spans="1:2" x14ac:dyDescent="0.3">
      <c r="A4" s="1" t="s">
        <v>160</v>
      </c>
      <c r="B4" t="str">
        <f>IF($B$3="","NEW","Live")</f>
        <v>Live</v>
      </c>
    </row>
    <row r="6" spans="1:2" x14ac:dyDescent="0.3">
      <c r="A6" s="1" t="s">
        <v>161</v>
      </c>
    </row>
    <row r="7" spans="1:2" x14ac:dyDescent="0.3">
      <c r="A7" s="5" t="s">
        <v>162</v>
      </c>
      <c r="B7" t="s">
        <v>224</v>
      </c>
    </row>
    <row r="8" spans="1:2" x14ac:dyDescent="0.3">
      <c r="A8" s="5" t="s">
        <v>164</v>
      </c>
      <c r="B8">
        <v>90</v>
      </c>
    </row>
    <row r="9" spans="1:2" x14ac:dyDescent="0.3">
      <c r="A9" s="5" t="s">
        <v>165</v>
      </c>
      <c r="B9">
        <v>2</v>
      </c>
    </row>
    <row r="10" spans="1:2" x14ac:dyDescent="0.3">
      <c r="A10" s="5" t="s">
        <v>72</v>
      </c>
      <c r="B10" t="s">
        <v>94</v>
      </c>
    </row>
    <row r="11" spans="1:2" x14ac:dyDescent="0.3">
      <c r="A11" s="5" t="s">
        <v>73</v>
      </c>
      <c r="B11" t="s">
        <v>108</v>
      </c>
    </row>
    <row r="12" spans="1:2" x14ac:dyDescent="0.3">
      <c r="A12" s="5" t="s">
        <v>166</v>
      </c>
      <c r="B12" t="s">
        <v>111</v>
      </c>
    </row>
    <row r="13" spans="1:2" x14ac:dyDescent="0.3">
      <c r="A13" s="5" t="s">
        <v>75</v>
      </c>
      <c r="B13" t="s">
        <v>79</v>
      </c>
    </row>
    <row r="15" spans="1:2" x14ac:dyDescent="0.3">
      <c r="A15" s="1" t="s">
        <v>167</v>
      </c>
      <c r="B15">
        <v>2</v>
      </c>
    </row>
    <row r="16" spans="1:2" x14ac:dyDescent="0.3">
      <c r="A16" s="1" t="s">
        <v>168</v>
      </c>
      <c r="B16" s="2">
        <f>IF($B$8="","",ROUND(($B$19*$B$9*pw_ActionScale+$B$8*pw_Health)/pw_Divisor,3))</f>
        <v>3.9710000000000001</v>
      </c>
    </row>
    <row r="17" spans="1:8" x14ac:dyDescent="0.3">
      <c r="A17" t="s">
        <v>169</v>
      </c>
      <c r="B17" s="2">
        <f>IF($B$15="","",ROUND($B$16-$B$15,3))</f>
        <v>1.9710000000000001</v>
      </c>
    </row>
    <row r="18" spans="1:8" x14ac:dyDescent="0.3">
      <c r="B18" s="2"/>
    </row>
    <row r="19" spans="1:8" x14ac:dyDescent="0.3">
      <c r="A19" t="s">
        <v>170</v>
      </c>
      <c r="B19" s="2">
        <f>IFERROR(AVERAGEIF(B$26:H$26,"Yes",B$54:H$54),0)</f>
        <v>11.25</v>
      </c>
    </row>
    <row r="20" spans="1:8" x14ac:dyDescent="0.3">
      <c r="A20" t="s">
        <v>171</v>
      </c>
      <c r="B20" s="2">
        <f>IFERROR(AVERAGEIF(B$26:H$26,"Yes",B$32:H$32),0)</f>
        <v>4</v>
      </c>
    </row>
    <row r="21" spans="1:8" x14ac:dyDescent="0.3">
      <c r="A21" t="s">
        <v>172</v>
      </c>
      <c r="B21" s="2">
        <f>IFERROR(AVERAGEIF(B$26:H$26,"Yes",B$55:H$55),0)</f>
        <v>1.75</v>
      </c>
    </row>
    <row r="22" spans="1:8" x14ac:dyDescent="0.3">
      <c r="A22" t="s">
        <v>173</v>
      </c>
      <c r="B22" s="2">
        <f>IFERROR(AVERAGEIF(B$26:H$26,"Yes",B$52:H$52),0)</f>
        <v>0</v>
      </c>
    </row>
    <row r="24" spans="1:8" x14ac:dyDescent="0.3">
      <c r="A24" s="1" t="s">
        <v>174</v>
      </c>
      <c r="B24" t="s">
        <v>118</v>
      </c>
      <c r="C24" t="s">
        <v>118</v>
      </c>
      <c r="D24" t="s">
        <v>143</v>
      </c>
      <c r="E24" t="s">
        <v>143</v>
      </c>
      <c r="F24" t="s">
        <v>151</v>
      </c>
      <c r="G24" t="s">
        <v>132</v>
      </c>
      <c r="H24" t="s">
        <v>132</v>
      </c>
    </row>
    <row r="25" spans="1:8" x14ac:dyDescent="0.3">
      <c r="A25" t="s">
        <v>175</v>
      </c>
      <c r="B25" t="s">
        <v>176</v>
      </c>
      <c r="C25" t="s">
        <v>176</v>
      </c>
      <c r="D25" t="s">
        <v>225</v>
      </c>
      <c r="E25" t="s">
        <v>225</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5</v>
      </c>
      <c r="C30" s="7">
        <v>5</v>
      </c>
      <c r="D30" s="7">
        <v>4</v>
      </c>
      <c r="E30" s="7">
        <v>4</v>
      </c>
      <c r="F30" s="7">
        <v>3</v>
      </c>
      <c r="G30" s="7">
        <v>1</v>
      </c>
      <c r="H30" s="7">
        <v>1</v>
      </c>
    </row>
    <row r="31" spans="1:8" x14ac:dyDescent="0.3">
      <c r="A31" t="s">
        <v>182</v>
      </c>
      <c r="B31" s="7">
        <v>1</v>
      </c>
      <c r="C31" s="7">
        <v>1</v>
      </c>
      <c r="D31" s="7">
        <v>1</v>
      </c>
      <c r="E31" s="7">
        <v>1</v>
      </c>
      <c r="F31" s="7">
        <v>1</v>
      </c>
      <c r="G31" s="7">
        <v>1</v>
      </c>
      <c r="H31" s="7">
        <v>1</v>
      </c>
    </row>
    <row r="32" spans="1:8" x14ac:dyDescent="0.3">
      <c r="A32" t="s">
        <v>183</v>
      </c>
      <c r="B32" s="2">
        <v>5</v>
      </c>
      <c r="C32" s="2">
        <v>5</v>
      </c>
      <c r="D32" s="2">
        <v>3</v>
      </c>
      <c r="E32" s="2">
        <v>3</v>
      </c>
      <c r="F32" s="2">
        <v>0</v>
      </c>
      <c r="G32" s="2">
        <v>0</v>
      </c>
      <c r="H32" s="2">
        <v>0</v>
      </c>
    </row>
    <row r="33" spans="1:8" x14ac:dyDescent="0.3">
      <c r="A33" t="s">
        <v>69</v>
      </c>
      <c r="B33" s="2">
        <f t="shared" ref="B33:H33" si="0">IFERROR(VLOOKUP(B$30,range_Power,2,TRUE),0)</f>
        <v>6</v>
      </c>
      <c r="C33" s="2">
        <f t="shared" si="0"/>
        <v>6</v>
      </c>
      <c r="D33" s="2">
        <f t="shared" si="0"/>
        <v>5</v>
      </c>
      <c r="E33" s="2">
        <f t="shared" si="0"/>
        <v>5</v>
      </c>
      <c r="F33" s="2">
        <f t="shared" si="0"/>
        <v>4</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7</v>
      </c>
      <c r="E36" s="2">
        <v>7</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pow_Goblin</f>
        <v>0.88200000000000001</v>
      </c>
      <c r="G52" s="2">
        <v>0</v>
      </c>
      <c r="H52" s="2">
        <v>0</v>
      </c>
    </row>
    <row r="53" spans="1:8" x14ac:dyDescent="0.3">
      <c r="A53" t="s">
        <v>203</v>
      </c>
      <c r="B53" s="7">
        <v>0</v>
      </c>
      <c r="C53" s="7">
        <v>0</v>
      </c>
      <c r="D53" s="7">
        <v>0</v>
      </c>
      <c r="E53" s="7">
        <v>0</v>
      </c>
      <c r="F53" s="7">
        <v>3</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11</v>
      </c>
      <c r="C54" s="2">
        <f t="shared" si="1"/>
        <v>11</v>
      </c>
      <c r="D54" s="2">
        <f t="shared" si="1"/>
        <v>11.5</v>
      </c>
      <c r="E54" s="2">
        <f t="shared" si="1"/>
        <v>11.5</v>
      </c>
      <c r="F54" s="2">
        <f t="shared" si="1"/>
        <v>4.8819999999999997</v>
      </c>
      <c r="G54" s="2">
        <f t="shared" si="1"/>
        <v>1</v>
      </c>
      <c r="H54" s="2">
        <f t="shared" si="1"/>
        <v>1</v>
      </c>
    </row>
    <row r="55" spans="1:8" x14ac:dyDescent="0.3">
      <c r="A55" t="s">
        <v>205</v>
      </c>
      <c r="B55" s="2">
        <f t="shared" ref="B55:H55" si="2">B$54-B$32*pw_Damage-B$33-B$52*pw_Summon</f>
        <v>0</v>
      </c>
      <c r="C55" s="2">
        <f t="shared" si="2"/>
        <v>0</v>
      </c>
      <c r="D55" s="2">
        <f t="shared" si="2"/>
        <v>3.5</v>
      </c>
      <c r="E55" s="2">
        <f t="shared" si="2"/>
        <v>3.5</v>
      </c>
      <c r="F55" s="2">
        <f t="shared" si="2"/>
        <v>0</v>
      </c>
      <c r="G55" s="2">
        <f t="shared" si="2"/>
        <v>1</v>
      </c>
      <c r="H55" s="2">
        <f t="shared" si="2"/>
        <v>1</v>
      </c>
    </row>
    <row r="57" spans="1:8" x14ac:dyDescent="0.3">
      <c r="A57" s="1" t="s">
        <v>206</v>
      </c>
      <c r="B57" s="3"/>
    </row>
  </sheetData>
  <dataValidations count="5">
    <dataValidation type="list" allowBlank="1" sqref="B10" xr:uid="{00000000-0002-0000-0900-000000000000}">
      <formula1>list_Brain</formula1>
    </dataValidation>
    <dataValidation type="list" allowBlank="1" sqref="B11" xr:uid="{00000000-0002-0000-0900-000001000000}">
      <formula1>list_Targeting</formula1>
    </dataValidation>
    <dataValidation type="list" allowBlank="1" sqref="B12" xr:uid="{00000000-0002-0000-0900-000002000000}">
      <formula1>list_Loot</formula1>
    </dataValidation>
    <dataValidation type="list" allowBlank="1" sqref="B13" xr:uid="{00000000-0002-0000-0900-000003000000}">
      <formula1>list_Role</formula1>
    </dataValidation>
    <dataValidation type="list" allowBlank="1" sqref="B24:H24" xr:uid="{00000000-0002-0000-0900-000004000000}">
      <formula1>list_EnemyCard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226</v>
      </c>
    </row>
    <row r="2" spans="1:2" x14ac:dyDescent="0.3">
      <c r="A2" s="1" t="s">
        <v>157</v>
      </c>
      <c r="B2" t="s">
        <v>81</v>
      </c>
    </row>
    <row r="3" spans="1:2" x14ac:dyDescent="0.3">
      <c r="A3" s="1" t="s">
        <v>158</v>
      </c>
      <c r="B3" t="s">
        <v>227</v>
      </c>
    </row>
    <row r="4" spans="1:2" x14ac:dyDescent="0.3">
      <c r="A4" s="1" t="s">
        <v>160</v>
      </c>
      <c r="B4" t="str">
        <f>IF($B$3="","NEW","Live")</f>
        <v>Live</v>
      </c>
    </row>
    <row r="6" spans="1:2" x14ac:dyDescent="0.3">
      <c r="A6" s="1" t="s">
        <v>161</v>
      </c>
    </row>
    <row r="7" spans="1:2" x14ac:dyDescent="0.3">
      <c r="A7" s="5" t="s">
        <v>162</v>
      </c>
      <c r="B7" t="s">
        <v>228</v>
      </c>
    </row>
    <row r="8" spans="1:2" x14ac:dyDescent="0.3">
      <c r="A8" s="5" t="s">
        <v>164</v>
      </c>
      <c r="B8">
        <v>95</v>
      </c>
    </row>
    <row r="9" spans="1:2" x14ac:dyDescent="0.3">
      <c r="A9" s="5" t="s">
        <v>165</v>
      </c>
      <c r="B9">
        <v>2</v>
      </c>
    </row>
    <row r="10" spans="1:2" x14ac:dyDescent="0.3">
      <c r="A10" s="5" t="s">
        <v>72</v>
      </c>
      <c r="B10" t="s">
        <v>94</v>
      </c>
    </row>
    <row r="11" spans="1:2" x14ac:dyDescent="0.3">
      <c r="A11" s="5" t="s">
        <v>73</v>
      </c>
      <c r="B11" t="s">
        <v>90</v>
      </c>
    </row>
    <row r="12" spans="1:2" x14ac:dyDescent="0.3">
      <c r="A12" s="5" t="s">
        <v>166</v>
      </c>
      <c r="B12" t="s">
        <v>106</v>
      </c>
    </row>
    <row r="13" spans="1:2" x14ac:dyDescent="0.3">
      <c r="A13" s="5" t="s">
        <v>75</v>
      </c>
      <c r="B13" t="s">
        <v>79</v>
      </c>
    </row>
    <row r="15" spans="1:2" x14ac:dyDescent="0.3">
      <c r="A15" s="1" t="s">
        <v>167</v>
      </c>
      <c r="B15">
        <v>2</v>
      </c>
    </row>
    <row r="16" spans="1:2" x14ac:dyDescent="0.3">
      <c r="A16" s="1" t="s">
        <v>168</v>
      </c>
      <c r="B16" s="2">
        <f>IF($B$8="","",ROUND(($B$19*$B$9*pw_ActionScale+$B$8*pw_Health)/pw_Divisor,3))</f>
        <v>4.5590000000000002</v>
      </c>
    </row>
    <row r="17" spans="1:8" x14ac:dyDescent="0.3">
      <c r="A17" t="s">
        <v>169</v>
      </c>
      <c r="B17" s="2">
        <f>IF($B$15="","",ROUND($B$16-$B$15,3))</f>
        <v>2.5590000000000002</v>
      </c>
    </row>
    <row r="18" spans="1:8" x14ac:dyDescent="0.3">
      <c r="B18" s="2"/>
    </row>
    <row r="19" spans="1:8" x14ac:dyDescent="0.3">
      <c r="A19" t="s">
        <v>170</v>
      </c>
      <c r="B19" s="2">
        <f>IFERROR(AVERAGEIF(B$26:H$26,"Yes",B$54:H$54),0)</f>
        <v>15</v>
      </c>
    </row>
    <row r="20" spans="1:8" x14ac:dyDescent="0.3">
      <c r="A20" t="s">
        <v>171</v>
      </c>
      <c r="B20" s="2">
        <f>IFERROR(AVERAGEIF(B$26:H$26,"Yes",B$32:H$32),0)</f>
        <v>4.5</v>
      </c>
    </row>
    <row r="21" spans="1:8" x14ac:dyDescent="0.3">
      <c r="A21" t="s">
        <v>172</v>
      </c>
      <c r="B21" s="2">
        <f>IFERROR(AVERAGEIF(B$26:H$26,"Yes",B$55:H$55),0)</f>
        <v>5</v>
      </c>
    </row>
    <row r="22" spans="1:8" x14ac:dyDescent="0.3">
      <c r="A22" t="s">
        <v>173</v>
      </c>
      <c r="B22" s="2">
        <f>IFERROR(AVERAGEIF(B$26:H$26,"Yes",B$52:H$52),0)</f>
        <v>0</v>
      </c>
    </row>
    <row r="24" spans="1:8" x14ac:dyDescent="0.3">
      <c r="A24" s="1" t="s">
        <v>174</v>
      </c>
      <c r="B24" t="s">
        <v>82</v>
      </c>
      <c r="C24" t="s">
        <v>82</v>
      </c>
      <c r="D24" t="s">
        <v>153</v>
      </c>
      <c r="E24" t="s">
        <v>153</v>
      </c>
      <c r="F24" t="s">
        <v>112</v>
      </c>
      <c r="G24" t="s">
        <v>132</v>
      </c>
      <c r="H24" t="s">
        <v>132</v>
      </c>
    </row>
    <row r="25" spans="1:8" x14ac:dyDescent="0.3">
      <c r="A25" t="s">
        <v>175</v>
      </c>
      <c r="B25" t="s">
        <v>229</v>
      </c>
      <c r="C25" t="s">
        <v>229</v>
      </c>
      <c r="D25" t="s">
        <v>230</v>
      </c>
      <c r="E25" t="s">
        <v>230</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5</v>
      </c>
      <c r="C30" s="7">
        <v>5</v>
      </c>
      <c r="D30" s="7">
        <v>4</v>
      </c>
      <c r="E30" s="7">
        <v>4</v>
      </c>
      <c r="F30" s="7">
        <v>3</v>
      </c>
      <c r="G30" s="7">
        <v>1</v>
      </c>
      <c r="H30" s="7">
        <v>1</v>
      </c>
    </row>
    <row r="31" spans="1:8" x14ac:dyDescent="0.3">
      <c r="A31" t="s">
        <v>182</v>
      </c>
      <c r="B31" s="7">
        <v>1</v>
      </c>
      <c r="C31" s="7">
        <v>1</v>
      </c>
      <c r="D31" s="7">
        <v>1</v>
      </c>
      <c r="E31" s="7">
        <v>1</v>
      </c>
      <c r="F31" s="7">
        <v>1</v>
      </c>
      <c r="G31" s="7">
        <v>1</v>
      </c>
      <c r="H31" s="7">
        <v>1</v>
      </c>
    </row>
    <row r="32" spans="1:8" x14ac:dyDescent="0.3">
      <c r="A32" t="s">
        <v>183</v>
      </c>
      <c r="B32" s="2">
        <v>6</v>
      </c>
      <c r="C32" s="2">
        <v>6</v>
      </c>
      <c r="D32" s="2">
        <v>3</v>
      </c>
      <c r="E32" s="2">
        <v>3</v>
      </c>
      <c r="F32" s="2">
        <v>0</v>
      </c>
      <c r="G32" s="2">
        <v>0</v>
      </c>
      <c r="H32" s="2">
        <v>0</v>
      </c>
    </row>
    <row r="33" spans="1:8" x14ac:dyDescent="0.3">
      <c r="A33" t="s">
        <v>69</v>
      </c>
      <c r="B33" s="2">
        <f t="shared" ref="B33:H33" si="0">IFERROR(VLOOKUP(B$30,range_Power,2,TRUE),0)</f>
        <v>6</v>
      </c>
      <c r="C33" s="2">
        <f t="shared" si="0"/>
        <v>6</v>
      </c>
      <c r="D33" s="2">
        <f t="shared" si="0"/>
        <v>5</v>
      </c>
      <c r="E33" s="2">
        <f t="shared" si="0"/>
        <v>5</v>
      </c>
      <c r="F33" s="2">
        <f t="shared" si="0"/>
        <v>4</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0</v>
      </c>
      <c r="E36" s="2">
        <v>0</v>
      </c>
      <c r="F36" s="2">
        <v>0</v>
      </c>
      <c r="G36" s="2">
        <v>0</v>
      </c>
      <c r="H36" s="2">
        <v>0</v>
      </c>
    </row>
    <row r="37" spans="1:8" x14ac:dyDescent="0.3">
      <c r="A37" t="s">
        <v>187</v>
      </c>
      <c r="B37" s="2">
        <v>0</v>
      </c>
      <c r="C37" s="2">
        <v>0</v>
      </c>
      <c r="D37" s="2">
        <v>20</v>
      </c>
      <c r="E37" s="2">
        <v>20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pow_Bat</f>
        <v>0.95899999999999996</v>
      </c>
      <c r="G52" s="2">
        <v>0</v>
      </c>
      <c r="H52" s="2">
        <v>0</v>
      </c>
    </row>
    <row r="53" spans="1:8" x14ac:dyDescent="0.3">
      <c r="A53" t="s">
        <v>203</v>
      </c>
      <c r="B53" s="7">
        <v>0</v>
      </c>
      <c r="C53" s="7">
        <v>0</v>
      </c>
      <c r="D53" s="7">
        <v>0</v>
      </c>
      <c r="E53" s="7">
        <v>0</v>
      </c>
      <c r="F53" s="7">
        <v>2</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12</v>
      </c>
      <c r="C54" s="2">
        <f t="shared" si="1"/>
        <v>12</v>
      </c>
      <c r="D54" s="2">
        <f t="shared" si="1"/>
        <v>18</v>
      </c>
      <c r="E54" s="2">
        <f t="shared" si="1"/>
        <v>18</v>
      </c>
      <c r="F54" s="2">
        <f t="shared" si="1"/>
        <v>4.9589999999999996</v>
      </c>
      <c r="G54" s="2">
        <f t="shared" si="1"/>
        <v>1</v>
      </c>
      <c r="H54" s="2">
        <f t="shared" si="1"/>
        <v>1</v>
      </c>
    </row>
    <row r="55" spans="1:8" x14ac:dyDescent="0.3">
      <c r="A55" t="s">
        <v>205</v>
      </c>
      <c r="B55" s="2">
        <f t="shared" ref="B55:H55" si="2">B$54-B$32*pw_Damage-B$33-B$52*pw_Summon</f>
        <v>0</v>
      </c>
      <c r="C55" s="2">
        <f t="shared" si="2"/>
        <v>0</v>
      </c>
      <c r="D55" s="2">
        <f t="shared" si="2"/>
        <v>10</v>
      </c>
      <c r="E55" s="2">
        <f t="shared" si="2"/>
        <v>10</v>
      </c>
      <c r="F55" s="2">
        <f t="shared" si="2"/>
        <v>0</v>
      </c>
      <c r="G55" s="2">
        <f t="shared" si="2"/>
        <v>1</v>
      </c>
      <c r="H55" s="2">
        <f t="shared" si="2"/>
        <v>1</v>
      </c>
    </row>
    <row r="57" spans="1:8" x14ac:dyDescent="0.3">
      <c r="A57" s="1" t="s">
        <v>206</v>
      </c>
      <c r="B57" s="3"/>
    </row>
  </sheetData>
  <dataValidations count="5">
    <dataValidation type="list" allowBlank="1" sqref="B10" xr:uid="{00000000-0002-0000-0A00-000000000000}">
      <formula1>list_Brain</formula1>
    </dataValidation>
    <dataValidation type="list" allowBlank="1" sqref="B11" xr:uid="{00000000-0002-0000-0A00-000001000000}">
      <formula1>list_Targeting</formula1>
    </dataValidation>
    <dataValidation type="list" allowBlank="1" sqref="B12" xr:uid="{00000000-0002-0000-0A00-000002000000}">
      <formula1>list_Loot</formula1>
    </dataValidation>
    <dataValidation type="list" allowBlank="1" sqref="B13" xr:uid="{00000000-0002-0000-0A00-000003000000}">
      <formula1>list_Role</formula1>
    </dataValidation>
    <dataValidation type="list" allowBlank="1" sqref="B24:H24" xr:uid="{00000000-0002-0000-0A00-000004000000}">
      <formula1>list_EnemyCard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231</v>
      </c>
    </row>
    <row r="2" spans="1:2" x14ac:dyDescent="0.3">
      <c r="A2" s="1" t="s">
        <v>157</v>
      </c>
      <c r="B2" t="s">
        <v>81</v>
      </c>
    </row>
    <row r="3" spans="1:2" x14ac:dyDescent="0.3">
      <c r="A3" s="1" t="s">
        <v>158</v>
      </c>
      <c r="B3" t="s">
        <v>232</v>
      </c>
    </row>
    <row r="4" spans="1:2" x14ac:dyDescent="0.3">
      <c r="A4" s="1" t="s">
        <v>160</v>
      </c>
      <c r="B4" t="str">
        <f>IF($B$3="","NEW","Live")</f>
        <v>Live</v>
      </c>
    </row>
    <row r="6" spans="1:2" x14ac:dyDescent="0.3">
      <c r="A6" s="1" t="s">
        <v>161</v>
      </c>
    </row>
    <row r="7" spans="1:2" x14ac:dyDescent="0.3">
      <c r="A7" s="5" t="s">
        <v>162</v>
      </c>
      <c r="B7" t="s">
        <v>233</v>
      </c>
    </row>
    <row r="8" spans="1:2" x14ac:dyDescent="0.3">
      <c r="A8" s="5" t="s">
        <v>164</v>
      </c>
      <c r="B8">
        <v>100</v>
      </c>
    </row>
    <row r="9" spans="1:2" x14ac:dyDescent="0.3">
      <c r="A9" s="5" t="s">
        <v>165</v>
      </c>
      <c r="B9">
        <v>2</v>
      </c>
    </row>
    <row r="10" spans="1:2" x14ac:dyDescent="0.3">
      <c r="A10" s="5" t="s">
        <v>72</v>
      </c>
      <c r="B10" t="s">
        <v>94</v>
      </c>
    </row>
    <row r="11" spans="1:2" x14ac:dyDescent="0.3">
      <c r="A11" s="5" t="s">
        <v>73</v>
      </c>
      <c r="B11" t="s">
        <v>102</v>
      </c>
    </row>
    <row r="12" spans="1:2" x14ac:dyDescent="0.3">
      <c r="A12" s="5" t="s">
        <v>166</v>
      </c>
      <c r="B12" t="s">
        <v>109</v>
      </c>
    </row>
    <row r="13" spans="1:2" x14ac:dyDescent="0.3">
      <c r="A13" s="5" t="s">
        <v>75</v>
      </c>
      <c r="B13" t="s">
        <v>79</v>
      </c>
    </row>
    <row r="15" spans="1:2" x14ac:dyDescent="0.3">
      <c r="A15" s="1" t="s">
        <v>167</v>
      </c>
      <c r="B15">
        <v>2</v>
      </c>
    </row>
    <row r="16" spans="1:2" x14ac:dyDescent="0.3">
      <c r="A16" s="1" t="s">
        <v>168</v>
      </c>
      <c r="B16" s="2">
        <f>IF($B$8="","",ROUND(($B$19*$B$9*pw_ActionScale+$B$8*pw_Health)/pw_Divisor,3))</f>
        <v>4.524</v>
      </c>
    </row>
    <row r="17" spans="1:8" x14ac:dyDescent="0.3">
      <c r="A17" t="s">
        <v>169</v>
      </c>
      <c r="B17" s="2">
        <f>IF($B$15="","",ROUND($B$16-$B$15,3))</f>
        <v>2.524</v>
      </c>
    </row>
    <row r="18" spans="1:8" x14ac:dyDescent="0.3">
      <c r="B18" s="2"/>
    </row>
    <row r="19" spans="1:8" x14ac:dyDescent="0.3">
      <c r="A19" t="s">
        <v>170</v>
      </c>
      <c r="B19" s="2">
        <f>IFERROR(AVERAGEIF(B$26:H$26,"Yes",B$54:H$54),0)</f>
        <v>13.45</v>
      </c>
    </row>
    <row r="20" spans="1:8" x14ac:dyDescent="0.3">
      <c r="A20" t="s">
        <v>171</v>
      </c>
      <c r="B20" s="2">
        <f>IFERROR(AVERAGEIF(B$26:H$26,"Yes",B$32:H$32),0)</f>
        <v>5</v>
      </c>
    </row>
    <row r="21" spans="1:8" x14ac:dyDescent="0.3">
      <c r="A21" t="s">
        <v>172</v>
      </c>
      <c r="B21" s="2">
        <f>IFERROR(AVERAGEIF(B$26:H$26,"Yes",B$55:H$55),0)</f>
        <v>2.95</v>
      </c>
    </row>
    <row r="22" spans="1:8" x14ac:dyDescent="0.3">
      <c r="A22" t="s">
        <v>173</v>
      </c>
      <c r="B22" s="2">
        <f>IFERROR(AVERAGEIF(B$26:H$26,"Yes",B$52:H$52),0)</f>
        <v>0</v>
      </c>
    </row>
    <row r="24" spans="1:8" x14ac:dyDescent="0.3">
      <c r="A24" s="1" t="s">
        <v>174</v>
      </c>
      <c r="B24" t="s">
        <v>131</v>
      </c>
      <c r="C24" t="s">
        <v>131</v>
      </c>
      <c r="D24" t="s">
        <v>123</v>
      </c>
      <c r="E24" t="s">
        <v>123</v>
      </c>
      <c r="F24" t="s">
        <v>116</v>
      </c>
      <c r="G24" t="s">
        <v>132</v>
      </c>
      <c r="H24" t="s">
        <v>132</v>
      </c>
    </row>
    <row r="25" spans="1:8" x14ac:dyDescent="0.3">
      <c r="A25" t="s">
        <v>175</v>
      </c>
      <c r="B25" t="s">
        <v>229</v>
      </c>
      <c r="C25" t="s">
        <v>229</v>
      </c>
      <c r="D25" t="s">
        <v>234</v>
      </c>
      <c r="E25" t="s">
        <v>234</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5</v>
      </c>
      <c r="C30" s="7">
        <v>5</v>
      </c>
      <c r="D30" s="7">
        <v>4</v>
      </c>
      <c r="E30" s="7">
        <v>4</v>
      </c>
      <c r="F30" s="7">
        <v>3</v>
      </c>
      <c r="G30" s="7">
        <v>1</v>
      </c>
      <c r="H30" s="7">
        <v>1</v>
      </c>
    </row>
    <row r="31" spans="1:8" x14ac:dyDescent="0.3">
      <c r="A31" t="s">
        <v>182</v>
      </c>
      <c r="B31" s="7">
        <v>9</v>
      </c>
      <c r="C31" s="7">
        <v>9</v>
      </c>
      <c r="D31" s="7">
        <v>1</v>
      </c>
      <c r="E31" s="7">
        <v>1</v>
      </c>
      <c r="F31" s="7">
        <v>1</v>
      </c>
      <c r="G31" s="7">
        <v>1</v>
      </c>
      <c r="H31" s="7">
        <v>1</v>
      </c>
    </row>
    <row r="32" spans="1:8" x14ac:dyDescent="0.3">
      <c r="A32" t="s">
        <v>183</v>
      </c>
      <c r="B32" s="2">
        <v>6</v>
      </c>
      <c r="C32" s="2">
        <v>6</v>
      </c>
      <c r="D32" s="2">
        <v>4</v>
      </c>
      <c r="E32" s="2">
        <v>4</v>
      </c>
      <c r="F32" s="2">
        <v>0</v>
      </c>
      <c r="G32" s="2">
        <v>0</v>
      </c>
      <c r="H32" s="2">
        <v>0</v>
      </c>
    </row>
    <row r="33" spans="1:8" x14ac:dyDescent="0.3">
      <c r="A33" t="s">
        <v>69</v>
      </c>
      <c r="B33" s="2">
        <f t="shared" ref="B33:H33" si="0">IFERROR(VLOOKUP(B$30,range_Power,2,TRUE),0)</f>
        <v>6</v>
      </c>
      <c r="C33" s="2">
        <f t="shared" si="0"/>
        <v>6</v>
      </c>
      <c r="D33" s="2">
        <f t="shared" si="0"/>
        <v>5</v>
      </c>
      <c r="E33" s="2">
        <f t="shared" si="0"/>
        <v>5</v>
      </c>
      <c r="F33" s="2">
        <f t="shared" si="0"/>
        <v>4</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7</v>
      </c>
      <c r="E36" s="2">
        <v>7</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pow_Slime</f>
        <v>0.85299999999999998</v>
      </c>
      <c r="G52" s="2">
        <v>0</v>
      </c>
      <c r="H52" s="2">
        <v>0</v>
      </c>
    </row>
    <row r="53" spans="1:8" x14ac:dyDescent="0.3">
      <c r="A53" t="s">
        <v>203</v>
      </c>
      <c r="B53" s="7">
        <v>0</v>
      </c>
      <c r="C53" s="7">
        <v>0</v>
      </c>
      <c r="D53" s="7">
        <v>0</v>
      </c>
      <c r="E53" s="7">
        <v>0</v>
      </c>
      <c r="F53" s="7">
        <v>3</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14.4</v>
      </c>
      <c r="C54" s="2">
        <f t="shared" si="1"/>
        <v>14.4</v>
      </c>
      <c r="D54" s="2">
        <f t="shared" si="1"/>
        <v>12.5</v>
      </c>
      <c r="E54" s="2">
        <f t="shared" si="1"/>
        <v>12.5</v>
      </c>
      <c r="F54" s="2">
        <f t="shared" si="1"/>
        <v>4.8529999999999998</v>
      </c>
      <c r="G54" s="2">
        <f t="shared" si="1"/>
        <v>1</v>
      </c>
      <c r="H54" s="2">
        <f t="shared" si="1"/>
        <v>1</v>
      </c>
    </row>
    <row r="55" spans="1:8" x14ac:dyDescent="0.3">
      <c r="A55" t="s">
        <v>205</v>
      </c>
      <c r="B55" s="2">
        <f t="shared" ref="B55:H55" si="2">B$54-B$32*pw_Damage-B$33-B$52*pw_Summon</f>
        <v>2.4000000000000004</v>
      </c>
      <c r="C55" s="2">
        <f t="shared" si="2"/>
        <v>2.4000000000000004</v>
      </c>
      <c r="D55" s="2">
        <f t="shared" si="2"/>
        <v>3.5</v>
      </c>
      <c r="E55" s="2">
        <f t="shared" si="2"/>
        <v>3.5</v>
      </c>
      <c r="F55" s="2">
        <f t="shared" si="2"/>
        <v>0</v>
      </c>
      <c r="G55" s="2">
        <f t="shared" si="2"/>
        <v>1</v>
      </c>
      <c r="H55" s="2">
        <f t="shared" si="2"/>
        <v>1</v>
      </c>
    </row>
    <row r="57" spans="1:8" x14ac:dyDescent="0.3">
      <c r="A57" s="1" t="s">
        <v>206</v>
      </c>
      <c r="B57" s="3"/>
    </row>
  </sheetData>
  <dataValidations count="5">
    <dataValidation type="list" allowBlank="1" sqref="B10" xr:uid="{00000000-0002-0000-0B00-000000000000}">
      <formula1>list_Brain</formula1>
    </dataValidation>
    <dataValidation type="list" allowBlank="1" sqref="B11" xr:uid="{00000000-0002-0000-0B00-000001000000}">
      <formula1>list_Targeting</formula1>
    </dataValidation>
    <dataValidation type="list" allowBlank="1" sqref="B12" xr:uid="{00000000-0002-0000-0B00-000002000000}">
      <formula1>list_Loot</formula1>
    </dataValidation>
    <dataValidation type="list" allowBlank="1" sqref="B13" xr:uid="{00000000-0002-0000-0B00-000003000000}">
      <formula1>list_Role</formula1>
    </dataValidation>
    <dataValidation type="list" allowBlank="1" sqref="B24:H24" xr:uid="{00000000-0002-0000-0B00-000004000000}">
      <formula1>list_EnemyCard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252</v>
      </c>
    </row>
    <row r="2" spans="1:2" x14ac:dyDescent="0.3">
      <c r="A2" s="1" t="s">
        <v>157</v>
      </c>
      <c r="B2" t="s">
        <v>87</v>
      </c>
    </row>
    <row r="3" spans="1:2" x14ac:dyDescent="0.3">
      <c r="A3" s="1" t="s">
        <v>158</v>
      </c>
      <c r="B3" t="s">
        <v>253</v>
      </c>
    </row>
    <row r="4" spans="1:2" x14ac:dyDescent="0.3">
      <c r="A4" s="1" t="s">
        <v>160</v>
      </c>
      <c r="B4" t="str">
        <f>IF($B$3="","NEW","Live")</f>
        <v>Live</v>
      </c>
    </row>
    <row r="6" spans="1:2" x14ac:dyDescent="0.3">
      <c r="A6" s="1" t="s">
        <v>161</v>
      </c>
    </row>
    <row r="7" spans="1:2" x14ac:dyDescent="0.3">
      <c r="A7" s="5" t="s">
        <v>162</v>
      </c>
      <c r="B7" t="s">
        <v>254</v>
      </c>
    </row>
    <row r="8" spans="1:2" x14ac:dyDescent="0.3">
      <c r="A8" s="5" t="s">
        <v>164</v>
      </c>
      <c r="B8">
        <v>10</v>
      </c>
    </row>
    <row r="9" spans="1:2" x14ac:dyDescent="0.3">
      <c r="A9" s="5" t="s">
        <v>165</v>
      </c>
      <c r="B9">
        <v>1</v>
      </c>
    </row>
    <row r="10" spans="1:2" x14ac:dyDescent="0.3">
      <c r="A10" s="5" t="s">
        <v>72</v>
      </c>
      <c r="B10" t="s">
        <v>89</v>
      </c>
    </row>
    <row r="11" spans="1:2" x14ac:dyDescent="0.3">
      <c r="A11" s="5" t="s">
        <v>73</v>
      </c>
      <c r="B11" t="s">
        <v>90</v>
      </c>
    </row>
    <row r="12" spans="1:2" x14ac:dyDescent="0.3">
      <c r="A12" s="5" t="s">
        <v>166</v>
      </c>
      <c r="B12" t="s">
        <v>80</v>
      </c>
    </row>
    <row r="13" spans="1:2" x14ac:dyDescent="0.3">
      <c r="A13" s="5" t="s">
        <v>75</v>
      </c>
      <c r="B13" t="s">
        <v>92</v>
      </c>
    </row>
    <row r="15" spans="1:2" x14ac:dyDescent="0.3">
      <c r="A15" s="1" t="s">
        <v>167</v>
      </c>
      <c r="B15">
        <v>2</v>
      </c>
    </row>
    <row r="16" spans="1:2" x14ac:dyDescent="0.3">
      <c r="A16" s="1" t="s">
        <v>168</v>
      </c>
      <c r="B16" s="2">
        <f>IF($B$8="","",ROUND(($B$19*$B$9*pw_ActionScale+$B$8*pw_Health)/pw_Divisor,3))</f>
        <v>0.76500000000000001</v>
      </c>
    </row>
    <row r="17" spans="1:6" x14ac:dyDescent="0.3">
      <c r="A17" t="s">
        <v>169</v>
      </c>
      <c r="B17" s="2">
        <f>IF($B$15="","",ROUND($B$16-$B$15,3))</f>
        <v>-1.2350000000000001</v>
      </c>
    </row>
    <row r="18" spans="1:6" x14ac:dyDescent="0.3">
      <c r="B18" s="2"/>
    </row>
    <row r="19" spans="1:6" x14ac:dyDescent="0.3">
      <c r="A19" t="s">
        <v>170</v>
      </c>
      <c r="B19" s="2">
        <f>IFERROR(AVERAGEIF(B$26:F$26,"Yes",B$54:F$54),0)</f>
        <v>8</v>
      </c>
    </row>
    <row r="20" spans="1:6" x14ac:dyDescent="0.3">
      <c r="A20" t="s">
        <v>171</v>
      </c>
      <c r="B20" s="2">
        <f>IFERROR(AVERAGEIF(B$26:F$26,"Yes",B$32:F$32),0)</f>
        <v>3</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154</v>
      </c>
      <c r="C24" t="s">
        <v>154</v>
      </c>
      <c r="D24" t="s">
        <v>154</v>
      </c>
      <c r="E24" t="s">
        <v>132</v>
      </c>
      <c r="F24" t="s">
        <v>132</v>
      </c>
    </row>
    <row r="25" spans="1:6" x14ac:dyDescent="0.3">
      <c r="A25" t="s">
        <v>175</v>
      </c>
      <c r="B25" t="s">
        <v>251</v>
      </c>
      <c r="C25" t="s">
        <v>251</v>
      </c>
      <c r="D25" t="s">
        <v>251</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4</v>
      </c>
      <c r="C30" s="7">
        <v>4</v>
      </c>
      <c r="D30" s="7">
        <v>4</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5</v>
      </c>
      <c r="C33" s="2">
        <f>IFERROR(VLOOKUP(C$30,range_Power,2,TRUE),0)</f>
        <v>5</v>
      </c>
      <c r="D33" s="2">
        <f>IFERROR(VLOOKUP(D$30,range_Power,2,TRUE),0)</f>
        <v>5</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8</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8</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8</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0C00-000000000000}">
      <formula1>list_Brain</formula1>
    </dataValidation>
    <dataValidation type="list" allowBlank="1" sqref="B11" xr:uid="{00000000-0002-0000-0C00-000001000000}">
      <formula1>list_Targeting</formula1>
    </dataValidation>
    <dataValidation type="list" allowBlank="1" sqref="B12" xr:uid="{00000000-0002-0000-0C00-000002000000}">
      <formula1>list_Loot</formula1>
    </dataValidation>
    <dataValidation type="list" allowBlank="1" sqref="B13" xr:uid="{00000000-0002-0000-0C00-000003000000}">
      <formula1>list_Role</formula1>
    </dataValidation>
    <dataValidation type="list" allowBlank="1" sqref="B24:F24" xr:uid="{00000000-0002-0000-0C00-000004000000}">
      <formula1>list_EnemyCard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255</v>
      </c>
    </row>
    <row r="2" spans="1:2" x14ac:dyDescent="0.3">
      <c r="A2" s="1" t="s">
        <v>157</v>
      </c>
      <c r="B2" t="s">
        <v>87</v>
      </c>
    </row>
    <row r="3" spans="1:2" x14ac:dyDescent="0.3">
      <c r="A3" s="1" t="s">
        <v>158</v>
      </c>
      <c r="B3" t="s">
        <v>256</v>
      </c>
    </row>
    <row r="4" spans="1:2" x14ac:dyDescent="0.3">
      <c r="A4" s="1" t="s">
        <v>160</v>
      </c>
      <c r="B4" t="str">
        <f>IF($B$3="","NEW","Live")</f>
        <v>Live</v>
      </c>
    </row>
    <row r="6" spans="1:2" x14ac:dyDescent="0.3">
      <c r="A6" s="1" t="s">
        <v>161</v>
      </c>
    </row>
    <row r="7" spans="1:2" x14ac:dyDescent="0.3">
      <c r="A7" s="5" t="s">
        <v>162</v>
      </c>
      <c r="B7" t="s">
        <v>255</v>
      </c>
    </row>
    <row r="8" spans="1:2" x14ac:dyDescent="0.3">
      <c r="A8" s="5" t="s">
        <v>164</v>
      </c>
      <c r="B8">
        <v>14</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0.88200000000000001</v>
      </c>
    </row>
    <row r="17" spans="1:6" x14ac:dyDescent="0.3">
      <c r="A17" t="s">
        <v>169</v>
      </c>
      <c r="B17" s="2">
        <f>IF($B$15="","",ROUND($B$16-$B$15,3))</f>
        <v>-1.1180000000000001</v>
      </c>
    </row>
    <row r="18" spans="1:6" x14ac:dyDescent="0.3">
      <c r="B18" s="2"/>
    </row>
    <row r="19" spans="1:6" x14ac:dyDescent="0.3">
      <c r="A19" t="s">
        <v>170</v>
      </c>
      <c r="B19" s="2">
        <f>IFERROR(AVERAGEIF(B$26:F$26,"Yes",B$54:F$54),0)</f>
        <v>4</v>
      </c>
    </row>
    <row r="20" spans="1:6" x14ac:dyDescent="0.3">
      <c r="A20" t="s">
        <v>171</v>
      </c>
      <c r="B20" s="2">
        <f>IFERROR(AVERAGEIF(B$26:F$26,"Yes",B$32:F$32),0)</f>
        <v>4</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88</v>
      </c>
      <c r="C24" t="s">
        <v>88</v>
      </c>
      <c r="D24" t="s">
        <v>88</v>
      </c>
      <c r="E24" t="s">
        <v>132</v>
      </c>
      <c r="F24" t="s">
        <v>132</v>
      </c>
    </row>
    <row r="25" spans="1:6" x14ac:dyDescent="0.3">
      <c r="A25" t="s">
        <v>175</v>
      </c>
      <c r="B25" t="s">
        <v>257</v>
      </c>
      <c r="C25" t="s">
        <v>257</v>
      </c>
      <c r="D25" t="s">
        <v>257</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4</v>
      </c>
      <c r="C32" s="2">
        <v>4</v>
      </c>
      <c r="D32" s="2">
        <v>4</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0D00-000000000000}">
      <formula1>list_Brain</formula1>
    </dataValidation>
    <dataValidation type="list" allowBlank="1" sqref="B11" xr:uid="{00000000-0002-0000-0D00-000001000000}">
      <formula1>list_Targeting</formula1>
    </dataValidation>
    <dataValidation type="list" allowBlank="1" sqref="B12" xr:uid="{00000000-0002-0000-0D00-000002000000}">
      <formula1>list_Loot</formula1>
    </dataValidation>
    <dataValidation type="list" allowBlank="1" sqref="B13" xr:uid="{00000000-0002-0000-0D00-000003000000}">
      <formula1>list_Role</formula1>
    </dataValidation>
    <dataValidation type="list" allowBlank="1" sqref="B24:F24" xr:uid="{00000000-0002-0000-0D00-000004000000}">
      <formula1>list_EnemyCard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258</v>
      </c>
    </row>
    <row r="2" spans="1:2" x14ac:dyDescent="0.3">
      <c r="A2" s="1" t="s">
        <v>157</v>
      </c>
      <c r="B2" t="s">
        <v>87</v>
      </c>
    </row>
    <row r="3" spans="1:2" x14ac:dyDescent="0.3">
      <c r="A3" s="1" t="s">
        <v>158</v>
      </c>
      <c r="B3" t="s">
        <v>259</v>
      </c>
    </row>
    <row r="4" spans="1:2" x14ac:dyDescent="0.3">
      <c r="A4" s="1" t="s">
        <v>160</v>
      </c>
      <c r="B4" t="str">
        <f>IF($B$3="","NEW","Live")</f>
        <v>Live</v>
      </c>
    </row>
    <row r="6" spans="1:2" x14ac:dyDescent="0.3">
      <c r="A6" s="1" t="s">
        <v>161</v>
      </c>
    </row>
    <row r="7" spans="1:2" x14ac:dyDescent="0.3">
      <c r="A7" s="5" t="s">
        <v>162</v>
      </c>
      <c r="B7" t="s">
        <v>258</v>
      </c>
    </row>
    <row r="8" spans="1:2" x14ac:dyDescent="0.3">
      <c r="A8" s="5" t="s">
        <v>164</v>
      </c>
      <c r="B8">
        <v>30</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1.1759999999999999</v>
      </c>
    </row>
    <row r="17" spans="1:6" x14ac:dyDescent="0.3">
      <c r="A17" t="s">
        <v>169</v>
      </c>
      <c r="B17" s="2">
        <f>IF($B$15="","",ROUND($B$16-$B$15,3))</f>
        <v>-0.82399999999999995</v>
      </c>
    </row>
    <row r="18" spans="1:6" x14ac:dyDescent="0.3">
      <c r="B18" s="2"/>
    </row>
    <row r="19" spans="1:6" x14ac:dyDescent="0.3">
      <c r="A19" t="s">
        <v>170</v>
      </c>
      <c r="B19" s="2">
        <f>IFERROR(AVERAGEIF(B$26:F$26,"Yes",B$54:F$54),0)</f>
        <v>5</v>
      </c>
    </row>
    <row r="20" spans="1:6" x14ac:dyDescent="0.3">
      <c r="A20" t="s">
        <v>171</v>
      </c>
      <c r="B20" s="2">
        <f>IFERROR(AVERAGEIF(B$26:F$26,"Yes",B$32:F$32),0)</f>
        <v>5</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104</v>
      </c>
      <c r="C24" t="s">
        <v>104</v>
      </c>
      <c r="D24" t="s">
        <v>104</v>
      </c>
      <c r="E24" t="s">
        <v>132</v>
      </c>
      <c r="F24" t="s">
        <v>132</v>
      </c>
    </row>
    <row r="25" spans="1:6" x14ac:dyDescent="0.3">
      <c r="A25" t="s">
        <v>175</v>
      </c>
      <c r="B25" t="s">
        <v>176</v>
      </c>
      <c r="C25" t="s">
        <v>176</v>
      </c>
      <c r="D25" t="s">
        <v>176</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5</v>
      </c>
      <c r="C32" s="2">
        <v>5</v>
      </c>
      <c r="D32" s="2">
        <v>5</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0E00-000000000000}">
      <formula1>list_Brain</formula1>
    </dataValidation>
    <dataValidation type="list" allowBlank="1" sqref="B11" xr:uid="{00000000-0002-0000-0E00-000001000000}">
      <formula1>list_Targeting</formula1>
    </dataValidation>
    <dataValidation type="list" allowBlank="1" sqref="B12" xr:uid="{00000000-0002-0000-0E00-000002000000}">
      <formula1>list_Loot</formula1>
    </dataValidation>
    <dataValidation type="list" allowBlank="1" sqref="B13" xr:uid="{00000000-0002-0000-0E00-000003000000}">
      <formula1>list_Role</formula1>
    </dataValidation>
    <dataValidation type="list" allowBlank="1" sqref="B24:F24" xr:uid="{00000000-0002-0000-0E00-000004000000}">
      <formula1>list_EnemyCard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260</v>
      </c>
    </row>
    <row r="2" spans="1:2" x14ac:dyDescent="0.3">
      <c r="A2" s="1" t="s">
        <v>157</v>
      </c>
      <c r="B2" t="s">
        <v>87</v>
      </c>
    </row>
    <row r="3" spans="1:2" x14ac:dyDescent="0.3">
      <c r="A3" s="1" t="s">
        <v>158</v>
      </c>
      <c r="B3" t="s">
        <v>261</v>
      </c>
    </row>
    <row r="4" spans="1:2" x14ac:dyDescent="0.3">
      <c r="A4" s="1" t="s">
        <v>160</v>
      </c>
      <c r="B4" t="str">
        <f>IF($B$3="","NEW","Live")</f>
        <v>Live</v>
      </c>
    </row>
    <row r="6" spans="1:2" x14ac:dyDescent="0.3">
      <c r="A6" s="1" t="s">
        <v>161</v>
      </c>
    </row>
    <row r="7" spans="1:2" x14ac:dyDescent="0.3">
      <c r="A7" s="5" t="s">
        <v>162</v>
      </c>
      <c r="B7" t="s">
        <v>262</v>
      </c>
    </row>
    <row r="8" spans="1:2" x14ac:dyDescent="0.3">
      <c r="A8" s="5" t="s">
        <v>164</v>
      </c>
      <c r="B8">
        <v>22</v>
      </c>
    </row>
    <row r="9" spans="1:2" x14ac:dyDescent="0.3">
      <c r="A9" s="5" t="s">
        <v>165</v>
      </c>
      <c r="B9">
        <v>1</v>
      </c>
    </row>
    <row r="10" spans="1:2" x14ac:dyDescent="0.3">
      <c r="A10" s="5" t="s">
        <v>72</v>
      </c>
      <c r="B10" t="s">
        <v>83</v>
      </c>
    </row>
    <row r="11" spans="1:2" x14ac:dyDescent="0.3">
      <c r="A11" s="5" t="s">
        <v>73</v>
      </c>
      <c r="B11" t="s">
        <v>102</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1</v>
      </c>
    </row>
    <row r="17" spans="1:6" x14ac:dyDescent="0.3">
      <c r="A17" t="s">
        <v>169</v>
      </c>
      <c r="B17" s="2">
        <f>IF($B$15="","",ROUND($B$16-$B$15,3))</f>
        <v>-1</v>
      </c>
    </row>
    <row r="18" spans="1:6" x14ac:dyDescent="0.3">
      <c r="B18" s="2"/>
    </row>
    <row r="19" spans="1:6" x14ac:dyDescent="0.3">
      <c r="A19" t="s">
        <v>170</v>
      </c>
      <c r="B19" s="2">
        <f>IFERROR(AVERAGEIF(B$26:F$26,"Yes",B$54:F$54),0)</f>
        <v>6</v>
      </c>
    </row>
    <row r="20" spans="1:6" x14ac:dyDescent="0.3">
      <c r="A20" t="s">
        <v>171</v>
      </c>
      <c r="B20" s="2">
        <f>IFERROR(AVERAGEIF(B$26:F$26,"Yes",B$32:F$32),0)</f>
        <v>6</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129</v>
      </c>
      <c r="C24" t="s">
        <v>129</v>
      </c>
      <c r="D24" t="s">
        <v>129</v>
      </c>
      <c r="E24" t="s">
        <v>132</v>
      </c>
      <c r="F24" t="s">
        <v>132</v>
      </c>
    </row>
    <row r="25" spans="1:6" x14ac:dyDescent="0.3">
      <c r="A25" t="s">
        <v>175</v>
      </c>
      <c r="B25" t="s">
        <v>229</v>
      </c>
      <c r="C25" t="s">
        <v>229</v>
      </c>
      <c r="D25" t="s">
        <v>229</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6</v>
      </c>
      <c r="C32" s="2">
        <v>6</v>
      </c>
      <c r="D32" s="2">
        <v>6</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6</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6</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6</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0F00-000000000000}">
      <formula1>list_Brain</formula1>
    </dataValidation>
    <dataValidation type="list" allowBlank="1" sqref="B11" xr:uid="{00000000-0002-0000-0F00-000001000000}">
      <formula1>list_Targeting</formula1>
    </dataValidation>
    <dataValidation type="list" allowBlank="1" sqref="B12" xr:uid="{00000000-0002-0000-0F00-000002000000}">
      <formula1>list_Loot</formula1>
    </dataValidation>
    <dataValidation type="list" allowBlank="1" sqref="B13" xr:uid="{00000000-0002-0000-0F00-000003000000}">
      <formula1>list_Role</formula1>
    </dataValidation>
    <dataValidation type="list" allowBlank="1" sqref="B24:F24" xr:uid="{00000000-0002-0000-0F00-000004000000}">
      <formula1>list_EnemyCard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263</v>
      </c>
    </row>
    <row r="2" spans="1:2" x14ac:dyDescent="0.3">
      <c r="A2" s="1" t="s">
        <v>157</v>
      </c>
      <c r="B2" t="s">
        <v>87</v>
      </c>
    </row>
    <row r="3" spans="1:2" x14ac:dyDescent="0.3">
      <c r="A3" s="1" t="s">
        <v>158</v>
      </c>
      <c r="B3" t="s">
        <v>264</v>
      </c>
    </row>
    <row r="4" spans="1:2" x14ac:dyDescent="0.3">
      <c r="A4" s="1" t="s">
        <v>160</v>
      </c>
      <c r="B4" t="str">
        <f>IF($B$3="","NEW","Live")</f>
        <v>Live</v>
      </c>
    </row>
    <row r="6" spans="1:2" x14ac:dyDescent="0.3">
      <c r="A6" s="1" t="s">
        <v>161</v>
      </c>
    </row>
    <row r="7" spans="1:2" x14ac:dyDescent="0.3">
      <c r="A7" s="5" t="s">
        <v>162</v>
      </c>
      <c r="B7" t="s">
        <v>265</v>
      </c>
    </row>
    <row r="8" spans="1:2" x14ac:dyDescent="0.3">
      <c r="A8" s="5" t="s">
        <v>164</v>
      </c>
      <c r="B8">
        <v>12</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80</v>
      </c>
    </row>
    <row r="13" spans="1:2" x14ac:dyDescent="0.3">
      <c r="A13" s="5" t="s">
        <v>75</v>
      </c>
      <c r="B13" t="s">
        <v>92</v>
      </c>
    </row>
    <row r="15" spans="1:2" x14ac:dyDescent="0.3">
      <c r="A15" s="1" t="s">
        <v>167</v>
      </c>
      <c r="B15">
        <v>2</v>
      </c>
    </row>
    <row r="16" spans="1:2" x14ac:dyDescent="0.3">
      <c r="A16" s="1" t="s">
        <v>168</v>
      </c>
      <c r="B16" s="2">
        <f>IF($B$8="","",ROUND(($B$19*$B$9*pw_ActionScale+$B$8*pw_Health)/pw_Divisor,3))</f>
        <v>1.024</v>
      </c>
    </row>
    <row r="17" spans="1:6" x14ac:dyDescent="0.3">
      <c r="A17" t="s">
        <v>169</v>
      </c>
      <c r="B17" s="2">
        <f>IF($B$15="","",ROUND($B$16-$B$15,3))</f>
        <v>-0.97599999999999998</v>
      </c>
    </row>
    <row r="18" spans="1:6" x14ac:dyDescent="0.3">
      <c r="B18" s="2"/>
    </row>
    <row r="19" spans="1:6" x14ac:dyDescent="0.3">
      <c r="A19" t="s">
        <v>170</v>
      </c>
      <c r="B19" s="2">
        <f>IFERROR(AVERAGEIF(B$26:F$26,"Yes",B$54:F$54),0)</f>
        <v>5.7</v>
      </c>
    </row>
    <row r="20" spans="1:6" x14ac:dyDescent="0.3">
      <c r="A20" t="s">
        <v>171</v>
      </c>
      <c r="B20" s="2">
        <f>IFERROR(AVERAGEIF(B$26:F$26,"Yes",B$32:F$32),0)</f>
        <v>3</v>
      </c>
    </row>
    <row r="21" spans="1:6" x14ac:dyDescent="0.3">
      <c r="A21" t="s">
        <v>172</v>
      </c>
      <c r="B21" s="2">
        <f>IFERROR(AVERAGEIF(B$26:F$26,"Yes",B$55:F$55),0)</f>
        <v>2.7000000000000006</v>
      </c>
    </row>
    <row r="22" spans="1:6" x14ac:dyDescent="0.3">
      <c r="A22" t="s">
        <v>173</v>
      </c>
      <c r="B22" s="2">
        <f>IFERROR(AVERAGEIF(B$26:F$26,"Yes",B$52:F$52),0)</f>
        <v>0</v>
      </c>
    </row>
    <row r="24" spans="1:6" x14ac:dyDescent="0.3">
      <c r="A24" s="1" t="s">
        <v>174</v>
      </c>
      <c r="B24" t="s">
        <v>135</v>
      </c>
      <c r="C24" t="s">
        <v>135</v>
      </c>
      <c r="D24" t="s">
        <v>135</v>
      </c>
      <c r="E24" t="s">
        <v>132</v>
      </c>
      <c r="F24" t="s">
        <v>132</v>
      </c>
    </row>
    <row r="25" spans="1:6" x14ac:dyDescent="0.3">
      <c r="A25" t="s">
        <v>175</v>
      </c>
      <c r="B25" t="s">
        <v>266</v>
      </c>
      <c r="C25" t="s">
        <v>266</v>
      </c>
      <c r="D25" t="s">
        <v>266</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1</v>
      </c>
      <c r="C41" s="2">
        <v>1</v>
      </c>
      <c r="D41" s="2">
        <v>1</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5.7</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5.7</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5.7</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2.7</v>
      </c>
      <c r="C55" s="2">
        <f>C$54-C$32*pw_Damage-C$33-C$52*pw_Summon</f>
        <v>2.7</v>
      </c>
      <c r="D55" s="2">
        <f>D$54-D$32*pw_Damage-D$33-D$52*pw_Summon</f>
        <v>2.7</v>
      </c>
      <c r="E55" s="2">
        <f>E$54-E$32*pw_Damage-E$33-E$52*pw_Summon</f>
        <v>1</v>
      </c>
      <c r="F55" s="2">
        <f>F$54-F$32*pw_Damage-F$33-F$52*pw_Summon</f>
        <v>1</v>
      </c>
    </row>
    <row r="57" spans="1:6" x14ac:dyDescent="0.3">
      <c r="A57" s="1" t="s">
        <v>206</v>
      </c>
      <c r="B57" s="3"/>
    </row>
  </sheetData>
  <dataValidations count="5">
    <dataValidation type="list" allowBlank="1" sqref="B10" xr:uid="{00000000-0002-0000-1000-000000000000}">
      <formula1>list_Brain</formula1>
    </dataValidation>
    <dataValidation type="list" allowBlank="1" sqref="B11" xr:uid="{00000000-0002-0000-1000-000001000000}">
      <formula1>list_Targeting</formula1>
    </dataValidation>
    <dataValidation type="list" allowBlank="1" sqref="B12" xr:uid="{00000000-0002-0000-1000-000002000000}">
      <formula1>list_Loot</formula1>
    </dataValidation>
    <dataValidation type="list" allowBlank="1" sqref="B13" xr:uid="{00000000-0002-0000-1000-000003000000}">
      <formula1>list_Role</formula1>
    </dataValidation>
    <dataValidation type="list" allowBlank="1" sqref="B24:F24" xr:uid="{00000000-0002-0000-1000-000004000000}">
      <formula1>list_EnemyCard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267</v>
      </c>
    </row>
    <row r="2" spans="1:2" x14ac:dyDescent="0.3">
      <c r="A2" s="1" t="s">
        <v>157</v>
      </c>
      <c r="B2" t="s">
        <v>87</v>
      </c>
    </row>
    <row r="3" spans="1:2" x14ac:dyDescent="0.3">
      <c r="A3" s="1" t="s">
        <v>158</v>
      </c>
      <c r="B3" t="s">
        <v>268</v>
      </c>
    </row>
    <row r="4" spans="1:2" x14ac:dyDescent="0.3">
      <c r="A4" s="1" t="s">
        <v>160</v>
      </c>
      <c r="B4" t="str">
        <f>IF($B$3="","NEW","Live")</f>
        <v>Live</v>
      </c>
    </row>
    <row r="6" spans="1:2" x14ac:dyDescent="0.3">
      <c r="A6" s="1" t="s">
        <v>161</v>
      </c>
    </row>
    <row r="7" spans="1:2" x14ac:dyDescent="0.3">
      <c r="A7" s="5" t="s">
        <v>162</v>
      </c>
      <c r="B7" t="s">
        <v>267</v>
      </c>
    </row>
    <row r="8" spans="1:2" x14ac:dyDescent="0.3">
      <c r="A8" s="5" t="s">
        <v>164</v>
      </c>
      <c r="B8">
        <v>26</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1.1759999999999999</v>
      </c>
    </row>
    <row r="17" spans="1:6" x14ac:dyDescent="0.3">
      <c r="A17" t="s">
        <v>169</v>
      </c>
      <c r="B17" s="2">
        <f>IF($B$15="","",ROUND($B$16-$B$15,3))</f>
        <v>-0.82399999999999995</v>
      </c>
    </row>
    <row r="18" spans="1:6" x14ac:dyDescent="0.3">
      <c r="B18" s="2"/>
    </row>
    <row r="19" spans="1:6" x14ac:dyDescent="0.3">
      <c r="A19" t="s">
        <v>170</v>
      </c>
      <c r="B19" s="2">
        <f>IFERROR(AVERAGEIF(B$26:F$26,"Yes",B$54:F$54),0)</f>
        <v>7</v>
      </c>
    </row>
    <row r="20" spans="1:6" x14ac:dyDescent="0.3">
      <c r="A20" t="s">
        <v>171</v>
      </c>
      <c r="B20" s="2">
        <f>IFERROR(AVERAGEIF(B$26:F$26,"Yes",B$32:F$32),0)</f>
        <v>7</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114</v>
      </c>
      <c r="C24" t="s">
        <v>114</v>
      </c>
      <c r="D24" t="s">
        <v>114</v>
      </c>
      <c r="E24" t="s">
        <v>132</v>
      </c>
      <c r="F24" t="s">
        <v>132</v>
      </c>
    </row>
    <row r="25" spans="1:6" x14ac:dyDescent="0.3">
      <c r="A25" t="s">
        <v>175</v>
      </c>
      <c r="B25" t="s">
        <v>242</v>
      </c>
      <c r="C25" t="s">
        <v>242</v>
      </c>
      <c r="D25" t="s">
        <v>242</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7</v>
      </c>
      <c r="C32" s="2">
        <v>7</v>
      </c>
      <c r="D32" s="2">
        <v>7</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1100-000000000000}">
      <formula1>list_Brain</formula1>
    </dataValidation>
    <dataValidation type="list" allowBlank="1" sqref="B11" xr:uid="{00000000-0002-0000-1100-000001000000}">
      <formula1>list_Targeting</formula1>
    </dataValidation>
    <dataValidation type="list" allowBlank="1" sqref="B12" xr:uid="{00000000-0002-0000-1100-000002000000}">
      <formula1>list_Loot</formula1>
    </dataValidation>
    <dataValidation type="list" allowBlank="1" sqref="B13" xr:uid="{00000000-0002-0000-1100-000003000000}">
      <formula1>list_Role</formula1>
    </dataValidation>
    <dataValidation type="list" allowBlank="1" sqref="B24:F24" xr:uid="{00000000-0002-0000-1100-000004000000}">
      <formula1>list_EnemyCard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269</v>
      </c>
    </row>
    <row r="2" spans="1:2" x14ac:dyDescent="0.3">
      <c r="A2" s="1" t="s">
        <v>157</v>
      </c>
      <c r="B2" t="s">
        <v>87</v>
      </c>
    </row>
    <row r="3" spans="1:2" x14ac:dyDescent="0.3">
      <c r="A3" s="1" t="s">
        <v>158</v>
      </c>
      <c r="B3" t="s">
        <v>270</v>
      </c>
    </row>
    <row r="4" spans="1:2" x14ac:dyDescent="0.3">
      <c r="A4" s="1" t="s">
        <v>160</v>
      </c>
      <c r="B4" t="str">
        <f>IF($B$3="","NEW","Live")</f>
        <v>Live</v>
      </c>
    </row>
    <row r="6" spans="1:2" x14ac:dyDescent="0.3">
      <c r="A6" s="1" t="s">
        <v>161</v>
      </c>
    </row>
    <row r="7" spans="1:2" x14ac:dyDescent="0.3">
      <c r="A7" s="5" t="s">
        <v>162</v>
      </c>
      <c r="B7" t="s">
        <v>269</v>
      </c>
    </row>
    <row r="8" spans="1:2" x14ac:dyDescent="0.3">
      <c r="A8" s="5" t="s">
        <v>164</v>
      </c>
      <c r="B8">
        <v>13</v>
      </c>
    </row>
    <row r="9" spans="1:2" x14ac:dyDescent="0.3">
      <c r="A9" s="5" t="s">
        <v>165</v>
      </c>
      <c r="B9">
        <v>1</v>
      </c>
    </row>
    <row r="10" spans="1:2" x14ac:dyDescent="0.3">
      <c r="A10" s="5" t="s">
        <v>72</v>
      </c>
      <c r="B10" t="s">
        <v>89</v>
      </c>
    </row>
    <row r="11" spans="1:2" x14ac:dyDescent="0.3">
      <c r="A11" s="5" t="s">
        <v>73</v>
      </c>
      <c r="B11" t="s">
        <v>84</v>
      </c>
    </row>
    <row r="12" spans="1:2" x14ac:dyDescent="0.3">
      <c r="A12" s="5" t="s">
        <v>166</v>
      </c>
      <c r="B12" t="s">
        <v>113</v>
      </c>
    </row>
    <row r="13" spans="1:2" x14ac:dyDescent="0.3">
      <c r="A13" s="5" t="s">
        <v>75</v>
      </c>
      <c r="B13" t="s">
        <v>86</v>
      </c>
    </row>
    <row r="15" spans="1:2" x14ac:dyDescent="0.3">
      <c r="A15" s="1" t="s">
        <v>167</v>
      </c>
      <c r="B15">
        <v>2</v>
      </c>
    </row>
    <row r="16" spans="1:2" x14ac:dyDescent="0.3">
      <c r="A16" s="1" t="s">
        <v>168</v>
      </c>
      <c r="B16" s="2">
        <f>IF($B$8="","",ROUND(($B$19*$B$9*pw_ActionScale+$B$8*pw_Health)/pw_Divisor,3))</f>
        <v>1.0760000000000001</v>
      </c>
    </row>
    <row r="17" spans="1:6" x14ac:dyDescent="0.3">
      <c r="A17" t="s">
        <v>169</v>
      </c>
      <c r="B17" s="2">
        <f>IF($B$15="","",ROUND($B$16-$B$15,3))</f>
        <v>-0.92400000000000004</v>
      </c>
    </row>
    <row r="18" spans="1:6" x14ac:dyDescent="0.3">
      <c r="B18" s="2"/>
    </row>
    <row r="19" spans="1:6" x14ac:dyDescent="0.3">
      <c r="A19" t="s">
        <v>170</v>
      </c>
      <c r="B19" s="2">
        <f>IFERROR(AVERAGEIF(B$26:F$26,"Yes",B$54:F$54),0)</f>
        <v>11.800000000000002</v>
      </c>
    </row>
    <row r="20" spans="1:6" x14ac:dyDescent="0.3">
      <c r="A20" t="s">
        <v>171</v>
      </c>
      <c r="B20" s="2">
        <f>IFERROR(AVERAGEIF(B$26:F$26,"Yes",B$32:F$32),0)</f>
        <v>0</v>
      </c>
    </row>
    <row r="21" spans="1:6" x14ac:dyDescent="0.3">
      <c r="A21" t="s">
        <v>172</v>
      </c>
      <c r="B21" s="2">
        <f>IFERROR(AVERAGEIF(B$26:F$26,"Yes",B$55:F$55),0)</f>
        <v>7.8000000000000007</v>
      </c>
    </row>
    <row r="22" spans="1:6" x14ac:dyDescent="0.3">
      <c r="A22" t="s">
        <v>173</v>
      </c>
      <c r="B22" s="2">
        <f>IFERROR(AVERAGEIF(B$26:F$26,"Yes",B$52:F$52),0)</f>
        <v>0</v>
      </c>
    </row>
    <row r="24" spans="1:6" x14ac:dyDescent="0.3">
      <c r="A24" s="1" t="s">
        <v>174</v>
      </c>
      <c r="B24" t="s">
        <v>149</v>
      </c>
      <c r="C24" t="s">
        <v>149</v>
      </c>
      <c r="D24" t="s">
        <v>149</v>
      </c>
      <c r="E24" t="s">
        <v>132</v>
      </c>
      <c r="F24" t="s">
        <v>132</v>
      </c>
    </row>
    <row r="25" spans="1:6" x14ac:dyDescent="0.3">
      <c r="A25" t="s">
        <v>175</v>
      </c>
      <c r="B25" t="s">
        <v>271</v>
      </c>
      <c r="C25" t="s">
        <v>271</v>
      </c>
      <c r="D25" t="s">
        <v>271</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3</v>
      </c>
      <c r="C30" s="7">
        <v>3</v>
      </c>
      <c r="D30" s="7">
        <v>3</v>
      </c>
      <c r="E30" s="7">
        <v>1</v>
      </c>
      <c r="F30" s="7">
        <v>1</v>
      </c>
    </row>
    <row r="31" spans="1:6" x14ac:dyDescent="0.3">
      <c r="A31" t="s">
        <v>182</v>
      </c>
      <c r="B31" s="7">
        <v>9</v>
      </c>
      <c r="C31" s="7">
        <v>9</v>
      </c>
      <c r="D31" s="7">
        <v>9</v>
      </c>
      <c r="E31" s="7">
        <v>1</v>
      </c>
      <c r="F31" s="7">
        <v>1</v>
      </c>
    </row>
    <row r="32" spans="1:6" x14ac:dyDescent="0.3">
      <c r="A32" t="s">
        <v>183</v>
      </c>
      <c r="B32" s="2">
        <v>0</v>
      </c>
      <c r="C32" s="2">
        <v>0</v>
      </c>
      <c r="D32" s="2">
        <v>0</v>
      </c>
      <c r="E32" s="2">
        <v>0</v>
      </c>
      <c r="F32" s="2">
        <v>0</v>
      </c>
    </row>
    <row r="33" spans="1:6" x14ac:dyDescent="0.3">
      <c r="A33" t="s">
        <v>69</v>
      </c>
      <c r="B33" s="2">
        <f>IFERROR(VLOOKUP(B$30,range_Power,2,TRUE),0)</f>
        <v>4</v>
      </c>
      <c r="C33" s="2">
        <f>IFERROR(VLOOKUP(C$30,range_Power,2,TRUE),0)</f>
        <v>4</v>
      </c>
      <c r="D33" s="2">
        <f>IFERROR(VLOOKUP(D$30,range_Power,2,TRUE),0)</f>
        <v>4</v>
      </c>
      <c r="E33" s="2">
        <f>IFERROR(VLOOKUP(E$30,range_Power,2,TRUE),0)</f>
        <v>0</v>
      </c>
      <c r="F33" s="2">
        <f>IFERROR(VLOOKUP(F$30,range_Power,2,TRUE),0)</f>
        <v>0</v>
      </c>
    </row>
    <row r="34" spans="1:6" x14ac:dyDescent="0.3">
      <c r="A34" t="s">
        <v>184</v>
      </c>
      <c r="B34" s="2">
        <v>6</v>
      </c>
      <c r="C34" s="2">
        <v>6</v>
      </c>
      <c r="D34" s="2">
        <v>6</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11.8</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11.8</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11.8</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7.8000000000000007</v>
      </c>
      <c r="C55" s="2">
        <f>C$54-C$32*pw_Damage-C$33-C$52*pw_Summon</f>
        <v>7.8000000000000007</v>
      </c>
      <c r="D55" s="2">
        <f>D$54-D$32*pw_Damage-D$33-D$52*pw_Summon</f>
        <v>7.8000000000000007</v>
      </c>
      <c r="E55" s="2">
        <f>E$54-E$32*pw_Damage-E$33-E$52*pw_Summon</f>
        <v>1</v>
      </c>
      <c r="F55" s="2">
        <f>F$54-F$32*pw_Damage-F$33-F$52*pw_Summon</f>
        <v>1</v>
      </c>
    </row>
    <row r="57" spans="1:6" x14ac:dyDescent="0.3">
      <c r="A57" s="1" t="s">
        <v>206</v>
      </c>
      <c r="B57" s="3"/>
    </row>
  </sheetData>
  <dataValidations count="5">
    <dataValidation type="list" allowBlank="1" sqref="B10" xr:uid="{00000000-0002-0000-1200-000000000000}">
      <formula1>list_Brain</formula1>
    </dataValidation>
    <dataValidation type="list" allowBlank="1" sqref="B11" xr:uid="{00000000-0002-0000-1200-000001000000}">
      <formula1>list_Targeting</formula1>
    </dataValidation>
    <dataValidation type="list" allowBlank="1" sqref="B12" xr:uid="{00000000-0002-0000-1200-000002000000}">
      <formula1>list_Loot</formula1>
    </dataValidation>
    <dataValidation type="list" allowBlank="1" sqref="B13" xr:uid="{00000000-0002-0000-1200-000003000000}">
      <formula1>list_Role</formula1>
    </dataValidation>
    <dataValidation type="list" allowBlank="1" sqref="B24:F24" xr:uid="{00000000-0002-0000-1200-000004000000}">
      <formula1>list_EnemyCard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272</v>
      </c>
    </row>
    <row r="2" spans="1:2" x14ac:dyDescent="0.3">
      <c r="A2" s="1" t="s">
        <v>157</v>
      </c>
      <c r="B2" t="s">
        <v>87</v>
      </c>
    </row>
    <row r="3" spans="1:2" x14ac:dyDescent="0.3">
      <c r="A3" s="1" t="s">
        <v>158</v>
      </c>
      <c r="B3" t="s">
        <v>273</v>
      </c>
    </row>
    <row r="4" spans="1:2" x14ac:dyDescent="0.3">
      <c r="A4" s="1" t="s">
        <v>160</v>
      </c>
      <c r="B4" t="str">
        <f>IF($B$3="","NEW","Live")</f>
        <v>Live</v>
      </c>
    </row>
    <row r="6" spans="1:2" x14ac:dyDescent="0.3">
      <c r="A6" s="1" t="s">
        <v>161</v>
      </c>
    </row>
    <row r="7" spans="1:2" x14ac:dyDescent="0.3">
      <c r="A7" s="5" t="s">
        <v>162</v>
      </c>
      <c r="B7" t="s">
        <v>272</v>
      </c>
    </row>
    <row r="8" spans="1:2" x14ac:dyDescent="0.3">
      <c r="A8" s="5" t="s">
        <v>164</v>
      </c>
      <c r="B8">
        <v>6</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0.29399999999999998</v>
      </c>
    </row>
    <row r="17" spans="1:6" x14ac:dyDescent="0.3">
      <c r="A17" t="s">
        <v>169</v>
      </c>
      <c r="B17" s="2">
        <f>IF($B$15="","",ROUND($B$16-$B$15,3))</f>
        <v>-1.706</v>
      </c>
    </row>
    <row r="18" spans="1:6" x14ac:dyDescent="0.3">
      <c r="B18" s="2"/>
    </row>
    <row r="19" spans="1:6" x14ac:dyDescent="0.3">
      <c r="A19" t="s">
        <v>170</v>
      </c>
      <c r="B19" s="2">
        <f>IFERROR(AVERAGEIF(B$26:F$26,"Yes",B$54:F$54),0)</f>
        <v>2</v>
      </c>
    </row>
    <row r="20" spans="1:6" x14ac:dyDescent="0.3">
      <c r="A20" t="s">
        <v>171</v>
      </c>
      <c r="B20" s="2">
        <f>IFERROR(AVERAGEIF(B$26:F$26,"Yes",B$32:F$32),0)</f>
        <v>2</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139</v>
      </c>
      <c r="C24" t="s">
        <v>139</v>
      </c>
      <c r="D24" t="s">
        <v>139</v>
      </c>
      <c r="E24" t="s">
        <v>132</v>
      </c>
      <c r="F24" t="s">
        <v>132</v>
      </c>
    </row>
    <row r="25" spans="1:6" x14ac:dyDescent="0.3">
      <c r="A25" t="s">
        <v>175</v>
      </c>
      <c r="B25" t="s">
        <v>274</v>
      </c>
      <c r="C25" t="s">
        <v>274</v>
      </c>
      <c r="D25" t="s">
        <v>274</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2</v>
      </c>
      <c r="C32" s="2">
        <v>2</v>
      </c>
      <c r="D32" s="2">
        <v>2</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2</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2</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2</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0</v>
      </c>
      <c r="C55" s="2">
        <f>C$54-C$32*pw_Damage-C$33-C$52*pw_Summon</f>
        <v>0</v>
      </c>
      <c r="D55" s="2">
        <f>D$54-D$32*pw_Damage-D$33-D$52*pw_Summon</f>
        <v>0</v>
      </c>
      <c r="E55" s="2">
        <f>E$54-E$32*pw_Damage-E$33-E$52*pw_Summon</f>
        <v>1</v>
      </c>
      <c r="F55" s="2">
        <f>F$54-F$32*pw_Damage-F$33-F$52*pw_Summon</f>
        <v>1</v>
      </c>
    </row>
    <row r="57" spans="1:6" x14ac:dyDescent="0.3">
      <c r="A57" s="1" t="s">
        <v>206</v>
      </c>
      <c r="B57" s="3"/>
    </row>
  </sheetData>
  <dataValidations count="5">
    <dataValidation type="list" allowBlank="1" sqref="B10" xr:uid="{00000000-0002-0000-1300-000000000000}">
      <formula1>list_Brain</formula1>
    </dataValidation>
    <dataValidation type="list" allowBlank="1" sqref="B11" xr:uid="{00000000-0002-0000-1300-000001000000}">
      <formula1>list_Targeting</formula1>
    </dataValidation>
    <dataValidation type="list" allowBlank="1" sqref="B12" xr:uid="{00000000-0002-0000-1300-000002000000}">
      <formula1>list_Loot</formula1>
    </dataValidation>
    <dataValidation type="list" allowBlank="1" sqref="B13" xr:uid="{00000000-0002-0000-1300-000003000000}">
      <formula1>list_Role</formula1>
    </dataValidation>
    <dataValidation type="list" allowBlank="1" sqref="B24:F24" xr:uid="{00000000-0002-0000-1300-000004000000}">
      <formula1>list_EnemyCard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275</v>
      </c>
    </row>
    <row r="2" spans="1:2" x14ac:dyDescent="0.3">
      <c r="A2" s="1" t="s">
        <v>157</v>
      </c>
      <c r="B2" t="s">
        <v>87</v>
      </c>
    </row>
    <row r="3" spans="1:2" x14ac:dyDescent="0.3">
      <c r="A3" s="1" t="s">
        <v>158</v>
      </c>
      <c r="B3" t="s">
        <v>276</v>
      </c>
    </row>
    <row r="4" spans="1:2" x14ac:dyDescent="0.3">
      <c r="A4" s="1" t="s">
        <v>160</v>
      </c>
      <c r="B4" t="str">
        <f>IF($B$3="","NEW","Live")</f>
        <v>Live</v>
      </c>
    </row>
    <row r="6" spans="1:2" x14ac:dyDescent="0.3">
      <c r="A6" s="1" t="s">
        <v>161</v>
      </c>
    </row>
    <row r="7" spans="1:2" x14ac:dyDescent="0.3">
      <c r="A7" s="5" t="s">
        <v>162</v>
      </c>
      <c r="B7" t="s">
        <v>277</v>
      </c>
    </row>
    <row r="8" spans="1:2" x14ac:dyDescent="0.3">
      <c r="A8" s="5" t="s">
        <v>164</v>
      </c>
      <c r="B8">
        <v>11</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113</v>
      </c>
    </row>
    <row r="13" spans="1:2" x14ac:dyDescent="0.3">
      <c r="A13" s="5" t="s">
        <v>75</v>
      </c>
      <c r="B13" t="s">
        <v>86</v>
      </c>
    </row>
    <row r="15" spans="1:2" x14ac:dyDescent="0.3">
      <c r="A15" s="1" t="s">
        <v>167</v>
      </c>
      <c r="B15">
        <v>2</v>
      </c>
    </row>
    <row r="16" spans="1:2" x14ac:dyDescent="0.3">
      <c r="A16" s="1" t="s">
        <v>168</v>
      </c>
      <c r="B16" s="2">
        <f>IF($B$8="","",ROUND(($B$19*$B$9*pw_ActionScale+$B$8*pw_Health)/pw_Divisor,3))</f>
        <v>1.194</v>
      </c>
    </row>
    <row r="17" spans="1:6" x14ac:dyDescent="0.3">
      <c r="A17" t="s">
        <v>169</v>
      </c>
      <c r="B17" s="2">
        <f>IF($B$15="","",ROUND($B$16-$B$15,3))</f>
        <v>-0.80600000000000005</v>
      </c>
    </row>
    <row r="18" spans="1:6" x14ac:dyDescent="0.3">
      <c r="B18" s="2"/>
    </row>
    <row r="19" spans="1:6" x14ac:dyDescent="0.3">
      <c r="A19" t="s">
        <v>170</v>
      </c>
      <c r="B19" s="2">
        <f>IFERROR(AVERAGEIF(B$26:F$26,"Yes",B$54:F$54),0)</f>
        <v>7.4000000000000012</v>
      </c>
    </row>
    <row r="20" spans="1:6" x14ac:dyDescent="0.3">
      <c r="A20" t="s">
        <v>171</v>
      </c>
      <c r="B20" s="2">
        <f>IFERROR(AVERAGEIF(B$26:F$26,"Yes",B$32:F$32),0)</f>
        <v>2</v>
      </c>
    </row>
    <row r="21" spans="1:6" x14ac:dyDescent="0.3">
      <c r="A21" t="s">
        <v>172</v>
      </c>
      <c r="B21" s="2">
        <f>IFERROR(AVERAGEIF(B$26:F$26,"Yes",B$55:F$55),0)</f>
        <v>5.4000000000000012</v>
      </c>
    </row>
    <row r="22" spans="1:6" x14ac:dyDescent="0.3">
      <c r="A22" t="s">
        <v>173</v>
      </c>
      <c r="B22" s="2">
        <f>IFERROR(AVERAGEIF(B$26:F$26,"Yes",B$52:F$52),0)</f>
        <v>0</v>
      </c>
    </row>
    <row r="24" spans="1:6" x14ac:dyDescent="0.3">
      <c r="A24" s="1" t="s">
        <v>174</v>
      </c>
      <c r="B24" t="s">
        <v>134</v>
      </c>
      <c r="C24" t="s">
        <v>134</v>
      </c>
      <c r="D24" t="s">
        <v>134</v>
      </c>
      <c r="E24" t="s">
        <v>132</v>
      </c>
      <c r="F24" t="s">
        <v>132</v>
      </c>
    </row>
    <row r="25" spans="1:6" x14ac:dyDescent="0.3">
      <c r="A25" t="s">
        <v>175</v>
      </c>
      <c r="B25" t="s">
        <v>278</v>
      </c>
      <c r="C25" t="s">
        <v>278</v>
      </c>
      <c r="D25" t="s">
        <v>278</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2</v>
      </c>
      <c r="C32" s="2">
        <v>2</v>
      </c>
      <c r="D32" s="2">
        <v>2</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6</v>
      </c>
      <c r="C34" s="2">
        <v>6</v>
      </c>
      <c r="D34" s="2">
        <v>6</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7.4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7.4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7.4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5.4</v>
      </c>
      <c r="C55" s="2">
        <f>C$54-C$32*pw_Damage-C$33-C$52*pw_Summon</f>
        <v>5.4</v>
      </c>
      <c r="D55" s="2">
        <f>D$54-D$32*pw_Damage-D$33-D$52*pw_Summon</f>
        <v>5.4</v>
      </c>
      <c r="E55" s="2">
        <f>E$54-E$32*pw_Damage-E$33-E$52*pw_Summon</f>
        <v>1</v>
      </c>
      <c r="F55" s="2">
        <f>F$54-F$32*pw_Damage-F$33-F$52*pw_Summon</f>
        <v>1</v>
      </c>
    </row>
    <row r="57" spans="1:6" x14ac:dyDescent="0.3">
      <c r="A57" s="1" t="s">
        <v>206</v>
      </c>
      <c r="B57" s="3"/>
    </row>
  </sheetData>
  <dataValidations count="5">
    <dataValidation type="list" allowBlank="1" sqref="B10" xr:uid="{00000000-0002-0000-1400-000000000000}">
      <formula1>list_Brain</formula1>
    </dataValidation>
    <dataValidation type="list" allowBlank="1" sqref="B11" xr:uid="{00000000-0002-0000-1400-000001000000}">
      <formula1>list_Targeting</formula1>
    </dataValidation>
    <dataValidation type="list" allowBlank="1" sqref="B12" xr:uid="{00000000-0002-0000-1400-000002000000}">
      <formula1>list_Loot</formula1>
    </dataValidation>
    <dataValidation type="list" allowBlank="1" sqref="B13" xr:uid="{00000000-0002-0000-1400-000003000000}">
      <formula1>list_Role</formula1>
    </dataValidation>
    <dataValidation type="list" allowBlank="1" sqref="B24:F24" xr:uid="{00000000-0002-0000-1400-000004000000}">
      <formula1>list_EnemyCard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279</v>
      </c>
    </row>
    <row r="2" spans="1:2" x14ac:dyDescent="0.3">
      <c r="A2" s="1" t="s">
        <v>157</v>
      </c>
      <c r="B2" t="s">
        <v>87</v>
      </c>
    </row>
    <row r="3" spans="1:2" x14ac:dyDescent="0.3">
      <c r="A3" s="1" t="s">
        <v>158</v>
      </c>
      <c r="B3" t="s">
        <v>280</v>
      </c>
    </row>
    <row r="4" spans="1:2" x14ac:dyDescent="0.3">
      <c r="A4" s="1" t="s">
        <v>160</v>
      </c>
      <c r="B4" t="str">
        <f>IF($B$3="","NEW","Live")</f>
        <v>Live</v>
      </c>
    </row>
    <row r="6" spans="1:2" x14ac:dyDescent="0.3">
      <c r="A6" s="1" t="s">
        <v>161</v>
      </c>
    </row>
    <row r="7" spans="1:2" x14ac:dyDescent="0.3">
      <c r="A7" s="5" t="s">
        <v>162</v>
      </c>
      <c r="B7" t="s">
        <v>279</v>
      </c>
    </row>
    <row r="8" spans="1:2" x14ac:dyDescent="0.3">
      <c r="A8" s="5" t="s">
        <v>164</v>
      </c>
      <c r="B8">
        <v>9</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0.81799999999999995</v>
      </c>
    </row>
    <row r="17" spans="1:6" x14ac:dyDescent="0.3">
      <c r="A17" t="s">
        <v>169</v>
      </c>
      <c r="B17" s="2">
        <f>IF($B$15="","",ROUND($B$16-$B$15,3))</f>
        <v>-1.1819999999999999</v>
      </c>
    </row>
    <row r="18" spans="1:6" x14ac:dyDescent="0.3">
      <c r="B18" s="2"/>
    </row>
    <row r="19" spans="1:6" x14ac:dyDescent="0.3">
      <c r="A19" t="s">
        <v>170</v>
      </c>
      <c r="B19" s="2">
        <f>IFERROR(AVERAGEIF(B$26:F$26,"Yes",B$54:F$54),0)</f>
        <v>4.7</v>
      </c>
    </row>
    <row r="20" spans="1:6" x14ac:dyDescent="0.3">
      <c r="A20" t="s">
        <v>171</v>
      </c>
      <c r="B20" s="2">
        <f>IFERROR(AVERAGEIF(B$26:F$26,"Yes",B$32:F$32),0)</f>
        <v>2</v>
      </c>
    </row>
    <row r="21" spans="1:6" x14ac:dyDescent="0.3">
      <c r="A21" t="s">
        <v>172</v>
      </c>
      <c r="B21" s="2">
        <f>IFERROR(AVERAGEIF(B$26:F$26,"Yes",B$55:F$55),0)</f>
        <v>2.7000000000000006</v>
      </c>
    </row>
    <row r="22" spans="1:6" x14ac:dyDescent="0.3">
      <c r="A22" t="s">
        <v>173</v>
      </c>
      <c r="B22" s="2">
        <f>IFERROR(AVERAGEIF(B$26:F$26,"Yes",B$52:F$52),0)</f>
        <v>0</v>
      </c>
    </row>
    <row r="24" spans="1:6" x14ac:dyDescent="0.3">
      <c r="A24" s="1" t="s">
        <v>174</v>
      </c>
      <c r="B24" t="s">
        <v>128</v>
      </c>
      <c r="C24" t="s">
        <v>128</v>
      </c>
      <c r="D24" t="s">
        <v>128</v>
      </c>
      <c r="E24" t="s">
        <v>132</v>
      </c>
      <c r="F24" t="s">
        <v>132</v>
      </c>
    </row>
    <row r="25" spans="1:6" x14ac:dyDescent="0.3">
      <c r="A25" t="s">
        <v>175</v>
      </c>
      <c r="B25" t="s">
        <v>281</v>
      </c>
      <c r="C25" t="s">
        <v>281</v>
      </c>
      <c r="D25" t="s">
        <v>281</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2</v>
      </c>
      <c r="C32" s="2">
        <v>2</v>
      </c>
      <c r="D32" s="2">
        <v>2</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3</v>
      </c>
      <c r="C34" s="2">
        <v>3</v>
      </c>
      <c r="D34" s="2">
        <v>3</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4.7</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4.7</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4.7</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2.7</v>
      </c>
      <c r="C55" s="2">
        <f>C$54-C$32*pw_Damage-C$33-C$52*pw_Summon</f>
        <v>2.7</v>
      </c>
      <c r="D55" s="2">
        <f>D$54-D$32*pw_Damage-D$33-D$52*pw_Summon</f>
        <v>2.7</v>
      </c>
      <c r="E55" s="2">
        <f>E$54-E$32*pw_Damage-E$33-E$52*pw_Summon</f>
        <v>1</v>
      </c>
      <c r="F55" s="2">
        <f>F$54-F$32*pw_Damage-F$33-F$52*pw_Summon</f>
        <v>1</v>
      </c>
    </row>
    <row r="57" spans="1:6" x14ac:dyDescent="0.3">
      <c r="A57" s="1" t="s">
        <v>206</v>
      </c>
      <c r="B57" s="3"/>
    </row>
  </sheetData>
  <dataValidations count="5">
    <dataValidation type="list" allowBlank="1" sqref="B10" xr:uid="{00000000-0002-0000-1500-000000000000}">
      <formula1>list_Brain</formula1>
    </dataValidation>
    <dataValidation type="list" allowBlank="1" sqref="B11" xr:uid="{00000000-0002-0000-1500-000001000000}">
      <formula1>list_Targeting</formula1>
    </dataValidation>
    <dataValidation type="list" allowBlank="1" sqref="B12" xr:uid="{00000000-0002-0000-1500-000002000000}">
      <formula1>list_Loot</formula1>
    </dataValidation>
    <dataValidation type="list" allowBlank="1" sqref="B13" xr:uid="{00000000-0002-0000-1500-000003000000}">
      <formula1>list_Role</formula1>
    </dataValidation>
    <dataValidation type="list" allowBlank="1" sqref="B24:F24" xr:uid="{00000000-0002-0000-1500-000004000000}">
      <formula1>list_EnemyCard</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235</v>
      </c>
    </row>
    <row r="2" spans="1:2" x14ac:dyDescent="0.3">
      <c r="A2" s="1" t="s">
        <v>157</v>
      </c>
      <c r="B2" t="s">
        <v>81</v>
      </c>
    </row>
    <row r="3" spans="1:2" x14ac:dyDescent="0.3">
      <c r="A3" s="1" t="s">
        <v>158</v>
      </c>
      <c r="B3" t="s">
        <v>236</v>
      </c>
    </row>
    <row r="4" spans="1:2" x14ac:dyDescent="0.3">
      <c r="A4" s="1" t="s">
        <v>160</v>
      </c>
      <c r="B4" t="str">
        <f>IF($B$3="","NEW","Live")</f>
        <v>Live</v>
      </c>
    </row>
    <row r="6" spans="1:2" x14ac:dyDescent="0.3">
      <c r="A6" s="1" t="s">
        <v>161</v>
      </c>
    </row>
    <row r="7" spans="1:2" x14ac:dyDescent="0.3">
      <c r="A7" s="5" t="s">
        <v>162</v>
      </c>
      <c r="B7" t="s">
        <v>235</v>
      </c>
    </row>
    <row r="8" spans="1:2" x14ac:dyDescent="0.3">
      <c r="A8" s="5" t="s">
        <v>164</v>
      </c>
      <c r="B8">
        <v>110</v>
      </c>
    </row>
    <row r="9" spans="1:2" x14ac:dyDescent="0.3">
      <c r="A9" s="5" t="s">
        <v>165</v>
      </c>
      <c r="B9">
        <v>2</v>
      </c>
    </row>
    <row r="10" spans="1:2" x14ac:dyDescent="0.3">
      <c r="A10" s="5" t="s">
        <v>72</v>
      </c>
      <c r="B10" t="s">
        <v>94</v>
      </c>
    </row>
    <row r="11" spans="1:2" x14ac:dyDescent="0.3">
      <c r="A11" s="5" t="s">
        <v>73</v>
      </c>
      <c r="B11" t="s">
        <v>108</v>
      </c>
    </row>
    <row r="12" spans="1:2" x14ac:dyDescent="0.3">
      <c r="A12" s="5" t="s">
        <v>166</v>
      </c>
      <c r="B12" t="s">
        <v>115</v>
      </c>
    </row>
    <row r="13" spans="1:2" x14ac:dyDescent="0.3">
      <c r="A13" s="5" t="s">
        <v>75</v>
      </c>
      <c r="B13" t="s">
        <v>79</v>
      </c>
    </row>
    <row r="15" spans="1:2" x14ac:dyDescent="0.3">
      <c r="A15" s="1" t="s">
        <v>167</v>
      </c>
      <c r="B15">
        <v>2</v>
      </c>
    </row>
    <row r="16" spans="1:2" x14ac:dyDescent="0.3">
      <c r="A16" s="1" t="s">
        <v>168</v>
      </c>
      <c r="B16" s="2">
        <f>IF($B$8="","",ROUND(($B$19*$B$9*pw_ActionScale+$B$8*pw_Health)/pw_Divisor,3))</f>
        <v>4.7409999999999997</v>
      </c>
    </row>
    <row r="17" spans="1:8" x14ac:dyDescent="0.3">
      <c r="A17" t="s">
        <v>169</v>
      </c>
      <c r="B17" s="2">
        <f>IF($B$15="","",ROUND($B$16-$B$15,3))</f>
        <v>2.7410000000000001</v>
      </c>
    </row>
    <row r="18" spans="1:8" x14ac:dyDescent="0.3">
      <c r="B18" s="2"/>
    </row>
    <row r="19" spans="1:8" x14ac:dyDescent="0.3">
      <c r="A19" t="s">
        <v>170</v>
      </c>
      <c r="B19" s="2">
        <f>IFERROR(AVERAGEIF(B$26:H$26,"Yes",B$54:H$54),0)</f>
        <v>12.8</v>
      </c>
    </row>
    <row r="20" spans="1:8" x14ac:dyDescent="0.3">
      <c r="A20" t="s">
        <v>171</v>
      </c>
      <c r="B20" s="2">
        <f>IFERROR(AVERAGEIF(B$26:H$26,"Yes",B$32:H$32),0)</f>
        <v>5</v>
      </c>
    </row>
    <row r="21" spans="1:8" x14ac:dyDescent="0.3">
      <c r="A21" t="s">
        <v>172</v>
      </c>
      <c r="B21" s="2">
        <f>IFERROR(AVERAGEIF(B$26:H$26,"Yes",B$55:H$55),0)</f>
        <v>4.55</v>
      </c>
    </row>
    <row r="22" spans="1:8" x14ac:dyDescent="0.3">
      <c r="A22" t="s">
        <v>173</v>
      </c>
      <c r="B22" s="2">
        <f>IFERROR(AVERAGEIF(B$26:H$26,"Yes",B$52:H$52),0)</f>
        <v>0</v>
      </c>
    </row>
    <row r="24" spans="1:8" x14ac:dyDescent="0.3">
      <c r="A24" s="1" t="s">
        <v>174</v>
      </c>
      <c r="B24" t="s">
        <v>146</v>
      </c>
      <c r="C24" t="s">
        <v>146</v>
      </c>
      <c r="D24" t="s">
        <v>120</v>
      </c>
      <c r="E24" t="s">
        <v>120</v>
      </c>
      <c r="F24" t="s">
        <v>136</v>
      </c>
      <c r="G24" t="s">
        <v>132</v>
      </c>
      <c r="H24" t="s">
        <v>132</v>
      </c>
    </row>
    <row r="25" spans="1:8" x14ac:dyDescent="0.3">
      <c r="A25" t="s">
        <v>175</v>
      </c>
      <c r="B25" t="s">
        <v>237</v>
      </c>
      <c r="C25" t="s">
        <v>237</v>
      </c>
      <c r="D25" t="s">
        <v>238</v>
      </c>
      <c r="E25" t="s">
        <v>238</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2</v>
      </c>
      <c r="C30" s="7">
        <v>2</v>
      </c>
      <c r="D30" s="7">
        <v>4</v>
      </c>
      <c r="E30" s="7">
        <v>4</v>
      </c>
      <c r="F30" s="7">
        <v>4</v>
      </c>
      <c r="G30" s="7">
        <v>1</v>
      </c>
      <c r="H30" s="7">
        <v>1</v>
      </c>
    </row>
    <row r="31" spans="1:8" x14ac:dyDescent="0.3">
      <c r="A31" t="s">
        <v>182</v>
      </c>
      <c r="B31" s="7">
        <v>1</v>
      </c>
      <c r="C31" s="7">
        <v>1</v>
      </c>
      <c r="D31" s="7">
        <v>9</v>
      </c>
      <c r="E31" s="7">
        <v>9</v>
      </c>
      <c r="F31" s="7">
        <v>1</v>
      </c>
      <c r="G31" s="7">
        <v>1</v>
      </c>
      <c r="H31" s="7">
        <v>1</v>
      </c>
    </row>
    <row r="32" spans="1:8" x14ac:dyDescent="0.3">
      <c r="A32" t="s">
        <v>183</v>
      </c>
      <c r="B32" s="2">
        <v>6</v>
      </c>
      <c r="C32" s="2">
        <v>6</v>
      </c>
      <c r="D32" s="2">
        <v>4</v>
      </c>
      <c r="E32" s="2">
        <v>4</v>
      </c>
      <c r="F32" s="2">
        <v>0</v>
      </c>
      <c r="G32" s="2">
        <v>0</v>
      </c>
      <c r="H32" s="2">
        <v>0</v>
      </c>
    </row>
    <row r="33" spans="1:8" x14ac:dyDescent="0.3">
      <c r="A33" t="s">
        <v>69</v>
      </c>
      <c r="B33" s="2">
        <f t="shared" ref="B33:H33" si="0">IFERROR(VLOOKUP(B$30,range_Power,2,TRUE),0)</f>
        <v>1.5</v>
      </c>
      <c r="C33" s="2">
        <f t="shared" si="0"/>
        <v>1.5</v>
      </c>
      <c r="D33" s="2">
        <f t="shared" si="0"/>
        <v>5</v>
      </c>
      <c r="E33" s="2">
        <f t="shared" si="0"/>
        <v>5</v>
      </c>
      <c r="F33" s="2">
        <f t="shared" si="0"/>
        <v>5</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5</v>
      </c>
      <c r="C35" s="2">
        <v>5</v>
      </c>
      <c r="D35" s="2">
        <v>0</v>
      </c>
      <c r="E35" s="2">
        <v>0</v>
      </c>
      <c r="F35" s="2">
        <v>0</v>
      </c>
      <c r="G35" s="2">
        <v>0</v>
      </c>
      <c r="H35" s="2">
        <v>0</v>
      </c>
    </row>
    <row r="36" spans="1:8" x14ac:dyDescent="0.3">
      <c r="A36" t="s">
        <v>186</v>
      </c>
      <c r="B36" s="2">
        <v>0</v>
      </c>
      <c r="C36" s="2">
        <v>0</v>
      </c>
      <c r="D36" s="2">
        <v>0</v>
      </c>
      <c r="E36" s="2">
        <v>0</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1</v>
      </c>
      <c r="E42" s="2">
        <v>1</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pow_Skeleton</f>
        <v>0.79400000000000004</v>
      </c>
      <c r="G52" s="2">
        <v>0</v>
      </c>
      <c r="H52" s="2">
        <v>0</v>
      </c>
    </row>
    <row r="53" spans="1:8" x14ac:dyDescent="0.3">
      <c r="A53" t="s">
        <v>203</v>
      </c>
      <c r="B53" s="7">
        <v>0</v>
      </c>
      <c r="C53" s="7">
        <v>0</v>
      </c>
      <c r="D53" s="7">
        <v>0</v>
      </c>
      <c r="E53" s="7">
        <v>0</v>
      </c>
      <c r="F53" s="7">
        <v>3</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11.5</v>
      </c>
      <c r="C54" s="2">
        <f t="shared" si="1"/>
        <v>11.5</v>
      </c>
      <c r="D54" s="2">
        <f t="shared" si="1"/>
        <v>14.1</v>
      </c>
      <c r="E54" s="2">
        <f t="shared" si="1"/>
        <v>14.1</v>
      </c>
      <c r="F54" s="2">
        <f t="shared" si="1"/>
        <v>5.7940000000000005</v>
      </c>
      <c r="G54" s="2">
        <f t="shared" si="1"/>
        <v>1</v>
      </c>
      <c r="H54" s="2">
        <f t="shared" si="1"/>
        <v>1</v>
      </c>
    </row>
    <row r="55" spans="1:8" x14ac:dyDescent="0.3">
      <c r="A55" t="s">
        <v>205</v>
      </c>
      <c r="B55" s="2">
        <f t="shared" ref="B55:H55" si="2">B$54-B$32*pw_Damage-B$33-B$52*pw_Summon</f>
        <v>4</v>
      </c>
      <c r="C55" s="2">
        <f t="shared" si="2"/>
        <v>4</v>
      </c>
      <c r="D55" s="2">
        <f t="shared" si="2"/>
        <v>5.0999999999999996</v>
      </c>
      <c r="E55" s="2">
        <f t="shared" si="2"/>
        <v>5.0999999999999996</v>
      </c>
      <c r="F55" s="2">
        <f t="shared" si="2"/>
        <v>0</v>
      </c>
      <c r="G55" s="2">
        <f t="shared" si="2"/>
        <v>1</v>
      </c>
      <c r="H55" s="2">
        <f t="shared" si="2"/>
        <v>1</v>
      </c>
    </row>
    <row r="57" spans="1:8" x14ac:dyDescent="0.3">
      <c r="A57" s="1" t="s">
        <v>206</v>
      </c>
      <c r="B57" s="3"/>
    </row>
  </sheetData>
  <dataValidations count="5">
    <dataValidation type="list" allowBlank="1" sqref="B10" xr:uid="{00000000-0002-0000-1600-000000000000}">
      <formula1>list_Brain</formula1>
    </dataValidation>
    <dataValidation type="list" allowBlank="1" sqref="B11" xr:uid="{00000000-0002-0000-1600-000001000000}">
      <formula1>list_Targeting</formula1>
    </dataValidation>
    <dataValidation type="list" allowBlank="1" sqref="B12" xr:uid="{00000000-0002-0000-1600-000002000000}">
      <formula1>list_Loot</formula1>
    </dataValidation>
    <dataValidation type="list" allowBlank="1" sqref="B13" xr:uid="{00000000-0002-0000-1600-000003000000}">
      <formula1>list_Role</formula1>
    </dataValidation>
    <dataValidation type="list" allowBlank="1" sqref="B24:H24" xr:uid="{00000000-0002-0000-1600-000004000000}">
      <formula1>list_EnemyCard</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57"/>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155</v>
      </c>
      <c r="B1" t="s">
        <v>239</v>
      </c>
    </row>
    <row r="2" spans="1:2" x14ac:dyDescent="0.3">
      <c r="A2" s="1" t="s">
        <v>157</v>
      </c>
      <c r="B2" t="s">
        <v>81</v>
      </c>
    </row>
    <row r="3" spans="1:2" x14ac:dyDescent="0.3">
      <c r="A3" s="1" t="s">
        <v>158</v>
      </c>
      <c r="B3" t="s">
        <v>240</v>
      </c>
    </row>
    <row r="4" spans="1:2" x14ac:dyDescent="0.3">
      <c r="A4" s="1" t="s">
        <v>160</v>
      </c>
      <c r="B4" t="str">
        <f>IF($B$3="","NEW","Live")</f>
        <v>Live</v>
      </c>
    </row>
    <row r="6" spans="1:2" x14ac:dyDescent="0.3">
      <c r="A6" s="1" t="s">
        <v>161</v>
      </c>
    </row>
    <row r="7" spans="1:2" x14ac:dyDescent="0.3">
      <c r="A7" s="5" t="s">
        <v>162</v>
      </c>
      <c r="B7" t="s">
        <v>241</v>
      </c>
    </row>
    <row r="8" spans="1:2" x14ac:dyDescent="0.3">
      <c r="A8" s="5" t="s">
        <v>164</v>
      </c>
      <c r="B8">
        <v>150</v>
      </c>
    </row>
    <row r="9" spans="1:2" x14ac:dyDescent="0.3">
      <c r="A9" s="5" t="s">
        <v>165</v>
      </c>
      <c r="B9">
        <v>2</v>
      </c>
    </row>
    <row r="10" spans="1:2" x14ac:dyDescent="0.3">
      <c r="A10" s="5" t="s">
        <v>72</v>
      </c>
      <c r="B10" t="s">
        <v>94</v>
      </c>
    </row>
    <row r="11" spans="1:2" x14ac:dyDescent="0.3">
      <c r="A11" s="5" t="s">
        <v>73</v>
      </c>
      <c r="B11" t="s">
        <v>84</v>
      </c>
    </row>
    <row r="12" spans="1:2" x14ac:dyDescent="0.3">
      <c r="A12" s="5" t="s">
        <v>166</v>
      </c>
      <c r="B12" t="s">
        <v>117</v>
      </c>
    </row>
    <row r="13" spans="1:2" x14ac:dyDescent="0.3">
      <c r="A13" s="5" t="s">
        <v>75</v>
      </c>
      <c r="B13" t="s">
        <v>79</v>
      </c>
    </row>
    <row r="15" spans="1:2" x14ac:dyDescent="0.3">
      <c r="A15" s="1" t="s">
        <v>167</v>
      </c>
      <c r="B15">
        <v>2</v>
      </c>
    </row>
    <row r="16" spans="1:2" x14ac:dyDescent="0.3">
      <c r="A16" s="1" t="s">
        <v>168</v>
      </c>
      <c r="B16" s="2">
        <f>IF($B$8="","",ROUND(($B$19*$B$9*pw_ActionScale+$B$8*pw_Health)/pw_Divisor,3))</f>
        <v>5.4939999999999998</v>
      </c>
    </row>
    <row r="17" spans="1:8" x14ac:dyDescent="0.3">
      <c r="A17" t="s">
        <v>169</v>
      </c>
      <c r="B17" s="2">
        <f>IF($B$15="","",ROUND($B$16-$B$15,3))</f>
        <v>3.4940000000000002</v>
      </c>
    </row>
    <row r="18" spans="1:8" x14ac:dyDescent="0.3">
      <c r="B18" s="2"/>
    </row>
    <row r="19" spans="1:8" x14ac:dyDescent="0.3">
      <c r="A19" t="s">
        <v>170</v>
      </c>
      <c r="B19" s="2">
        <f>IFERROR(AVERAGEIF(B$26:H$26,"Yes",B$54:H$54),0)</f>
        <v>9.1999999999999993</v>
      </c>
    </row>
    <row r="20" spans="1:8" x14ac:dyDescent="0.3">
      <c r="A20" t="s">
        <v>171</v>
      </c>
      <c r="B20" s="2">
        <f>IFERROR(AVERAGEIF(B$26:H$26,"Yes",B$32:H$32),0)</f>
        <v>5.5</v>
      </c>
    </row>
    <row r="21" spans="1:8" x14ac:dyDescent="0.3">
      <c r="A21" t="s">
        <v>172</v>
      </c>
      <c r="B21" s="2">
        <f>IFERROR(AVERAGEIF(B$26:H$26,"Yes",B$55:H$55),0)</f>
        <v>3.7</v>
      </c>
    </row>
    <row r="22" spans="1:8" x14ac:dyDescent="0.3">
      <c r="A22" t="s">
        <v>173</v>
      </c>
      <c r="B22" s="2">
        <f>IFERROR(AVERAGEIF(B$26:H$26,"Yes",B$52:H$52),0)</f>
        <v>0</v>
      </c>
    </row>
    <row r="24" spans="1:8" x14ac:dyDescent="0.3">
      <c r="A24" s="1" t="s">
        <v>174</v>
      </c>
      <c r="B24" t="s">
        <v>142</v>
      </c>
      <c r="C24" t="s">
        <v>142</v>
      </c>
      <c r="D24" t="s">
        <v>150</v>
      </c>
      <c r="E24" t="s">
        <v>150</v>
      </c>
      <c r="F24" t="s">
        <v>148</v>
      </c>
      <c r="G24" t="s">
        <v>132</v>
      </c>
      <c r="H24" t="s">
        <v>132</v>
      </c>
    </row>
    <row r="25" spans="1:8" x14ac:dyDescent="0.3">
      <c r="A25" t="s">
        <v>175</v>
      </c>
      <c r="B25" t="s">
        <v>242</v>
      </c>
      <c r="C25" t="s">
        <v>242</v>
      </c>
      <c r="D25" t="s">
        <v>221</v>
      </c>
      <c r="E25" t="s">
        <v>221</v>
      </c>
      <c r="F25" t="s">
        <v>212</v>
      </c>
      <c r="G25" t="s">
        <v>177</v>
      </c>
      <c r="H25" t="s">
        <v>177</v>
      </c>
    </row>
    <row r="26" spans="1:8" x14ac:dyDescent="0.3">
      <c r="A26" t="s">
        <v>178</v>
      </c>
      <c r="B26" t="s">
        <v>81</v>
      </c>
      <c r="C26" t="s">
        <v>81</v>
      </c>
      <c r="D26" t="s">
        <v>81</v>
      </c>
      <c r="E26" t="s">
        <v>81</v>
      </c>
      <c r="F26" t="s">
        <v>87</v>
      </c>
      <c r="G26" t="s">
        <v>87</v>
      </c>
      <c r="H26" t="s">
        <v>87</v>
      </c>
    </row>
    <row r="28" spans="1:8" x14ac:dyDescent="0.3">
      <c r="A28" s="1" t="s">
        <v>179</v>
      </c>
    </row>
    <row r="29" spans="1:8" x14ac:dyDescent="0.3">
      <c r="A29" t="s">
        <v>180</v>
      </c>
      <c r="B29" s="7">
        <v>1</v>
      </c>
      <c r="C29" s="7">
        <v>1</v>
      </c>
      <c r="D29" s="7">
        <v>1</v>
      </c>
      <c r="E29" s="7">
        <v>1</v>
      </c>
      <c r="F29" s="7">
        <v>0</v>
      </c>
      <c r="G29" s="7">
        <v>1</v>
      </c>
      <c r="H29" s="7">
        <v>1</v>
      </c>
    </row>
    <row r="30" spans="1:8" x14ac:dyDescent="0.3">
      <c r="A30" t="s">
        <v>181</v>
      </c>
      <c r="B30" s="7">
        <v>1</v>
      </c>
      <c r="C30" s="7">
        <v>1</v>
      </c>
      <c r="D30" s="7">
        <v>1</v>
      </c>
      <c r="E30" s="7">
        <v>1</v>
      </c>
      <c r="F30" s="7">
        <v>2</v>
      </c>
      <c r="G30" s="7">
        <v>1</v>
      </c>
      <c r="H30" s="7">
        <v>1</v>
      </c>
    </row>
    <row r="31" spans="1:8" x14ac:dyDescent="0.3">
      <c r="A31" t="s">
        <v>182</v>
      </c>
      <c r="B31" s="7">
        <v>9</v>
      </c>
      <c r="C31" s="7">
        <v>9</v>
      </c>
      <c r="D31" s="7">
        <v>1</v>
      </c>
      <c r="E31" s="7">
        <v>1</v>
      </c>
      <c r="F31" s="7">
        <v>1</v>
      </c>
      <c r="G31" s="7">
        <v>1</v>
      </c>
      <c r="H31" s="7">
        <v>1</v>
      </c>
    </row>
    <row r="32" spans="1:8" x14ac:dyDescent="0.3">
      <c r="A32" t="s">
        <v>183</v>
      </c>
      <c r="B32" s="2">
        <v>7</v>
      </c>
      <c r="C32" s="2">
        <v>7</v>
      </c>
      <c r="D32" s="2">
        <v>4</v>
      </c>
      <c r="E32" s="2">
        <v>4</v>
      </c>
      <c r="F32" s="2">
        <v>0</v>
      </c>
      <c r="G32" s="2">
        <v>0</v>
      </c>
      <c r="H32" s="2">
        <v>0</v>
      </c>
    </row>
    <row r="33" spans="1:8" x14ac:dyDescent="0.3">
      <c r="A33" t="s">
        <v>69</v>
      </c>
      <c r="B33" s="2">
        <f t="shared" ref="B33:H33" si="0">IFERROR(VLOOKUP(B$30,range_Power,2,TRUE),0)</f>
        <v>0</v>
      </c>
      <c r="C33" s="2">
        <f t="shared" si="0"/>
        <v>0</v>
      </c>
      <c r="D33" s="2">
        <f t="shared" si="0"/>
        <v>0</v>
      </c>
      <c r="E33" s="2">
        <f t="shared" si="0"/>
        <v>0</v>
      </c>
      <c r="F33" s="2">
        <f t="shared" si="0"/>
        <v>1.5</v>
      </c>
      <c r="G33" s="2">
        <f t="shared" si="0"/>
        <v>0</v>
      </c>
      <c r="H33" s="2">
        <f t="shared" si="0"/>
        <v>0</v>
      </c>
    </row>
    <row r="34" spans="1:8" x14ac:dyDescent="0.3">
      <c r="A34" t="s">
        <v>184</v>
      </c>
      <c r="B34" s="2">
        <v>0</v>
      </c>
      <c r="C34" s="2">
        <v>0</v>
      </c>
      <c r="D34" s="2">
        <v>0</v>
      </c>
      <c r="E34" s="2">
        <v>0</v>
      </c>
      <c r="F34" s="2">
        <v>0</v>
      </c>
      <c r="G34" s="2">
        <v>0</v>
      </c>
      <c r="H34" s="2">
        <v>0</v>
      </c>
    </row>
    <row r="35" spans="1:8" x14ac:dyDescent="0.3">
      <c r="A35" t="s">
        <v>185</v>
      </c>
      <c r="B35" s="2">
        <v>0</v>
      </c>
      <c r="C35" s="2">
        <v>0</v>
      </c>
      <c r="D35" s="2">
        <v>0</v>
      </c>
      <c r="E35" s="2">
        <v>0</v>
      </c>
      <c r="F35" s="2">
        <v>0</v>
      </c>
      <c r="G35" s="2">
        <v>0</v>
      </c>
      <c r="H35" s="2">
        <v>0</v>
      </c>
    </row>
    <row r="36" spans="1:8" x14ac:dyDescent="0.3">
      <c r="A36" t="s">
        <v>186</v>
      </c>
      <c r="B36" s="2">
        <v>0</v>
      </c>
      <c r="C36" s="2">
        <v>0</v>
      </c>
      <c r="D36" s="2">
        <v>10</v>
      </c>
      <c r="E36" s="2">
        <v>10</v>
      </c>
      <c r="F36" s="2">
        <v>0</v>
      </c>
      <c r="G36" s="2">
        <v>0</v>
      </c>
      <c r="H36" s="2">
        <v>0</v>
      </c>
    </row>
    <row r="37" spans="1:8" x14ac:dyDescent="0.3">
      <c r="A37" t="s">
        <v>187</v>
      </c>
      <c r="B37" s="2">
        <v>0</v>
      </c>
      <c r="C37" s="2">
        <v>0</v>
      </c>
      <c r="D37" s="2">
        <v>0</v>
      </c>
      <c r="E37" s="2">
        <v>0</v>
      </c>
      <c r="F37" s="2">
        <v>0</v>
      </c>
      <c r="G37" s="2">
        <v>0</v>
      </c>
      <c r="H37" s="2">
        <v>0</v>
      </c>
    </row>
    <row r="38" spans="1:8" x14ac:dyDescent="0.3">
      <c r="A38" t="s">
        <v>188</v>
      </c>
      <c r="B38" s="2">
        <v>0</v>
      </c>
      <c r="C38" s="2">
        <v>0</v>
      </c>
      <c r="D38" s="2">
        <v>0</v>
      </c>
      <c r="E38" s="2">
        <v>0</v>
      </c>
      <c r="F38" s="2">
        <v>0</v>
      </c>
      <c r="G38" s="2">
        <v>0</v>
      </c>
      <c r="H38" s="2">
        <v>0</v>
      </c>
    </row>
    <row r="39" spans="1:8" x14ac:dyDescent="0.3">
      <c r="A39" t="s">
        <v>189</v>
      </c>
      <c r="B39" s="2">
        <v>0</v>
      </c>
      <c r="C39" s="2">
        <v>0</v>
      </c>
      <c r="D39" s="2">
        <v>0</v>
      </c>
      <c r="E39" s="2">
        <v>0</v>
      </c>
      <c r="F39" s="2">
        <v>0</v>
      </c>
      <c r="G39" s="2">
        <v>0</v>
      </c>
      <c r="H39" s="2">
        <v>0</v>
      </c>
    </row>
    <row r="40" spans="1:8" x14ac:dyDescent="0.3">
      <c r="A40" t="s">
        <v>190</v>
      </c>
      <c r="B40" s="2">
        <v>0</v>
      </c>
      <c r="C40" s="2">
        <v>0</v>
      </c>
      <c r="D40" s="2">
        <v>0</v>
      </c>
      <c r="E40" s="2">
        <v>0</v>
      </c>
      <c r="F40" s="2">
        <v>0</v>
      </c>
      <c r="G40" s="2">
        <v>0</v>
      </c>
      <c r="H40" s="2">
        <v>0</v>
      </c>
    </row>
    <row r="41" spans="1:8" x14ac:dyDescent="0.3">
      <c r="A41" t="s">
        <v>191</v>
      </c>
      <c r="B41" s="2">
        <v>0</v>
      </c>
      <c r="C41" s="2">
        <v>0</v>
      </c>
      <c r="D41" s="2">
        <v>0</v>
      </c>
      <c r="E41" s="2">
        <v>0</v>
      </c>
      <c r="F41" s="2">
        <v>0</v>
      </c>
      <c r="G41" s="2">
        <v>0</v>
      </c>
      <c r="H41" s="2">
        <v>0</v>
      </c>
    </row>
    <row r="42" spans="1:8" x14ac:dyDescent="0.3">
      <c r="A42" t="s">
        <v>192</v>
      </c>
      <c r="B42" s="2">
        <v>0</v>
      </c>
      <c r="C42" s="2">
        <v>0</v>
      </c>
      <c r="D42" s="2">
        <v>0</v>
      </c>
      <c r="E42" s="2">
        <v>0</v>
      </c>
      <c r="F42" s="2">
        <v>0</v>
      </c>
      <c r="G42" s="2">
        <v>0</v>
      </c>
      <c r="H42" s="2">
        <v>0</v>
      </c>
    </row>
    <row r="43" spans="1:8" x14ac:dyDescent="0.3">
      <c r="A43" t="s">
        <v>193</v>
      </c>
      <c r="B43" s="2">
        <v>0</v>
      </c>
      <c r="C43" s="2">
        <v>0</v>
      </c>
      <c r="D43" s="2">
        <v>0</v>
      </c>
      <c r="E43" s="2">
        <v>0</v>
      </c>
      <c r="F43" s="2">
        <v>0</v>
      </c>
      <c r="G43" s="2">
        <v>0</v>
      </c>
      <c r="H43" s="2">
        <v>0</v>
      </c>
    </row>
    <row r="44" spans="1:8" x14ac:dyDescent="0.3">
      <c r="A44" t="s">
        <v>194</v>
      </c>
      <c r="B44" s="2">
        <v>0</v>
      </c>
      <c r="C44" s="2">
        <v>0</v>
      </c>
      <c r="D44" s="2">
        <v>0</v>
      </c>
      <c r="E44" s="2">
        <v>0</v>
      </c>
      <c r="F44" s="2">
        <v>0</v>
      </c>
      <c r="G44" s="2">
        <v>0</v>
      </c>
      <c r="H44" s="2">
        <v>0</v>
      </c>
    </row>
    <row r="45" spans="1:8" x14ac:dyDescent="0.3">
      <c r="A45" t="s">
        <v>195</v>
      </c>
      <c r="B45" s="2">
        <v>0</v>
      </c>
      <c r="C45" s="2">
        <v>0</v>
      </c>
      <c r="D45" s="2">
        <v>0</v>
      </c>
      <c r="E45" s="2">
        <v>0</v>
      </c>
      <c r="F45" s="2">
        <v>0</v>
      </c>
      <c r="G45" s="2">
        <v>0</v>
      </c>
      <c r="H45" s="2">
        <v>0</v>
      </c>
    </row>
    <row r="46" spans="1:8" x14ac:dyDescent="0.3">
      <c r="A46" t="s">
        <v>196</v>
      </c>
      <c r="B46" s="2">
        <v>0</v>
      </c>
      <c r="C46" s="2">
        <v>0</v>
      </c>
      <c r="D46" s="2">
        <v>0</v>
      </c>
      <c r="E46" s="2">
        <v>0</v>
      </c>
      <c r="F46" s="2">
        <v>0</v>
      </c>
      <c r="G46" s="2">
        <v>0</v>
      </c>
      <c r="H46" s="2">
        <v>0</v>
      </c>
    </row>
    <row r="47" spans="1:8" x14ac:dyDescent="0.3">
      <c r="A47" t="s">
        <v>197</v>
      </c>
      <c r="B47" s="2">
        <v>0</v>
      </c>
      <c r="C47" s="2">
        <v>0</v>
      </c>
      <c r="D47" s="2">
        <v>0</v>
      </c>
      <c r="E47" s="2">
        <v>0</v>
      </c>
      <c r="F47" s="2">
        <v>0</v>
      </c>
      <c r="G47" s="2">
        <v>0</v>
      </c>
      <c r="H47" s="2">
        <v>0</v>
      </c>
    </row>
    <row r="48" spans="1:8" x14ac:dyDescent="0.3">
      <c r="A48" t="s">
        <v>198</v>
      </c>
      <c r="B48" s="2">
        <v>0</v>
      </c>
      <c r="C48" s="2">
        <v>0</v>
      </c>
      <c r="D48" s="2">
        <v>0</v>
      </c>
      <c r="E48" s="2">
        <v>0</v>
      </c>
      <c r="F48" s="2">
        <v>0</v>
      </c>
      <c r="G48" s="2">
        <v>0</v>
      </c>
      <c r="H48" s="2">
        <v>0</v>
      </c>
    </row>
    <row r="49" spans="1:8" x14ac:dyDescent="0.3">
      <c r="A49" t="s">
        <v>199</v>
      </c>
      <c r="B49" s="2">
        <v>0</v>
      </c>
      <c r="C49" s="2">
        <v>0</v>
      </c>
      <c r="D49" s="2">
        <v>0</v>
      </c>
      <c r="E49" s="2">
        <v>0</v>
      </c>
      <c r="F49" s="2">
        <v>0</v>
      </c>
      <c r="G49" s="2">
        <v>0</v>
      </c>
      <c r="H49" s="2">
        <v>0</v>
      </c>
    </row>
    <row r="50" spans="1:8" x14ac:dyDescent="0.3">
      <c r="A50" t="s">
        <v>200</v>
      </c>
      <c r="B50" s="2">
        <v>0</v>
      </c>
      <c r="C50" s="2">
        <v>0</v>
      </c>
      <c r="D50" s="2">
        <v>0</v>
      </c>
      <c r="E50" s="2">
        <v>0</v>
      </c>
      <c r="F50" s="2">
        <v>0</v>
      </c>
      <c r="G50" s="2">
        <v>0</v>
      </c>
      <c r="H50" s="2">
        <v>0</v>
      </c>
    </row>
    <row r="51" spans="1:8" x14ac:dyDescent="0.3">
      <c r="A51" t="s">
        <v>201</v>
      </c>
      <c r="B51" s="2">
        <v>0</v>
      </c>
      <c r="C51" s="2">
        <v>0</v>
      </c>
      <c r="D51" s="2">
        <v>0</v>
      </c>
      <c r="E51" s="2">
        <v>0</v>
      </c>
      <c r="F51" s="2">
        <v>0</v>
      </c>
      <c r="G51" s="2">
        <v>1</v>
      </c>
      <c r="H51" s="2">
        <v>1</v>
      </c>
    </row>
    <row r="52" spans="1:8" x14ac:dyDescent="0.3">
      <c r="A52" t="s">
        <v>202</v>
      </c>
      <c r="B52" s="2">
        <v>0</v>
      </c>
      <c r="C52" s="2">
        <v>0</v>
      </c>
      <c r="D52" s="2">
        <v>0</v>
      </c>
      <c r="E52" s="2">
        <v>0</v>
      </c>
      <c r="F52" s="2">
        <f>pow_Pebble</f>
        <v>0.29399999999999998</v>
      </c>
      <c r="G52" s="2">
        <v>0</v>
      </c>
      <c r="H52" s="2">
        <v>0</v>
      </c>
    </row>
    <row r="53" spans="1:8" x14ac:dyDescent="0.3">
      <c r="A53" t="s">
        <v>203</v>
      </c>
      <c r="B53" s="7">
        <v>0</v>
      </c>
      <c r="C53" s="7">
        <v>0</v>
      </c>
      <c r="D53" s="7">
        <v>0</v>
      </c>
      <c r="E53" s="7">
        <v>0</v>
      </c>
      <c r="F53" s="7">
        <v>2</v>
      </c>
      <c r="G53" s="7">
        <v>0</v>
      </c>
      <c r="H53" s="7">
        <v>0</v>
      </c>
    </row>
    <row r="54" spans="1:8" x14ac:dyDescent="0.3">
      <c r="A54" s="1" t="s">
        <v>204</v>
      </c>
      <c r="B54" s="2">
        <f t="shared" ref="B54:H54" si="1">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9.4</v>
      </c>
      <c r="C54" s="2">
        <f t="shared" si="1"/>
        <v>9.4</v>
      </c>
      <c r="D54" s="2">
        <f t="shared" si="1"/>
        <v>9</v>
      </c>
      <c r="E54" s="2">
        <f t="shared" si="1"/>
        <v>9</v>
      </c>
      <c r="F54" s="2">
        <f t="shared" si="1"/>
        <v>1.794</v>
      </c>
      <c r="G54" s="2">
        <f t="shared" si="1"/>
        <v>1</v>
      </c>
      <c r="H54" s="2">
        <f t="shared" si="1"/>
        <v>1</v>
      </c>
    </row>
    <row r="55" spans="1:8" x14ac:dyDescent="0.3">
      <c r="A55" t="s">
        <v>205</v>
      </c>
      <c r="B55" s="2">
        <f t="shared" ref="B55:H55" si="2">B$54-B$32*pw_Damage-B$33-B$52*pw_Summon</f>
        <v>2.4000000000000004</v>
      </c>
      <c r="C55" s="2">
        <f t="shared" si="2"/>
        <v>2.4000000000000004</v>
      </c>
      <c r="D55" s="2">
        <f t="shared" si="2"/>
        <v>5</v>
      </c>
      <c r="E55" s="2">
        <f t="shared" si="2"/>
        <v>5</v>
      </c>
      <c r="F55" s="2">
        <f t="shared" si="2"/>
        <v>0</v>
      </c>
      <c r="G55" s="2">
        <f t="shared" si="2"/>
        <v>1</v>
      </c>
      <c r="H55" s="2">
        <f t="shared" si="2"/>
        <v>1</v>
      </c>
    </row>
    <row r="57" spans="1:8" x14ac:dyDescent="0.3">
      <c r="A57" s="1" t="s">
        <v>206</v>
      </c>
      <c r="B57" s="3"/>
    </row>
  </sheetData>
  <dataValidations count="5">
    <dataValidation type="list" allowBlank="1" sqref="B10" xr:uid="{00000000-0002-0000-1700-000000000000}">
      <formula1>list_Brain</formula1>
    </dataValidation>
    <dataValidation type="list" allowBlank="1" sqref="B11" xr:uid="{00000000-0002-0000-1700-000001000000}">
      <formula1>list_Targeting</formula1>
    </dataValidation>
    <dataValidation type="list" allowBlank="1" sqref="B12" xr:uid="{00000000-0002-0000-1700-000002000000}">
      <formula1>list_Loot</formula1>
    </dataValidation>
    <dataValidation type="list" allowBlank="1" sqref="B13" xr:uid="{00000000-0002-0000-1700-000003000000}">
      <formula1>list_Role</formula1>
    </dataValidation>
    <dataValidation type="list" allowBlank="1" sqref="B24:H24" xr:uid="{00000000-0002-0000-1700-000004000000}">
      <formula1>list_EnemyCard</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163</v>
      </c>
    </row>
    <row r="2" spans="1:2" x14ac:dyDescent="0.3">
      <c r="A2" s="1" t="s">
        <v>157</v>
      </c>
      <c r="B2" t="s">
        <v>87</v>
      </c>
    </row>
    <row r="3" spans="1:2" x14ac:dyDescent="0.3">
      <c r="A3" s="1" t="s">
        <v>158</v>
      </c>
      <c r="B3" t="s">
        <v>282</v>
      </c>
    </row>
    <row r="4" spans="1:2" x14ac:dyDescent="0.3">
      <c r="A4" s="1" t="s">
        <v>160</v>
      </c>
      <c r="B4" t="str">
        <f>IF($B$3="","NEW","Live")</f>
        <v>Live</v>
      </c>
    </row>
    <row r="6" spans="1:2" x14ac:dyDescent="0.3">
      <c r="A6" s="1" t="s">
        <v>161</v>
      </c>
    </row>
    <row r="7" spans="1:2" x14ac:dyDescent="0.3">
      <c r="A7" s="5" t="s">
        <v>162</v>
      </c>
      <c r="B7" t="s">
        <v>163</v>
      </c>
    </row>
    <row r="8" spans="1:2" x14ac:dyDescent="0.3">
      <c r="A8" s="5" t="s">
        <v>164</v>
      </c>
      <c r="B8">
        <v>16</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0.79400000000000004</v>
      </c>
    </row>
    <row r="17" spans="1:6" x14ac:dyDescent="0.3">
      <c r="A17" t="s">
        <v>169</v>
      </c>
      <c r="B17" s="2">
        <f>IF($B$15="","",ROUND($B$16-$B$15,3))</f>
        <v>-1.206</v>
      </c>
    </row>
    <row r="18" spans="1:6" x14ac:dyDescent="0.3">
      <c r="B18" s="2"/>
    </row>
    <row r="19" spans="1:6" x14ac:dyDescent="0.3">
      <c r="A19" t="s">
        <v>170</v>
      </c>
      <c r="B19" s="2">
        <f>IFERROR(AVERAGEIF(B$26:F$26,"Yes",B$54:F$54),0)</f>
        <v>5.5</v>
      </c>
    </row>
    <row r="20" spans="1:6" x14ac:dyDescent="0.3">
      <c r="A20" t="s">
        <v>171</v>
      </c>
      <c r="B20" s="2">
        <f>IFERROR(AVERAGEIF(B$26:F$26,"Yes",B$32:F$32),0)</f>
        <v>3</v>
      </c>
    </row>
    <row r="21" spans="1:6" x14ac:dyDescent="0.3">
      <c r="A21" t="s">
        <v>172</v>
      </c>
      <c r="B21" s="2">
        <f>IFERROR(AVERAGEIF(B$26:F$26,"Yes",B$55:F$55),0)</f>
        <v>2.5</v>
      </c>
    </row>
    <row r="22" spans="1:6" x14ac:dyDescent="0.3">
      <c r="A22" t="s">
        <v>173</v>
      </c>
      <c r="B22" s="2">
        <f>IFERROR(AVERAGEIF(B$26:F$26,"Yes",B$52:F$52),0)</f>
        <v>0</v>
      </c>
    </row>
    <row r="24" spans="1:6" x14ac:dyDescent="0.3">
      <c r="A24" s="1" t="s">
        <v>174</v>
      </c>
      <c r="B24" t="s">
        <v>98</v>
      </c>
      <c r="C24" t="s">
        <v>98</v>
      </c>
      <c r="D24" t="s">
        <v>98</v>
      </c>
      <c r="E24" t="s">
        <v>132</v>
      </c>
      <c r="F24" t="s">
        <v>132</v>
      </c>
    </row>
    <row r="25" spans="1:6" x14ac:dyDescent="0.3">
      <c r="A25" t="s">
        <v>175</v>
      </c>
      <c r="B25" t="s">
        <v>283</v>
      </c>
      <c r="C25" t="s">
        <v>283</v>
      </c>
      <c r="D25" t="s">
        <v>283</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5</v>
      </c>
      <c r="C36" s="2">
        <v>5</v>
      </c>
      <c r="D36" s="2">
        <v>5</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2.5</v>
      </c>
      <c r="C55" s="2">
        <f>C$54-C$32*pw_Damage-C$33-C$52*pw_Summon</f>
        <v>2.5</v>
      </c>
      <c r="D55" s="2">
        <f>D$54-D$32*pw_Damage-D$33-D$52*pw_Summon</f>
        <v>2.5</v>
      </c>
      <c r="E55" s="2">
        <f>E$54-E$32*pw_Damage-E$33-E$52*pw_Summon</f>
        <v>1</v>
      </c>
      <c r="F55" s="2">
        <f>F$54-F$32*pw_Damage-F$33-F$52*pw_Summon</f>
        <v>1</v>
      </c>
    </row>
    <row r="57" spans="1:6" x14ac:dyDescent="0.3">
      <c r="A57" s="1" t="s">
        <v>206</v>
      </c>
      <c r="B57" s="3"/>
    </row>
  </sheetData>
  <dataValidations count="5">
    <dataValidation type="list" allowBlank="1" sqref="B10" xr:uid="{00000000-0002-0000-1800-000000000000}">
      <formula1>list_Brain</formula1>
    </dataValidation>
    <dataValidation type="list" allowBlank="1" sqref="B11" xr:uid="{00000000-0002-0000-1800-000001000000}">
      <formula1>list_Targeting</formula1>
    </dataValidation>
    <dataValidation type="list" allowBlank="1" sqref="B12" xr:uid="{00000000-0002-0000-1800-000002000000}">
      <formula1>list_Loot</formula1>
    </dataValidation>
    <dataValidation type="list" allowBlank="1" sqref="B13" xr:uid="{00000000-0002-0000-1800-000003000000}">
      <formula1>list_Role</formula1>
    </dataValidation>
    <dataValidation type="list" allowBlank="1" sqref="B24:F24" xr:uid="{00000000-0002-0000-1800-000004000000}">
      <formula1>list_EnemyCard</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57"/>
  <sheetViews>
    <sheetView workbookViewId="0">
      <pane xSplit="1" topLeftCell="B1" activePane="topRight" state="frozen"/>
      <selection pane="topRight"/>
    </sheetView>
  </sheetViews>
  <sheetFormatPr defaultRowHeight="14.4" x14ac:dyDescent="0.3"/>
  <cols>
    <col min="1" max="1" width="24" customWidth="1"/>
    <col min="2" max="5" width="16" customWidth="1"/>
  </cols>
  <sheetData>
    <row r="1" spans="1:2" x14ac:dyDescent="0.3">
      <c r="A1" s="1" t="s">
        <v>155</v>
      </c>
      <c r="B1" t="s">
        <v>156</v>
      </c>
    </row>
    <row r="2" spans="1:2" x14ac:dyDescent="0.3">
      <c r="A2" s="1" t="s">
        <v>157</v>
      </c>
      <c r="B2" t="s">
        <v>87</v>
      </c>
    </row>
    <row r="3" spans="1:2" x14ac:dyDescent="0.3">
      <c r="A3" s="1" t="s">
        <v>158</v>
      </c>
      <c r="B3" t="s">
        <v>159</v>
      </c>
    </row>
    <row r="4" spans="1:2" x14ac:dyDescent="0.3">
      <c r="A4" s="1" t="s">
        <v>160</v>
      </c>
      <c r="B4" t="str">
        <f>IF($B$3="","NEW","Live")</f>
        <v>Live</v>
      </c>
    </row>
    <row r="6" spans="1:2" x14ac:dyDescent="0.3">
      <c r="A6" s="1" t="s">
        <v>161</v>
      </c>
    </row>
    <row r="7" spans="1:2" x14ac:dyDescent="0.3">
      <c r="A7" s="5" t="s">
        <v>162</v>
      </c>
      <c r="B7" t="s">
        <v>163</v>
      </c>
    </row>
    <row r="8" spans="1:2" x14ac:dyDescent="0.3">
      <c r="A8" s="5" t="s">
        <v>164</v>
      </c>
      <c r="B8">
        <v>15</v>
      </c>
    </row>
    <row r="9" spans="1:2" x14ac:dyDescent="0.3">
      <c r="A9" s="5" t="s">
        <v>165</v>
      </c>
      <c r="B9">
        <v>1</v>
      </c>
    </row>
    <row r="10" spans="1:2" x14ac:dyDescent="0.3">
      <c r="A10" s="5" t="s">
        <v>72</v>
      </c>
      <c r="B10" t="s">
        <v>83</v>
      </c>
    </row>
    <row r="11" spans="1:2" x14ac:dyDescent="0.3">
      <c r="A11" s="5" t="s">
        <v>73</v>
      </c>
      <c r="B11" t="s">
        <v>80</v>
      </c>
    </row>
    <row r="12" spans="1:2" x14ac:dyDescent="0.3">
      <c r="A12" s="5" t="s">
        <v>166</v>
      </c>
      <c r="B12" t="s">
        <v>80</v>
      </c>
    </row>
    <row r="13" spans="1:2" x14ac:dyDescent="0.3">
      <c r="A13" s="5" t="s">
        <v>75</v>
      </c>
      <c r="B13" t="s">
        <v>79</v>
      </c>
    </row>
    <row r="15" spans="1:2" x14ac:dyDescent="0.3">
      <c r="A15" s="1" t="s">
        <v>167</v>
      </c>
      <c r="B15">
        <v>2</v>
      </c>
    </row>
    <row r="16" spans="1:2" x14ac:dyDescent="0.3">
      <c r="A16" s="1" t="s">
        <v>168</v>
      </c>
      <c r="B16" s="2">
        <f>IF($B$8="","",ROUND(($B$19*$B$9*pw_ActionScale+$B$8*pw_Health)/pw_Divisor,3))</f>
        <v>0.73499999999999999</v>
      </c>
    </row>
    <row r="17" spans="1:5" x14ac:dyDescent="0.3">
      <c r="A17" t="s">
        <v>169</v>
      </c>
      <c r="B17" s="2">
        <f>IF($B$15="","",ROUND($B$16-$B$15,3))</f>
        <v>-1.2649999999999999</v>
      </c>
    </row>
    <row r="18" spans="1:5" x14ac:dyDescent="0.3">
      <c r="B18" s="2"/>
    </row>
    <row r="19" spans="1:5" x14ac:dyDescent="0.3">
      <c r="A19" t="s">
        <v>170</v>
      </c>
      <c r="B19" s="2">
        <f>IFERROR(AVERAGEIF(B$26:E$26,"Yes",B$54:E$54),0)</f>
        <v>5</v>
      </c>
    </row>
    <row r="20" spans="1:5" x14ac:dyDescent="0.3">
      <c r="A20" t="s">
        <v>171</v>
      </c>
      <c r="B20" s="2">
        <f>IFERROR(AVERAGEIF(B$26:E$26,"Yes",B$32:E$32),0)</f>
        <v>5</v>
      </c>
    </row>
    <row r="21" spans="1:5" x14ac:dyDescent="0.3">
      <c r="A21" t="s">
        <v>172</v>
      </c>
      <c r="B21" s="2">
        <f>IFERROR(AVERAGEIF(B$26:E$26,"Yes",B$55:E$55),0)</f>
        <v>0</v>
      </c>
    </row>
    <row r="22" spans="1:5" x14ac:dyDescent="0.3">
      <c r="A22" t="s">
        <v>173</v>
      </c>
      <c r="B22" s="2">
        <f>IFERROR(AVERAGEIF(B$26:E$26,"Yes",B$52:E$52),0)</f>
        <v>0</v>
      </c>
    </row>
    <row r="24" spans="1:5" x14ac:dyDescent="0.3">
      <c r="A24" s="1" t="s">
        <v>174</v>
      </c>
      <c r="B24" t="s">
        <v>125</v>
      </c>
      <c r="C24" t="s">
        <v>125</v>
      </c>
      <c r="D24" t="s">
        <v>132</v>
      </c>
      <c r="E24" t="s">
        <v>132</v>
      </c>
    </row>
    <row r="25" spans="1:5" x14ac:dyDescent="0.3">
      <c r="A25" t="s">
        <v>175</v>
      </c>
      <c r="B25" t="s">
        <v>176</v>
      </c>
      <c r="C25" t="s">
        <v>176</v>
      </c>
      <c r="D25" t="s">
        <v>177</v>
      </c>
      <c r="E25" t="s">
        <v>177</v>
      </c>
    </row>
    <row r="26" spans="1:5" x14ac:dyDescent="0.3">
      <c r="A26" t="s">
        <v>178</v>
      </c>
      <c r="B26" t="s">
        <v>81</v>
      </c>
      <c r="C26" t="s">
        <v>81</v>
      </c>
      <c r="D26" t="s">
        <v>87</v>
      </c>
      <c r="E26" t="s">
        <v>87</v>
      </c>
    </row>
    <row r="28" spans="1:5" x14ac:dyDescent="0.3">
      <c r="A28" s="1" t="s">
        <v>179</v>
      </c>
    </row>
    <row r="29" spans="1:5" x14ac:dyDescent="0.3">
      <c r="A29" t="s">
        <v>180</v>
      </c>
      <c r="B29" s="7">
        <v>1</v>
      </c>
      <c r="C29" s="7">
        <v>1</v>
      </c>
      <c r="D29" s="7">
        <v>1</v>
      </c>
      <c r="E29" s="7">
        <v>1</v>
      </c>
    </row>
    <row r="30" spans="1:5" x14ac:dyDescent="0.3">
      <c r="A30" t="s">
        <v>181</v>
      </c>
      <c r="B30" s="7">
        <v>1</v>
      </c>
      <c r="C30" s="7">
        <v>1</v>
      </c>
      <c r="D30" s="7">
        <v>1</v>
      </c>
      <c r="E30" s="7">
        <v>1</v>
      </c>
    </row>
    <row r="31" spans="1:5" x14ac:dyDescent="0.3">
      <c r="A31" t="s">
        <v>182</v>
      </c>
      <c r="B31" s="7">
        <v>1</v>
      </c>
      <c r="C31" s="7">
        <v>1</v>
      </c>
      <c r="D31" s="7">
        <v>1</v>
      </c>
      <c r="E31" s="7">
        <v>1</v>
      </c>
    </row>
    <row r="32" spans="1:5" x14ac:dyDescent="0.3">
      <c r="A32" t="s">
        <v>183</v>
      </c>
      <c r="B32" s="2">
        <v>5</v>
      </c>
      <c r="C32" s="2">
        <v>5</v>
      </c>
      <c r="D32" s="2">
        <v>0</v>
      </c>
      <c r="E32" s="2">
        <v>0</v>
      </c>
    </row>
    <row r="33" spans="1:5" x14ac:dyDescent="0.3">
      <c r="A33" t="s">
        <v>69</v>
      </c>
      <c r="B33" s="2">
        <f>IFERROR(VLOOKUP(B$30,range_Power,2,TRUE),0)</f>
        <v>0</v>
      </c>
      <c r="C33" s="2">
        <f>IFERROR(VLOOKUP(C$30,range_Power,2,TRUE),0)</f>
        <v>0</v>
      </c>
      <c r="D33" s="2">
        <f>IFERROR(VLOOKUP(D$30,range_Power,2,TRUE),0)</f>
        <v>0</v>
      </c>
      <c r="E33" s="2">
        <f>IFERROR(VLOOKUP(E$30,range_Power,2,TRUE),0)</f>
        <v>0</v>
      </c>
    </row>
    <row r="34" spans="1:5" x14ac:dyDescent="0.3">
      <c r="A34" t="s">
        <v>184</v>
      </c>
      <c r="B34" s="2">
        <v>0</v>
      </c>
      <c r="C34" s="2">
        <v>0</v>
      </c>
      <c r="D34" s="2">
        <v>0</v>
      </c>
      <c r="E34" s="2">
        <v>0</v>
      </c>
    </row>
    <row r="35" spans="1:5" x14ac:dyDescent="0.3">
      <c r="A35" t="s">
        <v>185</v>
      </c>
      <c r="B35" s="2">
        <v>0</v>
      </c>
      <c r="C35" s="2">
        <v>0</v>
      </c>
      <c r="D35" s="2">
        <v>0</v>
      </c>
      <c r="E35" s="2">
        <v>0</v>
      </c>
    </row>
    <row r="36" spans="1:5" x14ac:dyDescent="0.3">
      <c r="A36" t="s">
        <v>186</v>
      </c>
      <c r="B36" s="2">
        <v>0</v>
      </c>
      <c r="C36" s="2">
        <v>0</v>
      </c>
      <c r="D36" s="2">
        <v>0</v>
      </c>
      <c r="E36" s="2">
        <v>0</v>
      </c>
    </row>
    <row r="37" spans="1:5" x14ac:dyDescent="0.3">
      <c r="A37" t="s">
        <v>187</v>
      </c>
      <c r="B37" s="2">
        <v>0</v>
      </c>
      <c r="C37" s="2">
        <v>0</v>
      </c>
      <c r="D37" s="2">
        <v>0</v>
      </c>
      <c r="E37" s="2">
        <v>0</v>
      </c>
    </row>
    <row r="38" spans="1:5" x14ac:dyDescent="0.3">
      <c r="A38" t="s">
        <v>188</v>
      </c>
      <c r="B38" s="2">
        <v>0</v>
      </c>
      <c r="C38" s="2">
        <v>0</v>
      </c>
      <c r="D38" s="2">
        <v>0</v>
      </c>
      <c r="E38" s="2">
        <v>0</v>
      </c>
    </row>
    <row r="39" spans="1:5" x14ac:dyDescent="0.3">
      <c r="A39" t="s">
        <v>189</v>
      </c>
      <c r="B39" s="2">
        <v>0</v>
      </c>
      <c r="C39" s="2">
        <v>0</v>
      </c>
      <c r="D39" s="2">
        <v>0</v>
      </c>
      <c r="E39" s="2">
        <v>0</v>
      </c>
    </row>
    <row r="40" spans="1:5" x14ac:dyDescent="0.3">
      <c r="A40" t="s">
        <v>190</v>
      </c>
      <c r="B40" s="2">
        <v>0</v>
      </c>
      <c r="C40" s="2">
        <v>0</v>
      </c>
      <c r="D40" s="2">
        <v>0</v>
      </c>
      <c r="E40" s="2">
        <v>0</v>
      </c>
    </row>
    <row r="41" spans="1:5" x14ac:dyDescent="0.3">
      <c r="A41" t="s">
        <v>191</v>
      </c>
      <c r="B41" s="2">
        <v>0</v>
      </c>
      <c r="C41" s="2">
        <v>0</v>
      </c>
      <c r="D41" s="2">
        <v>0</v>
      </c>
      <c r="E41" s="2">
        <v>0</v>
      </c>
    </row>
    <row r="42" spans="1:5" x14ac:dyDescent="0.3">
      <c r="A42" t="s">
        <v>192</v>
      </c>
      <c r="B42" s="2">
        <v>0</v>
      </c>
      <c r="C42" s="2">
        <v>0</v>
      </c>
      <c r="D42" s="2">
        <v>0</v>
      </c>
      <c r="E42" s="2">
        <v>0</v>
      </c>
    </row>
    <row r="43" spans="1:5" x14ac:dyDescent="0.3">
      <c r="A43" t="s">
        <v>193</v>
      </c>
      <c r="B43" s="2">
        <v>0</v>
      </c>
      <c r="C43" s="2">
        <v>0</v>
      </c>
      <c r="D43" s="2">
        <v>0</v>
      </c>
      <c r="E43" s="2">
        <v>0</v>
      </c>
    </row>
    <row r="44" spans="1:5" x14ac:dyDescent="0.3">
      <c r="A44" t="s">
        <v>194</v>
      </c>
      <c r="B44" s="2">
        <v>0</v>
      </c>
      <c r="C44" s="2">
        <v>0</v>
      </c>
      <c r="D44" s="2">
        <v>0</v>
      </c>
      <c r="E44" s="2">
        <v>0</v>
      </c>
    </row>
    <row r="45" spans="1:5" x14ac:dyDescent="0.3">
      <c r="A45" t="s">
        <v>195</v>
      </c>
      <c r="B45" s="2">
        <v>0</v>
      </c>
      <c r="C45" s="2">
        <v>0</v>
      </c>
      <c r="D45" s="2">
        <v>0</v>
      </c>
      <c r="E45" s="2">
        <v>0</v>
      </c>
    </row>
    <row r="46" spans="1:5" x14ac:dyDescent="0.3">
      <c r="A46" t="s">
        <v>196</v>
      </c>
      <c r="B46" s="2">
        <v>0</v>
      </c>
      <c r="C46" s="2">
        <v>0</v>
      </c>
      <c r="D46" s="2">
        <v>0</v>
      </c>
      <c r="E46" s="2">
        <v>0</v>
      </c>
    </row>
    <row r="47" spans="1:5" x14ac:dyDescent="0.3">
      <c r="A47" t="s">
        <v>197</v>
      </c>
      <c r="B47" s="2">
        <v>0</v>
      </c>
      <c r="C47" s="2">
        <v>0</v>
      </c>
      <c r="D47" s="2">
        <v>0</v>
      </c>
      <c r="E47" s="2">
        <v>0</v>
      </c>
    </row>
    <row r="48" spans="1:5" x14ac:dyDescent="0.3">
      <c r="A48" t="s">
        <v>198</v>
      </c>
      <c r="B48" s="2">
        <v>0</v>
      </c>
      <c r="C48" s="2">
        <v>0</v>
      </c>
      <c r="D48" s="2">
        <v>0</v>
      </c>
      <c r="E48" s="2">
        <v>0</v>
      </c>
    </row>
    <row r="49" spans="1:5" x14ac:dyDescent="0.3">
      <c r="A49" t="s">
        <v>199</v>
      </c>
      <c r="B49" s="2">
        <v>0</v>
      </c>
      <c r="C49" s="2">
        <v>0</v>
      </c>
      <c r="D49" s="2">
        <v>0</v>
      </c>
      <c r="E49" s="2">
        <v>0</v>
      </c>
    </row>
    <row r="50" spans="1:5" x14ac:dyDescent="0.3">
      <c r="A50" t="s">
        <v>200</v>
      </c>
      <c r="B50" s="2">
        <v>0</v>
      </c>
      <c r="C50" s="2">
        <v>0</v>
      </c>
      <c r="D50" s="2">
        <v>0</v>
      </c>
      <c r="E50" s="2">
        <v>0</v>
      </c>
    </row>
    <row r="51" spans="1:5" x14ac:dyDescent="0.3">
      <c r="A51" t="s">
        <v>201</v>
      </c>
      <c r="B51" s="2">
        <v>0</v>
      </c>
      <c r="C51" s="2">
        <v>0</v>
      </c>
      <c r="D51" s="2">
        <v>1</v>
      </c>
      <c r="E51" s="2">
        <v>1</v>
      </c>
    </row>
    <row r="52" spans="1:5" x14ac:dyDescent="0.3">
      <c r="A52" t="s">
        <v>202</v>
      </c>
      <c r="B52" s="2">
        <v>0</v>
      </c>
      <c r="C52" s="2">
        <v>0</v>
      </c>
      <c r="D52" s="2">
        <v>0</v>
      </c>
      <c r="E52" s="2">
        <v>0</v>
      </c>
    </row>
    <row r="53" spans="1:5" x14ac:dyDescent="0.3">
      <c r="A53" t="s">
        <v>203</v>
      </c>
      <c r="B53" s="7">
        <v>0</v>
      </c>
      <c r="C53" s="7">
        <v>0</v>
      </c>
      <c r="D53" s="7">
        <v>0</v>
      </c>
      <c r="E53" s="7">
        <v>0</v>
      </c>
    </row>
    <row r="54" spans="1:5"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1</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row>
    <row r="55" spans="1:5" x14ac:dyDescent="0.3">
      <c r="A55" t="s">
        <v>205</v>
      </c>
      <c r="B55" s="2">
        <f>B$54-B$32*pw_Damage-B$33-B$52*pw_Summon</f>
        <v>0</v>
      </c>
      <c r="C55" s="2">
        <f>C$54-C$32*pw_Damage-C$33-C$52*pw_Summon</f>
        <v>0</v>
      </c>
      <c r="D55" s="2">
        <f>D$54-D$32*pw_Damage-D$33-D$52*pw_Summon</f>
        <v>1</v>
      </c>
      <c r="E55" s="2">
        <f>E$54-E$32*pw_Damage-E$33-E$52*pw_Summon</f>
        <v>1</v>
      </c>
    </row>
    <row r="57" spans="1:5" x14ac:dyDescent="0.3">
      <c r="A57" s="1" t="s">
        <v>206</v>
      </c>
      <c r="B57" s="3"/>
    </row>
  </sheetData>
  <dataValidations count="5">
    <dataValidation type="list" allowBlank="1" sqref="B10" xr:uid="{00000000-0002-0000-1900-000000000000}">
      <formula1>list_Brain</formula1>
    </dataValidation>
    <dataValidation type="list" allowBlank="1" sqref="B11" xr:uid="{00000000-0002-0000-1900-000001000000}">
      <formula1>list_Targeting</formula1>
    </dataValidation>
    <dataValidation type="list" allowBlank="1" sqref="B12" xr:uid="{00000000-0002-0000-1900-000002000000}">
      <formula1>list_Loot</formula1>
    </dataValidation>
    <dataValidation type="list" allowBlank="1" sqref="B13" xr:uid="{00000000-0002-0000-1900-000003000000}">
      <formula1>list_Role</formula1>
    </dataValidation>
    <dataValidation type="list" allowBlank="1" sqref="B24:E24" xr:uid="{00000000-0002-0000-1900-000004000000}">
      <formula1>list_EnemyCard</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284</v>
      </c>
    </row>
    <row r="2" spans="1:2" x14ac:dyDescent="0.3">
      <c r="A2" s="1" t="s">
        <v>157</v>
      </c>
      <c r="B2" t="s">
        <v>87</v>
      </c>
    </row>
    <row r="3" spans="1:2" x14ac:dyDescent="0.3">
      <c r="A3" s="1" t="s">
        <v>158</v>
      </c>
      <c r="B3" t="s">
        <v>285</v>
      </c>
    </row>
    <row r="4" spans="1:2" x14ac:dyDescent="0.3">
      <c r="A4" s="1" t="s">
        <v>160</v>
      </c>
      <c r="B4" t="str">
        <f>IF($B$3="","NEW","Live")</f>
        <v>Live</v>
      </c>
    </row>
    <row r="6" spans="1:2" x14ac:dyDescent="0.3">
      <c r="A6" s="1" t="s">
        <v>161</v>
      </c>
    </row>
    <row r="7" spans="1:2" x14ac:dyDescent="0.3">
      <c r="A7" s="5" t="s">
        <v>162</v>
      </c>
      <c r="B7" t="s">
        <v>286</v>
      </c>
    </row>
    <row r="8" spans="1:2" x14ac:dyDescent="0.3">
      <c r="A8" s="5" t="s">
        <v>164</v>
      </c>
      <c r="B8">
        <v>25</v>
      </c>
    </row>
    <row r="9" spans="1:2" x14ac:dyDescent="0.3">
      <c r="A9" s="5" t="s">
        <v>165</v>
      </c>
      <c r="B9">
        <v>1</v>
      </c>
    </row>
    <row r="10" spans="1:2" x14ac:dyDescent="0.3">
      <c r="A10" s="5" t="s">
        <v>72</v>
      </c>
      <c r="B10" t="s">
        <v>83</v>
      </c>
    </row>
    <row r="11" spans="1:2" x14ac:dyDescent="0.3">
      <c r="A11" s="5" t="s">
        <v>73</v>
      </c>
      <c r="B11" t="s">
        <v>105</v>
      </c>
    </row>
    <row r="12" spans="1:2" x14ac:dyDescent="0.3">
      <c r="A12" s="5" t="s">
        <v>166</v>
      </c>
      <c r="B12" t="s">
        <v>91</v>
      </c>
    </row>
    <row r="13" spans="1:2" x14ac:dyDescent="0.3">
      <c r="A13" s="5" t="s">
        <v>75</v>
      </c>
      <c r="B13" t="s">
        <v>86</v>
      </c>
    </row>
    <row r="15" spans="1:2" x14ac:dyDescent="0.3">
      <c r="A15" s="1" t="s">
        <v>167</v>
      </c>
      <c r="B15">
        <v>1</v>
      </c>
    </row>
    <row r="16" spans="1:2" x14ac:dyDescent="0.3">
      <c r="A16" s="1" t="s">
        <v>168</v>
      </c>
      <c r="B16" s="2">
        <f>IF($B$8="","",ROUND(($B$19*$B$9*pw_ActionScale+$B$8*pw_Health)/pw_Divisor,3))</f>
        <v>1.0289999999999999</v>
      </c>
    </row>
    <row r="17" spans="1:6" x14ac:dyDescent="0.3">
      <c r="A17" t="s">
        <v>169</v>
      </c>
      <c r="B17" s="2">
        <f>IF($B$15="","",ROUND($B$16-$B$15,3))</f>
        <v>2.9000000000000001E-2</v>
      </c>
    </row>
    <row r="18" spans="1:6" x14ac:dyDescent="0.3">
      <c r="B18" s="2"/>
    </row>
    <row r="19" spans="1:6" x14ac:dyDescent="0.3">
      <c r="A19" t="s">
        <v>170</v>
      </c>
      <c r="B19" s="2">
        <f>IFERROR(AVERAGEIF(B$26:F$26,"Yes",B$54:F$54),0)</f>
        <v>5</v>
      </c>
    </row>
    <row r="20" spans="1:6" x14ac:dyDescent="0.3">
      <c r="A20" t="s">
        <v>171</v>
      </c>
      <c r="B20" s="2">
        <f>IFERROR(AVERAGEIF(B$26:F$26,"Yes",B$32:F$32),0)</f>
        <v>5</v>
      </c>
    </row>
    <row r="21" spans="1:6" x14ac:dyDescent="0.3">
      <c r="A21" t="s">
        <v>172</v>
      </c>
      <c r="B21" s="2">
        <f>IFERROR(AVERAGEIF(B$26:F$26,"Yes",B$55:F$55),0)</f>
        <v>0</v>
      </c>
    </row>
    <row r="22" spans="1:6" x14ac:dyDescent="0.3">
      <c r="A22" t="s">
        <v>173</v>
      </c>
      <c r="B22" s="2">
        <f>IFERROR(AVERAGEIF(B$26:F$26,"Yes",B$52:F$52),0)</f>
        <v>0</v>
      </c>
    </row>
    <row r="24" spans="1:6" x14ac:dyDescent="0.3">
      <c r="A24" s="1" t="s">
        <v>174</v>
      </c>
      <c r="B24" t="s">
        <v>125</v>
      </c>
      <c r="C24" t="s">
        <v>132</v>
      </c>
      <c r="D24" t="s">
        <v>125</v>
      </c>
      <c r="E24" t="s">
        <v>125</v>
      </c>
      <c r="F24" t="s">
        <v>125</v>
      </c>
    </row>
    <row r="25" spans="1:6" x14ac:dyDescent="0.3">
      <c r="A25" t="s">
        <v>175</v>
      </c>
      <c r="B25" t="s">
        <v>176</v>
      </c>
      <c r="C25" t="s">
        <v>177</v>
      </c>
      <c r="D25" t="s">
        <v>176</v>
      </c>
      <c r="E25" t="s">
        <v>176</v>
      </c>
      <c r="F25" t="s">
        <v>176</v>
      </c>
    </row>
    <row r="26" spans="1:6" x14ac:dyDescent="0.3">
      <c r="A26" t="s">
        <v>178</v>
      </c>
      <c r="B26" t="s">
        <v>81</v>
      </c>
      <c r="C26" t="s">
        <v>87</v>
      </c>
      <c r="D26" t="s">
        <v>81</v>
      </c>
      <c r="E26" t="s">
        <v>81</v>
      </c>
      <c r="F26" t="s">
        <v>81</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5</v>
      </c>
      <c r="C32" s="2">
        <v>0</v>
      </c>
      <c r="D32" s="2">
        <v>5</v>
      </c>
      <c r="E32" s="2">
        <v>5</v>
      </c>
      <c r="F32" s="2">
        <v>5</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1</v>
      </c>
      <c r="D51" s="2">
        <v>0</v>
      </c>
      <c r="E51" s="2">
        <v>0</v>
      </c>
      <c r="F51" s="2">
        <v>0</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1</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5</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5</v>
      </c>
    </row>
    <row r="55" spans="1:6" x14ac:dyDescent="0.3">
      <c r="A55" t="s">
        <v>205</v>
      </c>
      <c r="B55" s="2">
        <f>B$54-B$32*pw_Damage-B$33-B$52*pw_Summon</f>
        <v>0</v>
      </c>
      <c r="C55" s="2">
        <f>C$54-C$32*pw_Damage-C$33-C$52*pw_Summon</f>
        <v>1</v>
      </c>
      <c r="D55" s="2">
        <f>D$54-D$32*pw_Damage-D$33-D$52*pw_Summon</f>
        <v>0</v>
      </c>
      <c r="E55" s="2">
        <f>E$54-E$32*pw_Damage-E$33-E$52*pw_Summon</f>
        <v>0</v>
      </c>
      <c r="F55" s="2">
        <f>F$54-F$32*pw_Damage-F$33-F$52*pw_Summon</f>
        <v>0</v>
      </c>
    </row>
    <row r="57" spans="1:6" x14ac:dyDescent="0.3">
      <c r="A57" s="1" t="s">
        <v>206</v>
      </c>
      <c r="B57" s="3"/>
    </row>
  </sheetData>
  <dataValidations count="5">
    <dataValidation type="list" allowBlank="1" sqref="B10" xr:uid="{00000000-0002-0000-1A00-000000000000}">
      <formula1>list_Brain</formula1>
    </dataValidation>
    <dataValidation type="list" allowBlank="1" sqref="B11" xr:uid="{00000000-0002-0000-1A00-000001000000}">
      <formula1>list_Targeting</formula1>
    </dataValidation>
    <dataValidation type="list" allowBlank="1" sqref="B12" xr:uid="{00000000-0002-0000-1A00-000002000000}">
      <formula1>list_Loot</formula1>
    </dataValidation>
    <dataValidation type="list" allowBlank="1" sqref="B13" xr:uid="{00000000-0002-0000-1A00-000003000000}">
      <formula1>list_Role</formula1>
    </dataValidation>
    <dataValidation type="list" allowBlank="1" sqref="B24:F24" xr:uid="{00000000-0002-0000-1A00-000004000000}">
      <formula1>list_EnemyCard</formula1>
    </dataValidation>
  </dataValidation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287</v>
      </c>
    </row>
    <row r="2" spans="1:2" x14ac:dyDescent="0.3">
      <c r="A2" s="1" t="s">
        <v>157</v>
      </c>
      <c r="B2" t="s">
        <v>87</v>
      </c>
    </row>
    <row r="3" spans="1:2" x14ac:dyDescent="0.3">
      <c r="A3" s="1" t="s">
        <v>158</v>
      </c>
      <c r="B3" t="s">
        <v>288</v>
      </c>
    </row>
    <row r="4" spans="1:2" x14ac:dyDescent="0.3">
      <c r="A4" s="1" t="s">
        <v>160</v>
      </c>
      <c r="B4" t="str">
        <f>IF($B$3="","NEW","Live")</f>
        <v>Live</v>
      </c>
    </row>
    <row r="6" spans="1:2" x14ac:dyDescent="0.3">
      <c r="A6" s="1" t="s">
        <v>161</v>
      </c>
    </row>
    <row r="7" spans="1:2" x14ac:dyDescent="0.3">
      <c r="A7" s="5" t="s">
        <v>162</v>
      </c>
      <c r="B7" t="s">
        <v>287</v>
      </c>
    </row>
    <row r="8" spans="1:2" x14ac:dyDescent="0.3">
      <c r="A8" s="5" t="s">
        <v>164</v>
      </c>
      <c r="B8">
        <v>7</v>
      </c>
    </row>
    <row r="9" spans="1:2" x14ac:dyDescent="0.3">
      <c r="A9" s="5" t="s">
        <v>165</v>
      </c>
      <c r="B9">
        <v>1</v>
      </c>
    </row>
    <row r="10" spans="1:2" x14ac:dyDescent="0.3">
      <c r="A10" s="5" t="s">
        <v>72</v>
      </c>
      <c r="B10" t="s">
        <v>83</v>
      </c>
    </row>
    <row r="11" spans="1:2" x14ac:dyDescent="0.3">
      <c r="A11" s="5" t="s">
        <v>73</v>
      </c>
      <c r="B11" t="s">
        <v>95</v>
      </c>
    </row>
    <row r="12" spans="1:2" x14ac:dyDescent="0.3">
      <c r="A12" s="5" t="s">
        <v>166</v>
      </c>
      <c r="B12" t="s">
        <v>80</v>
      </c>
    </row>
    <row r="13" spans="1:2" x14ac:dyDescent="0.3">
      <c r="A13" s="5" t="s">
        <v>75</v>
      </c>
      <c r="B13" t="s">
        <v>92</v>
      </c>
    </row>
    <row r="15" spans="1:2" x14ac:dyDescent="0.3">
      <c r="A15" s="1" t="s">
        <v>167</v>
      </c>
      <c r="B15">
        <v>2</v>
      </c>
    </row>
    <row r="16" spans="1:2" x14ac:dyDescent="0.3">
      <c r="A16" s="1" t="s">
        <v>168</v>
      </c>
      <c r="B16" s="2">
        <f>IF($B$8="","",ROUND(($B$19*$B$9*pw_ActionScale+$B$8*pw_Health)/pw_Divisor,3))</f>
        <v>0.77600000000000002</v>
      </c>
    </row>
    <row r="17" spans="1:6" x14ac:dyDescent="0.3">
      <c r="A17" t="s">
        <v>169</v>
      </c>
      <c r="B17" s="2">
        <f>IF($B$15="","",ROUND($B$16-$B$15,3))</f>
        <v>-1.224</v>
      </c>
    </row>
    <row r="18" spans="1:6" x14ac:dyDescent="0.3">
      <c r="B18" s="2"/>
    </row>
    <row r="19" spans="1:6" x14ac:dyDescent="0.3">
      <c r="A19" t="s">
        <v>170</v>
      </c>
      <c r="B19" s="2">
        <f>IFERROR(AVERAGEIF(B$26:F$26,"Yes",B$54:F$54),0)</f>
        <v>9.6999999999999993</v>
      </c>
    </row>
    <row r="20" spans="1:6" x14ac:dyDescent="0.3">
      <c r="A20" t="s">
        <v>171</v>
      </c>
      <c r="B20" s="2">
        <f>IFERROR(AVERAGEIF(B$26:F$26,"Yes",B$32:F$32),0)</f>
        <v>3</v>
      </c>
    </row>
    <row r="21" spans="1:6" x14ac:dyDescent="0.3">
      <c r="A21" t="s">
        <v>172</v>
      </c>
      <c r="B21" s="2">
        <f>IFERROR(AVERAGEIF(B$26:F$26,"Yes",B$55:F$55),0)</f>
        <v>2.6999999999999993</v>
      </c>
    </row>
    <row r="22" spans="1:6" x14ac:dyDescent="0.3">
      <c r="A22" t="s">
        <v>173</v>
      </c>
      <c r="B22" s="2">
        <f>IFERROR(AVERAGEIF(B$26:F$26,"Yes",B$52:F$52),0)</f>
        <v>0</v>
      </c>
    </row>
    <row r="24" spans="1:6" x14ac:dyDescent="0.3">
      <c r="A24" s="1" t="s">
        <v>174</v>
      </c>
      <c r="B24" t="s">
        <v>101</v>
      </c>
      <c r="C24" t="s">
        <v>101</v>
      </c>
      <c r="D24" t="s">
        <v>101</v>
      </c>
      <c r="E24" t="s">
        <v>132</v>
      </c>
      <c r="F24" t="s">
        <v>132</v>
      </c>
    </row>
    <row r="25" spans="1:6" x14ac:dyDescent="0.3">
      <c r="A25" t="s">
        <v>175</v>
      </c>
      <c r="B25" t="s">
        <v>289</v>
      </c>
      <c r="C25" t="s">
        <v>289</v>
      </c>
      <c r="D25" t="s">
        <v>289</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3</v>
      </c>
      <c r="C30" s="7">
        <v>3</v>
      </c>
      <c r="D30" s="7">
        <v>3</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4</v>
      </c>
      <c r="C33" s="2">
        <f>IFERROR(VLOOKUP(C$30,range_Power,2,TRUE),0)</f>
        <v>4</v>
      </c>
      <c r="D33" s="2">
        <f>IFERROR(VLOOKUP(D$30,range_Power,2,TRUE),0)</f>
        <v>4</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1</v>
      </c>
      <c r="C42" s="2">
        <v>1</v>
      </c>
      <c r="D42" s="2">
        <v>1</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9.6999999999999993</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9.6999999999999993</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9.6999999999999993</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2.6999999999999993</v>
      </c>
      <c r="C55" s="2">
        <f>C$54-C$32*pw_Damage-C$33-C$52*pw_Summon</f>
        <v>2.6999999999999993</v>
      </c>
      <c r="D55" s="2">
        <f>D$54-D$32*pw_Damage-D$33-D$52*pw_Summon</f>
        <v>2.6999999999999993</v>
      </c>
      <c r="E55" s="2">
        <f>E$54-E$32*pw_Damage-E$33-E$52*pw_Summon</f>
        <v>1</v>
      </c>
      <c r="F55" s="2">
        <f>F$54-F$32*pw_Damage-F$33-F$52*pw_Summon</f>
        <v>1</v>
      </c>
    </row>
    <row r="57" spans="1:6" x14ac:dyDescent="0.3">
      <c r="A57" s="1" t="s">
        <v>206</v>
      </c>
      <c r="B57" s="3"/>
    </row>
  </sheetData>
  <dataValidations count="5">
    <dataValidation type="list" allowBlank="1" sqref="B10" xr:uid="{00000000-0002-0000-1B00-000000000000}">
      <formula1>list_Brain</formula1>
    </dataValidation>
    <dataValidation type="list" allowBlank="1" sqref="B11" xr:uid="{00000000-0002-0000-1B00-000001000000}">
      <formula1>list_Targeting</formula1>
    </dataValidation>
    <dataValidation type="list" allowBlank="1" sqref="B12" xr:uid="{00000000-0002-0000-1B00-000002000000}">
      <formula1>list_Loot</formula1>
    </dataValidation>
    <dataValidation type="list" allowBlank="1" sqref="B13" xr:uid="{00000000-0002-0000-1B00-000003000000}">
      <formula1>list_Role</formula1>
    </dataValidation>
    <dataValidation type="list" allowBlank="1" sqref="B24:F24" xr:uid="{00000000-0002-0000-1B00-000004000000}">
      <formula1>list_EnemyCard</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290</v>
      </c>
    </row>
    <row r="2" spans="1:2" x14ac:dyDescent="0.3">
      <c r="A2" s="1" t="s">
        <v>157</v>
      </c>
      <c r="B2" t="s">
        <v>87</v>
      </c>
    </row>
    <row r="3" spans="1:2" x14ac:dyDescent="0.3">
      <c r="A3" s="1" t="s">
        <v>158</v>
      </c>
      <c r="B3" t="s">
        <v>291</v>
      </c>
    </row>
    <row r="4" spans="1:2" x14ac:dyDescent="0.3">
      <c r="A4" s="1" t="s">
        <v>160</v>
      </c>
      <c r="B4" t="str">
        <f>IF($B$3="","NEW","Live")</f>
        <v>Live</v>
      </c>
    </row>
    <row r="6" spans="1:2" x14ac:dyDescent="0.3">
      <c r="A6" s="1" t="s">
        <v>161</v>
      </c>
    </row>
    <row r="7" spans="1:2" x14ac:dyDescent="0.3">
      <c r="A7" s="5" t="s">
        <v>162</v>
      </c>
      <c r="B7" t="s">
        <v>290</v>
      </c>
    </row>
    <row r="8" spans="1:2" x14ac:dyDescent="0.3">
      <c r="A8" s="5" t="s">
        <v>164</v>
      </c>
      <c r="B8">
        <v>20</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0.85299999999999998</v>
      </c>
    </row>
    <row r="17" spans="1:6" x14ac:dyDescent="0.3">
      <c r="A17" t="s">
        <v>169</v>
      </c>
      <c r="B17" s="2">
        <f>IF($B$15="","",ROUND($B$16-$B$15,3))</f>
        <v>-1.147</v>
      </c>
    </row>
    <row r="18" spans="1:6" x14ac:dyDescent="0.3">
      <c r="B18" s="2"/>
    </row>
    <row r="19" spans="1:6" x14ac:dyDescent="0.3">
      <c r="A19" t="s">
        <v>170</v>
      </c>
      <c r="B19" s="2">
        <f>IFERROR(AVERAGEIF(B$26:F$26,"Yes",B$54:F$54),0)</f>
        <v>4.5</v>
      </c>
    </row>
    <row r="20" spans="1:6" x14ac:dyDescent="0.3">
      <c r="A20" t="s">
        <v>171</v>
      </c>
      <c r="B20" s="2">
        <f>IFERROR(AVERAGEIF(B$26:F$26,"Yes",B$32:F$32),0)</f>
        <v>3</v>
      </c>
    </row>
    <row r="21" spans="1:6" x14ac:dyDescent="0.3">
      <c r="A21" t="s">
        <v>172</v>
      </c>
      <c r="B21" s="2">
        <f>IFERROR(AVERAGEIF(B$26:F$26,"Yes",B$55:F$55),0)</f>
        <v>1.5</v>
      </c>
    </row>
    <row r="22" spans="1:6" x14ac:dyDescent="0.3">
      <c r="A22" t="s">
        <v>173</v>
      </c>
      <c r="B22" s="2">
        <f>IFERROR(AVERAGEIF(B$26:F$26,"Yes",B$52:F$52),0)</f>
        <v>0</v>
      </c>
    </row>
    <row r="24" spans="1:6" x14ac:dyDescent="0.3">
      <c r="A24" s="1" t="s">
        <v>174</v>
      </c>
      <c r="B24" t="s">
        <v>126</v>
      </c>
      <c r="C24" t="s">
        <v>126</v>
      </c>
      <c r="D24" t="s">
        <v>126</v>
      </c>
      <c r="E24" t="s">
        <v>132</v>
      </c>
      <c r="F24" t="s">
        <v>132</v>
      </c>
    </row>
    <row r="25" spans="1:6" x14ac:dyDescent="0.3">
      <c r="A25" t="s">
        <v>175</v>
      </c>
      <c r="B25" t="s">
        <v>292</v>
      </c>
      <c r="C25" t="s">
        <v>292</v>
      </c>
      <c r="D25" t="s">
        <v>292</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1</v>
      </c>
      <c r="C44" s="2">
        <v>1</v>
      </c>
      <c r="D44" s="2">
        <v>1</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4.5</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4.5</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4.5</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1.5</v>
      </c>
      <c r="C55" s="2">
        <f>C$54-C$32*pw_Damage-C$33-C$52*pw_Summon</f>
        <v>1.5</v>
      </c>
      <c r="D55" s="2">
        <f>D$54-D$32*pw_Damage-D$33-D$52*pw_Summon</f>
        <v>1.5</v>
      </c>
      <c r="E55" s="2">
        <f>E$54-E$32*pw_Damage-E$33-E$52*pw_Summon</f>
        <v>1</v>
      </c>
      <c r="F55" s="2">
        <f>F$54-F$32*pw_Damage-F$33-F$52*pw_Summon</f>
        <v>1</v>
      </c>
    </row>
    <row r="57" spans="1:6" x14ac:dyDescent="0.3">
      <c r="A57" s="1" t="s">
        <v>206</v>
      </c>
      <c r="B57" s="3"/>
    </row>
  </sheetData>
  <dataValidations count="5">
    <dataValidation type="list" allowBlank="1" sqref="B10" xr:uid="{00000000-0002-0000-1C00-000000000000}">
      <formula1>list_Brain</formula1>
    </dataValidation>
    <dataValidation type="list" allowBlank="1" sqref="B11" xr:uid="{00000000-0002-0000-1C00-000001000000}">
      <formula1>list_Targeting</formula1>
    </dataValidation>
    <dataValidation type="list" allowBlank="1" sqref="B12" xr:uid="{00000000-0002-0000-1C00-000002000000}">
      <formula1>list_Loot</formula1>
    </dataValidation>
    <dataValidation type="list" allowBlank="1" sqref="B13" xr:uid="{00000000-0002-0000-1C00-000003000000}">
      <formula1>list_Role</formula1>
    </dataValidation>
    <dataValidation type="list" allowBlank="1" sqref="B24:F24" xr:uid="{00000000-0002-0000-1C00-000004000000}">
      <formula1>list_EnemyCard</formula1>
    </dataValidation>
  </dataValidation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293</v>
      </c>
    </row>
    <row r="2" spans="1:2" x14ac:dyDescent="0.3">
      <c r="A2" s="1" t="s">
        <v>157</v>
      </c>
      <c r="B2" t="s">
        <v>87</v>
      </c>
    </row>
    <row r="3" spans="1:2" x14ac:dyDescent="0.3">
      <c r="A3" s="1" t="s">
        <v>158</v>
      </c>
      <c r="B3" t="s">
        <v>294</v>
      </c>
    </row>
    <row r="4" spans="1:2" x14ac:dyDescent="0.3">
      <c r="A4" s="1" t="s">
        <v>160</v>
      </c>
      <c r="B4" t="str">
        <f>IF($B$3="","NEW","Live")</f>
        <v>Live</v>
      </c>
    </row>
    <row r="6" spans="1:2" x14ac:dyDescent="0.3">
      <c r="A6" s="1" t="s">
        <v>161</v>
      </c>
    </row>
    <row r="7" spans="1:2" x14ac:dyDescent="0.3">
      <c r="A7" s="5" t="s">
        <v>162</v>
      </c>
      <c r="B7" t="s">
        <v>295</v>
      </c>
    </row>
    <row r="8" spans="1:2" x14ac:dyDescent="0.3">
      <c r="A8" s="5" t="s">
        <v>164</v>
      </c>
      <c r="B8">
        <v>16</v>
      </c>
    </row>
    <row r="9" spans="1:2" x14ac:dyDescent="0.3">
      <c r="A9" s="5" t="s">
        <v>165</v>
      </c>
      <c r="B9">
        <v>1</v>
      </c>
    </row>
    <row r="10" spans="1:2" x14ac:dyDescent="0.3">
      <c r="A10" s="5" t="s">
        <v>72</v>
      </c>
      <c r="B10" t="s">
        <v>83</v>
      </c>
    </row>
    <row r="11" spans="1:2" x14ac:dyDescent="0.3">
      <c r="A11" s="5" t="s">
        <v>73</v>
      </c>
      <c r="B11" t="s">
        <v>84</v>
      </c>
    </row>
    <row r="12" spans="1:2" x14ac:dyDescent="0.3">
      <c r="A12" s="5" t="s">
        <v>166</v>
      </c>
      <c r="B12" t="s">
        <v>80</v>
      </c>
    </row>
    <row r="13" spans="1:2" x14ac:dyDescent="0.3">
      <c r="A13" s="5" t="s">
        <v>75</v>
      </c>
      <c r="B13" t="s">
        <v>86</v>
      </c>
    </row>
    <row r="15" spans="1:2" x14ac:dyDescent="0.3">
      <c r="A15" s="1" t="s">
        <v>167</v>
      </c>
      <c r="B15">
        <v>2</v>
      </c>
    </row>
    <row r="16" spans="1:2" x14ac:dyDescent="0.3">
      <c r="A16" s="1" t="s">
        <v>168</v>
      </c>
      <c r="B16" s="2">
        <f>IF($B$8="","",ROUND(($B$19*$B$9*pw_ActionScale+$B$8*pw_Health)/pw_Divisor,3))</f>
        <v>0.78800000000000003</v>
      </c>
    </row>
    <row r="17" spans="1:6" x14ac:dyDescent="0.3">
      <c r="A17" t="s">
        <v>169</v>
      </c>
      <c r="B17" s="2">
        <f>IF($B$15="","",ROUND($B$16-$B$15,3))</f>
        <v>-1.212</v>
      </c>
    </row>
    <row r="18" spans="1:6" x14ac:dyDescent="0.3">
      <c r="B18" s="2"/>
    </row>
    <row r="19" spans="1:6" x14ac:dyDescent="0.3">
      <c r="A19" t="s">
        <v>170</v>
      </c>
      <c r="B19" s="2">
        <f>IFERROR(AVERAGEIF(B$26:F$26,"Yes",B$54:F$54),0)</f>
        <v>5.4000000000000012</v>
      </c>
    </row>
    <row r="20" spans="1:6" x14ac:dyDescent="0.3">
      <c r="A20" t="s">
        <v>171</v>
      </c>
      <c r="B20" s="2">
        <f>IFERROR(AVERAGEIF(B$26:F$26,"Yes",B$32:F$32),0)</f>
        <v>3</v>
      </c>
    </row>
    <row r="21" spans="1:6" x14ac:dyDescent="0.3">
      <c r="A21" t="s">
        <v>172</v>
      </c>
      <c r="B21" s="2">
        <f>IFERROR(AVERAGEIF(B$26:F$26,"Yes",B$55:F$55),0)</f>
        <v>2.4000000000000004</v>
      </c>
    </row>
    <row r="22" spans="1:6" x14ac:dyDescent="0.3">
      <c r="A22" t="s">
        <v>173</v>
      </c>
      <c r="B22" s="2">
        <f>IFERROR(AVERAGEIF(B$26:F$26,"Yes",B$52:F$52),0)</f>
        <v>0</v>
      </c>
    </row>
    <row r="24" spans="1:6" x14ac:dyDescent="0.3">
      <c r="A24" s="1" t="s">
        <v>174</v>
      </c>
      <c r="B24" t="s">
        <v>147</v>
      </c>
      <c r="C24" t="s">
        <v>147</v>
      </c>
      <c r="D24" t="s">
        <v>147</v>
      </c>
      <c r="E24" t="s">
        <v>132</v>
      </c>
      <c r="F24" t="s">
        <v>132</v>
      </c>
    </row>
    <row r="25" spans="1:6" x14ac:dyDescent="0.3">
      <c r="A25" t="s">
        <v>175</v>
      </c>
      <c r="B25" t="s">
        <v>251</v>
      </c>
      <c r="C25" t="s">
        <v>251</v>
      </c>
      <c r="D25" t="s">
        <v>251</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9</v>
      </c>
      <c r="C31" s="7">
        <v>9</v>
      </c>
      <c r="D31" s="7">
        <v>9</v>
      </c>
      <c r="E31" s="7">
        <v>1</v>
      </c>
      <c r="F31" s="7">
        <v>1</v>
      </c>
    </row>
    <row r="32" spans="1:6" x14ac:dyDescent="0.3">
      <c r="A32" t="s">
        <v>183</v>
      </c>
      <c r="B32" s="2">
        <v>3</v>
      </c>
      <c r="C32" s="2">
        <v>3</v>
      </c>
      <c r="D32" s="2">
        <v>3</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0</v>
      </c>
      <c r="C35" s="2">
        <v>0</v>
      </c>
      <c r="D35" s="2">
        <v>0</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2.4000000000000004</v>
      </c>
      <c r="C55" s="2">
        <f>C$54-C$32*pw_Damage-C$33-C$52*pw_Summon</f>
        <v>2.4000000000000004</v>
      </c>
      <c r="D55" s="2">
        <f>D$54-D$32*pw_Damage-D$33-D$52*pw_Summon</f>
        <v>2.4000000000000004</v>
      </c>
      <c r="E55" s="2">
        <f>E$54-E$32*pw_Damage-E$33-E$52*pw_Summon</f>
        <v>1</v>
      </c>
      <c r="F55" s="2">
        <f>F$54-F$32*pw_Damage-F$33-F$52*pw_Summon</f>
        <v>1</v>
      </c>
    </row>
    <row r="57" spans="1:6" x14ac:dyDescent="0.3">
      <c r="A57" s="1" t="s">
        <v>206</v>
      </c>
      <c r="B57" s="3"/>
    </row>
  </sheetData>
  <dataValidations count="5">
    <dataValidation type="list" allowBlank="1" sqref="B10" xr:uid="{00000000-0002-0000-1D00-000000000000}">
      <formula1>list_Brain</formula1>
    </dataValidation>
    <dataValidation type="list" allowBlank="1" sqref="B11" xr:uid="{00000000-0002-0000-1D00-000001000000}">
      <formula1>list_Targeting</formula1>
    </dataValidation>
    <dataValidation type="list" allowBlank="1" sqref="B12" xr:uid="{00000000-0002-0000-1D00-000002000000}">
      <formula1>list_Loot</formula1>
    </dataValidation>
    <dataValidation type="list" allowBlank="1" sqref="B13" xr:uid="{00000000-0002-0000-1D00-000003000000}">
      <formula1>list_Role</formula1>
    </dataValidation>
    <dataValidation type="list" allowBlank="1" sqref="B24:F24" xr:uid="{00000000-0002-0000-1D00-000004000000}">
      <formula1>list_EnemyCard</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7"/>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155</v>
      </c>
      <c r="B1" t="s">
        <v>296</v>
      </c>
    </row>
    <row r="2" spans="1:2" x14ac:dyDescent="0.3">
      <c r="A2" s="1" t="s">
        <v>157</v>
      </c>
      <c r="B2" t="s">
        <v>87</v>
      </c>
    </row>
    <row r="3" spans="1:2" x14ac:dyDescent="0.3">
      <c r="A3" s="1" t="s">
        <v>158</v>
      </c>
      <c r="B3" t="s">
        <v>297</v>
      </c>
    </row>
    <row r="4" spans="1:2" x14ac:dyDescent="0.3">
      <c r="A4" s="1" t="s">
        <v>160</v>
      </c>
      <c r="B4" t="str">
        <f>IF($B$3="","NEW","Live")</f>
        <v>Live</v>
      </c>
    </row>
    <row r="6" spans="1:2" x14ac:dyDescent="0.3">
      <c r="A6" s="1" t="s">
        <v>161</v>
      </c>
    </row>
    <row r="7" spans="1:2" x14ac:dyDescent="0.3">
      <c r="A7" s="5" t="s">
        <v>162</v>
      </c>
      <c r="B7" t="s">
        <v>298</v>
      </c>
    </row>
    <row r="8" spans="1:2" x14ac:dyDescent="0.3">
      <c r="A8" s="5" t="s">
        <v>164</v>
      </c>
      <c r="B8">
        <v>9</v>
      </c>
    </row>
    <row r="9" spans="1:2" x14ac:dyDescent="0.3">
      <c r="A9" s="5" t="s">
        <v>165</v>
      </c>
      <c r="B9">
        <v>2</v>
      </c>
    </row>
    <row r="10" spans="1:2" x14ac:dyDescent="0.3">
      <c r="A10" s="5" t="s">
        <v>72</v>
      </c>
      <c r="B10" t="s">
        <v>83</v>
      </c>
    </row>
    <row r="11" spans="1:2" x14ac:dyDescent="0.3">
      <c r="A11" s="5" t="s">
        <v>73</v>
      </c>
      <c r="B11" t="s">
        <v>108</v>
      </c>
    </row>
    <row r="12" spans="1:2" x14ac:dyDescent="0.3">
      <c r="A12" s="5" t="s">
        <v>166</v>
      </c>
      <c r="B12" t="s">
        <v>80</v>
      </c>
    </row>
    <row r="13" spans="1:2" x14ac:dyDescent="0.3">
      <c r="A13" s="5" t="s">
        <v>75</v>
      </c>
      <c r="B13" t="s">
        <v>92</v>
      </c>
    </row>
    <row r="15" spans="1:2" x14ac:dyDescent="0.3">
      <c r="A15" s="1" t="s">
        <v>167</v>
      </c>
      <c r="B15">
        <v>2</v>
      </c>
    </row>
    <row r="16" spans="1:2" x14ac:dyDescent="0.3">
      <c r="A16" s="1" t="s">
        <v>168</v>
      </c>
      <c r="B16" s="2">
        <f>IF($B$8="","",ROUND(($B$19*$B$9*pw_ActionScale+$B$8*pw_Health)/pw_Divisor,3))</f>
        <v>0.9</v>
      </c>
    </row>
    <row r="17" spans="1:6" x14ac:dyDescent="0.3">
      <c r="A17" t="s">
        <v>169</v>
      </c>
      <c r="B17" s="2">
        <f>IF($B$15="","",ROUND($B$16-$B$15,3))</f>
        <v>-1.1000000000000001</v>
      </c>
    </row>
    <row r="18" spans="1:6" x14ac:dyDescent="0.3">
      <c r="B18" s="2"/>
    </row>
    <row r="19" spans="1:6" x14ac:dyDescent="0.3">
      <c r="A19" t="s">
        <v>170</v>
      </c>
      <c r="B19" s="2">
        <f>IFERROR(AVERAGEIF(B$26:F$26,"Yes",B$54:F$54),0)</f>
        <v>5.4000000000000012</v>
      </c>
    </row>
    <row r="20" spans="1:6" x14ac:dyDescent="0.3">
      <c r="A20" t="s">
        <v>171</v>
      </c>
      <c r="B20" s="2">
        <f>IFERROR(AVERAGEIF(B$26:F$26,"Yes",B$32:F$32),0)</f>
        <v>3</v>
      </c>
    </row>
    <row r="21" spans="1:6" x14ac:dyDescent="0.3">
      <c r="A21" t="s">
        <v>172</v>
      </c>
      <c r="B21" s="2">
        <f>IFERROR(AVERAGEIF(B$26:F$26,"Yes",B$55:F$55),0)</f>
        <v>2.4000000000000004</v>
      </c>
    </row>
    <row r="22" spans="1:6" x14ac:dyDescent="0.3">
      <c r="A22" t="s">
        <v>173</v>
      </c>
      <c r="B22" s="2">
        <f>IFERROR(AVERAGEIF(B$26:F$26,"Yes",B$52:F$52),0)</f>
        <v>0</v>
      </c>
    </row>
    <row r="24" spans="1:6" x14ac:dyDescent="0.3">
      <c r="A24" s="1" t="s">
        <v>174</v>
      </c>
      <c r="B24" t="s">
        <v>130</v>
      </c>
      <c r="C24" t="s">
        <v>130</v>
      </c>
      <c r="D24" t="s">
        <v>130</v>
      </c>
      <c r="E24" t="s">
        <v>132</v>
      </c>
      <c r="F24" t="s">
        <v>132</v>
      </c>
    </row>
    <row r="25" spans="1:6" x14ac:dyDescent="0.3">
      <c r="A25" t="s">
        <v>175</v>
      </c>
      <c r="B25" t="s">
        <v>299</v>
      </c>
      <c r="C25" t="s">
        <v>299</v>
      </c>
      <c r="D25" t="s">
        <v>299</v>
      </c>
      <c r="E25" t="s">
        <v>177</v>
      </c>
      <c r="F25" t="s">
        <v>177</v>
      </c>
    </row>
    <row r="26" spans="1:6" x14ac:dyDescent="0.3">
      <c r="A26" t="s">
        <v>178</v>
      </c>
      <c r="B26" t="s">
        <v>81</v>
      </c>
      <c r="C26" t="s">
        <v>81</v>
      </c>
      <c r="D26" t="s">
        <v>81</v>
      </c>
      <c r="E26" t="s">
        <v>87</v>
      </c>
      <c r="F26" t="s">
        <v>87</v>
      </c>
    </row>
    <row r="28" spans="1:6" x14ac:dyDescent="0.3">
      <c r="A28" s="1" t="s">
        <v>179</v>
      </c>
    </row>
    <row r="29" spans="1:6" x14ac:dyDescent="0.3">
      <c r="A29" t="s">
        <v>180</v>
      </c>
      <c r="B29" s="7">
        <v>1</v>
      </c>
      <c r="C29" s="7">
        <v>1</v>
      </c>
      <c r="D29" s="7">
        <v>1</v>
      </c>
      <c r="E29" s="7">
        <v>1</v>
      </c>
      <c r="F29" s="7">
        <v>1</v>
      </c>
    </row>
    <row r="30" spans="1:6" x14ac:dyDescent="0.3">
      <c r="A30" t="s">
        <v>181</v>
      </c>
      <c r="B30" s="7">
        <v>1</v>
      </c>
      <c r="C30" s="7">
        <v>1</v>
      </c>
      <c r="D30" s="7">
        <v>1</v>
      </c>
      <c r="E30" s="7">
        <v>1</v>
      </c>
      <c r="F30" s="7">
        <v>1</v>
      </c>
    </row>
    <row r="31" spans="1:6" x14ac:dyDescent="0.3">
      <c r="A31" t="s">
        <v>182</v>
      </c>
      <c r="B31" s="7">
        <v>1</v>
      </c>
      <c r="C31" s="7">
        <v>1</v>
      </c>
      <c r="D31" s="7">
        <v>1</v>
      </c>
      <c r="E31" s="7">
        <v>1</v>
      </c>
      <c r="F31" s="7">
        <v>1</v>
      </c>
    </row>
    <row r="32" spans="1:6" x14ac:dyDescent="0.3">
      <c r="A32" t="s">
        <v>183</v>
      </c>
      <c r="B32" s="2">
        <v>3</v>
      </c>
      <c r="C32" s="2">
        <v>3</v>
      </c>
      <c r="D32" s="2">
        <v>3</v>
      </c>
      <c r="E32" s="2">
        <v>0</v>
      </c>
      <c r="F32" s="2">
        <v>0</v>
      </c>
    </row>
    <row r="33" spans="1:6" x14ac:dyDescent="0.3">
      <c r="A33" t="s">
        <v>69</v>
      </c>
      <c r="B33" s="2">
        <f>IFERROR(VLOOKUP(B$30,range_Power,2,TRUE),0)</f>
        <v>0</v>
      </c>
      <c r="C33" s="2">
        <f>IFERROR(VLOOKUP(C$30,range_Power,2,TRUE),0)</f>
        <v>0</v>
      </c>
      <c r="D33" s="2">
        <f>IFERROR(VLOOKUP(D$30,range_Power,2,TRUE),0)</f>
        <v>0</v>
      </c>
      <c r="E33" s="2">
        <f>IFERROR(VLOOKUP(E$30,range_Power,2,TRUE),0)</f>
        <v>0</v>
      </c>
      <c r="F33" s="2">
        <f>IFERROR(VLOOKUP(F$30,range_Power,2,TRUE),0)</f>
        <v>0</v>
      </c>
    </row>
    <row r="34" spans="1:6" x14ac:dyDescent="0.3">
      <c r="A34" t="s">
        <v>184</v>
      </c>
      <c r="B34" s="2">
        <v>0</v>
      </c>
      <c r="C34" s="2">
        <v>0</v>
      </c>
      <c r="D34" s="2">
        <v>0</v>
      </c>
      <c r="E34" s="2">
        <v>0</v>
      </c>
      <c r="F34" s="2">
        <v>0</v>
      </c>
    </row>
    <row r="35" spans="1:6" x14ac:dyDescent="0.3">
      <c r="A35" t="s">
        <v>185</v>
      </c>
      <c r="B35" s="2">
        <v>3</v>
      </c>
      <c r="C35" s="2">
        <v>3</v>
      </c>
      <c r="D35" s="2">
        <v>3</v>
      </c>
      <c r="E35" s="2">
        <v>0</v>
      </c>
      <c r="F35" s="2">
        <v>0</v>
      </c>
    </row>
    <row r="36" spans="1:6" x14ac:dyDescent="0.3">
      <c r="A36" t="s">
        <v>186</v>
      </c>
      <c r="B36" s="2">
        <v>0</v>
      </c>
      <c r="C36" s="2">
        <v>0</v>
      </c>
      <c r="D36" s="2">
        <v>0</v>
      </c>
      <c r="E36" s="2">
        <v>0</v>
      </c>
      <c r="F36" s="2">
        <v>0</v>
      </c>
    </row>
    <row r="37" spans="1:6" x14ac:dyDescent="0.3">
      <c r="A37" t="s">
        <v>187</v>
      </c>
      <c r="B37" s="2">
        <v>0</v>
      </c>
      <c r="C37" s="2">
        <v>0</v>
      </c>
      <c r="D37" s="2">
        <v>0</v>
      </c>
      <c r="E37" s="2">
        <v>0</v>
      </c>
      <c r="F37" s="2">
        <v>0</v>
      </c>
    </row>
    <row r="38" spans="1:6" x14ac:dyDescent="0.3">
      <c r="A38" t="s">
        <v>188</v>
      </c>
      <c r="B38" s="2">
        <v>0</v>
      </c>
      <c r="C38" s="2">
        <v>0</v>
      </c>
      <c r="D38" s="2">
        <v>0</v>
      </c>
      <c r="E38" s="2">
        <v>0</v>
      </c>
      <c r="F38" s="2">
        <v>0</v>
      </c>
    </row>
    <row r="39" spans="1:6" x14ac:dyDescent="0.3">
      <c r="A39" t="s">
        <v>189</v>
      </c>
      <c r="B39" s="2">
        <v>0</v>
      </c>
      <c r="C39" s="2">
        <v>0</v>
      </c>
      <c r="D39" s="2">
        <v>0</v>
      </c>
      <c r="E39" s="2">
        <v>0</v>
      </c>
      <c r="F39" s="2">
        <v>0</v>
      </c>
    </row>
    <row r="40" spans="1:6" x14ac:dyDescent="0.3">
      <c r="A40" t="s">
        <v>190</v>
      </c>
      <c r="B40" s="2">
        <v>0</v>
      </c>
      <c r="C40" s="2">
        <v>0</v>
      </c>
      <c r="D40" s="2">
        <v>0</v>
      </c>
      <c r="E40" s="2">
        <v>0</v>
      </c>
      <c r="F40" s="2">
        <v>0</v>
      </c>
    </row>
    <row r="41" spans="1:6" x14ac:dyDescent="0.3">
      <c r="A41" t="s">
        <v>191</v>
      </c>
      <c r="B41" s="2">
        <v>0</v>
      </c>
      <c r="C41" s="2">
        <v>0</v>
      </c>
      <c r="D41" s="2">
        <v>0</v>
      </c>
      <c r="E41" s="2">
        <v>0</v>
      </c>
      <c r="F41" s="2">
        <v>0</v>
      </c>
    </row>
    <row r="42" spans="1:6" x14ac:dyDescent="0.3">
      <c r="A42" t="s">
        <v>192</v>
      </c>
      <c r="B42" s="2">
        <v>0</v>
      </c>
      <c r="C42" s="2">
        <v>0</v>
      </c>
      <c r="D42" s="2">
        <v>0</v>
      </c>
      <c r="E42" s="2">
        <v>0</v>
      </c>
      <c r="F42" s="2">
        <v>0</v>
      </c>
    </row>
    <row r="43" spans="1:6" x14ac:dyDescent="0.3">
      <c r="A43" t="s">
        <v>193</v>
      </c>
      <c r="B43" s="2">
        <v>0</v>
      </c>
      <c r="C43" s="2">
        <v>0</v>
      </c>
      <c r="D43" s="2">
        <v>0</v>
      </c>
      <c r="E43" s="2">
        <v>0</v>
      </c>
      <c r="F43" s="2">
        <v>0</v>
      </c>
    </row>
    <row r="44" spans="1:6" x14ac:dyDescent="0.3">
      <c r="A44" t="s">
        <v>194</v>
      </c>
      <c r="B44" s="2">
        <v>0</v>
      </c>
      <c r="C44" s="2">
        <v>0</v>
      </c>
      <c r="D44" s="2">
        <v>0</v>
      </c>
      <c r="E44" s="2">
        <v>0</v>
      </c>
      <c r="F44" s="2">
        <v>0</v>
      </c>
    </row>
    <row r="45" spans="1:6" x14ac:dyDescent="0.3">
      <c r="A45" t="s">
        <v>195</v>
      </c>
      <c r="B45" s="2">
        <v>0</v>
      </c>
      <c r="C45" s="2">
        <v>0</v>
      </c>
      <c r="D45" s="2">
        <v>0</v>
      </c>
      <c r="E45" s="2">
        <v>0</v>
      </c>
      <c r="F45" s="2">
        <v>0</v>
      </c>
    </row>
    <row r="46" spans="1:6" x14ac:dyDescent="0.3">
      <c r="A46" t="s">
        <v>196</v>
      </c>
      <c r="B46" s="2">
        <v>0</v>
      </c>
      <c r="C46" s="2">
        <v>0</v>
      </c>
      <c r="D46" s="2">
        <v>0</v>
      </c>
      <c r="E46" s="2">
        <v>0</v>
      </c>
      <c r="F46" s="2">
        <v>0</v>
      </c>
    </row>
    <row r="47" spans="1:6" x14ac:dyDescent="0.3">
      <c r="A47" t="s">
        <v>197</v>
      </c>
      <c r="B47" s="2">
        <v>0</v>
      </c>
      <c r="C47" s="2">
        <v>0</v>
      </c>
      <c r="D47" s="2">
        <v>0</v>
      </c>
      <c r="E47" s="2">
        <v>0</v>
      </c>
      <c r="F47" s="2">
        <v>0</v>
      </c>
    </row>
    <row r="48" spans="1:6" x14ac:dyDescent="0.3">
      <c r="A48" t="s">
        <v>198</v>
      </c>
      <c r="B48" s="2">
        <v>0</v>
      </c>
      <c r="C48" s="2">
        <v>0</v>
      </c>
      <c r="D48" s="2">
        <v>0</v>
      </c>
      <c r="E48" s="2">
        <v>0</v>
      </c>
      <c r="F48" s="2">
        <v>0</v>
      </c>
    </row>
    <row r="49" spans="1:6" x14ac:dyDescent="0.3">
      <c r="A49" t="s">
        <v>199</v>
      </c>
      <c r="B49" s="2">
        <v>0</v>
      </c>
      <c r="C49" s="2">
        <v>0</v>
      </c>
      <c r="D49" s="2">
        <v>0</v>
      </c>
      <c r="E49" s="2">
        <v>0</v>
      </c>
      <c r="F49" s="2">
        <v>0</v>
      </c>
    </row>
    <row r="50" spans="1:6" x14ac:dyDescent="0.3">
      <c r="A50" t="s">
        <v>200</v>
      </c>
      <c r="B50" s="2">
        <v>0</v>
      </c>
      <c r="C50" s="2">
        <v>0</v>
      </c>
      <c r="D50" s="2">
        <v>0</v>
      </c>
      <c r="E50" s="2">
        <v>0</v>
      </c>
      <c r="F50" s="2">
        <v>0</v>
      </c>
    </row>
    <row r="51" spans="1:6" x14ac:dyDescent="0.3">
      <c r="A51" t="s">
        <v>201</v>
      </c>
      <c r="B51" s="2">
        <v>0</v>
      </c>
      <c r="C51" s="2">
        <v>0</v>
      </c>
      <c r="D51" s="2">
        <v>0</v>
      </c>
      <c r="E51" s="2">
        <v>1</v>
      </c>
      <c r="F51" s="2">
        <v>1</v>
      </c>
    </row>
    <row r="52" spans="1:6" x14ac:dyDescent="0.3">
      <c r="A52" t="s">
        <v>202</v>
      </c>
      <c r="B52" s="2">
        <v>0</v>
      </c>
      <c r="C52" s="2">
        <v>0</v>
      </c>
      <c r="D52" s="2">
        <v>0</v>
      </c>
      <c r="E52" s="2">
        <v>0</v>
      </c>
      <c r="F52" s="2">
        <v>0</v>
      </c>
    </row>
    <row r="53" spans="1:6" x14ac:dyDescent="0.3">
      <c r="A53" t="s">
        <v>203</v>
      </c>
      <c r="B53" s="7">
        <v>0</v>
      </c>
      <c r="C53" s="7">
        <v>0</v>
      </c>
      <c r="D53" s="7">
        <v>0</v>
      </c>
      <c r="E53" s="7">
        <v>0</v>
      </c>
      <c r="F53" s="7">
        <v>0</v>
      </c>
    </row>
    <row r="54" spans="1:6" x14ac:dyDescent="0.3">
      <c r="A54" s="1" t="s">
        <v>204</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v>5.4</v>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v>5.4</v>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v>5.4</v>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v>1</v>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v>1</v>
      </c>
    </row>
    <row r="55" spans="1:6" x14ac:dyDescent="0.3">
      <c r="A55" t="s">
        <v>205</v>
      </c>
      <c r="B55" s="2">
        <f>B$54-B$32*pw_Damage-B$33-B$52*pw_Summon</f>
        <v>2.4000000000000004</v>
      </c>
      <c r="C55" s="2">
        <f>C$54-C$32*pw_Damage-C$33-C$52*pw_Summon</f>
        <v>2.4000000000000004</v>
      </c>
      <c r="D55" s="2">
        <f>D$54-D$32*pw_Damage-D$33-D$52*pw_Summon</f>
        <v>2.4000000000000004</v>
      </c>
      <c r="E55" s="2">
        <f>E$54-E$32*pw_Damage-E$33-E$52*pw_Summon</f>
        <v>1</v>
      </c>
      <c r="F55" s="2">
        <f>F$54-F$32*pw_Damage-F$33-F$52*pw_Summon</f>
        <v>1</v>
      </c>
    </row>
    <row r="57" spans="1:6" x14ac:dyDescent="0.3">
      <c r="A57" s="1" t="s">
        <v>206</v>
      </c>
      <c r="B57" s="3"/>
    </row>
  </sheetData>
  <dataValidations count="5">
    <dataValidation type="list" allowBlank="1" sqref="B10" xr:uid="{00000000-0002-0000-1E00-000000000000}">
      <formula1>list_Brain</formula1>
    </dataValidation>
    <dataValidation type="list" allowBlank="1" sqref="B11" xr:uid="{00000000-0002-0000-1E00-000001000000}">
      <formula1>list_Targeting</formula1>
    </dataValidation>
    <dataValidation type="list" allowBlank="1" sqref="B12" xr:uid="{00000000-0002-0000-1E00-000002000000}">
      <formula1>list_Loot</formula1>
    </dataValidation>
    <dataValidation type="list" allowBlank="1" sqref="B13" xr:uid="{00000000-0002-0000-1E00-000003000000}">
      <formula1>list_Role</formula1>
    </dataValidation>
    <dataValidation type="list" allowBlank="1" sqref="B24:F24" xr:uid="{00000000-0002-0000-1E00-000004000000}">
      <formula1>list_EnemyCard</formula1>
    </dataValidation>
  </dataValidation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G48"/>
  <sheetViews>
    <sheetView workbookViewId="0"/>
  </sheetViews>
  <sheetFormatPr defaultRowHeight="14.4" x14ac:dyDescent="0.3"/>
  <cols>
    <col min="1" max="6" width="22" customWidth="1"/>
  </cols>
  <sheetData>
    <row r="1" spans="1:7" x14ac:dyDescent="0.3">
      <c r="A1" s="1" t="s">
        <v>72</v>
      </c>
      <c r="B1" s="1" t="s">
        <v>73</v>
      </c>
      <c r="C1" s="1" t="s">
        <v>74</v>
      </c>
      <c r="D1" s="1" t="s">
        <v>75</v>
      </c>
      <c r="E1" s="1" t="s">
        <v>76</v>
      </c>
      <c r="F1" s="1" t="s">
        <v>77</v>
      </c>
      <c r="G1" s="5" t="s">
        <v>78</v>
      </c>
    </row>
    <row r="2" spans="1:7" x14ac:dyDescent="0.3">
      <c r="A2" t="s">
        <v>79</v>
      </c>
      <c r="B2" t="s">
        <v>80</v>
      </c>
      <c r="C2" t="s">
        <v>80</v>
      </c>
      <c r="D2" t="s">
        <v>79</v>
      </c>
      <c r="E2" t="s">
        <v>81</v>
      </c>
      <c r="F2" t="s">
        <v>82</v>
      </c>
    </row>
    <row r="3" spans="1:7" x14ac:dyDescent="0.3">
      <c r="A3" t="s">
        <v>83</v>
      </c>
      <c r="B3" t="s">
        <v>84</v>
      </c>
      <c r="C3" t="s">
        <v>85</v>
      </c>
      <c r="D3" t="s">
        <v>86</v>
      </c>
      <c r="E3" t="s">
        <v>87</v>
      </c>
      <c r="F3" t="s">
        <v>88</v>
      </c>
    </row>
    <row r="4" spans="1:7" x14ac:dyDescent="0.3">
      <c r="A4" t="s">
        <v>89</v>
      </c>
      <c r="B4" t="s">
        <v>90</v>
      </c>
      <c r="C4" t="s">
        <v>91</v>
      </c>
      <c r="D4" t="s">
        <v>92</v>
      </c>
      <c r="F4" t="s">
        <v>93</v>
      </c>
    </row>
    <row r="5" spans="1:7" x14ac:dyDescent="0.3">
      <c r="A5" t="s">
        <v>94</v>
      </c>
      <c r="B5" t="s">
        <v>95</v>
      </c>
      <c r="C5" t="s">
        <v>96</v>
      </c>
      <c r="D5" t="s">
        <v>97</v>
      </c>
      <c r="F5" t="s">
        <v>98</v>
      </c>
    </row>
    <row r="6" spans="1:7" x14ac:dyDescent="0.3">
      <c r="B6" t="s">
        <v>99</v>
      </c>
      <c r="C6" t="s">
        <v>100</v>
      </c>
      <c r="F6" t="s">
        <v>101</v>
      </c>
    </row>
    <row r="7" spans="1:7" x14ac:dyDescent="0.3">
      <c r="B7" t="s">
        <v>102</v>
      </c>
      <c r="C7" t="s">
        <v>103</v>
      </c>
      <c r="F7" t="s">
        <v>104</v>
      </c>
    </row>
    <row r="8" spans="1:7" x14ac:dyDescent="0.3">
      <c r="B8" t="s">
        <v>105</v>
      </c>
      <c r="C8" t="s">
        <v>106</v>
      </c>
      <c r="F8" t="s">
        <v>107</v>
      </c>
    </row>
    <row r="9" spans="1:7" x14ac:dyDescent="0.3">
      <c r="B9" t="s">
        <v>108</v>
      </c>
      <c r="C9" t="s">
        <v>109</v>
      </c>
      <c r="F9" t="s">
        <v>110</v>
      </c>
    </row>
    <row r="10" spans="1:7" x14ac:dyDescent="0.3">
      <c r="C10" t="s">
        <v>111</v>
      </c>
      <c r="F10" t="s">
        <v>112</v>
      </c>
    </row>
    <row r="11" spans="1:7" x14ac:dyDescent="0.3">
      <c r="C11" t="s">
        <v>113</v>
      </c>
      <c r="F11" t="s">
        <v>114</v>
      </c>
    </row>
    <row r="12" spans="1:7" x14ac:dyDescent="0.3">
      <c r="C12" t="s">
        <v>115</v>
      </c>
      <c r="F12" t="s">
        <v>116</v>
      </c>
    </row>
    <row r="13" spans="1:7" x14ac:dyDescent="0.3">
      <c r="C13" t="s">
        <v>117</v>
      </c>
      <c r="F13" t="s">
        <v>118</v>
      </c>
    </row>
    <row r="14" spans="1:7" x14ac:dyDescent="0.3">
      <c r="C14" t="s">
        <v>119</v>
      </c>
      <c r="F14" t="s">
        <v>120</v>
      </c>
    </row>
    <row r="15" spans="1:7" x14ac:dyDescent="0.3">
      <c r="F15" t="s">
        <v>121</v>
      </c>
    </row>
    <row r="16" spans="1:7" x14ac:dyDescent="0.3">
      <c r="F16" t="s">
        <v>122</v>
      </c>
    </row>
    <row r="17" spans="6:6" x14ac:dyDescent="0.3">
      <c r="F17" t="s">
        <v>123</v>
      </c>
    </row>
    <row r="18" spans="6:6" x14ac:dyDescent="0.3">
      <c r="F18" t="s">
        <v>124</v>
      </c>
    </row>
    <row r="19" spans="6:6" x14ac:dyDescent="0.3">
      <c r="F19" t="s">
        <v>125</v>
      </c>
    </row>
    <row r="20" spans="6:6" x14ac:dyDescent="0.3">
      <c r="F20" t="s">
        <v>126</v>
      </c>
    </row>
    <row r="21" spans="6:6" x14ac:dyDescent="0.3">
      <c r="F21" t="s">
        <v>127</v>
      </c>
    </row>
    <row r="22" spans="6:6" x14ac:dyDescent="0.3">
      <c r="F22" t="s">
        <v>128</v>
      </c>
    </row>
    <row r="23" spans="6:6" x14ac:dyDescent="0.3">
      <c r="F23" t="s">
        <v>129</v>
      </c>
    </row>
    <row r="24" spans="6:6" x14ac:dyDescent="0.3">
      <c r="F24" t="s">
        <v>130</v>
      </c>
    </row>
    <row r="25" spans="6:6" x14ac:dyDescent="0.3">
      <c r="F25" t="s">
        <v>131</v>
      </c>
    </row>
    <row r="26" spans="6:6" x14ac:dyDescent="0.3">
      <c r="F26" t="s">
        <v>132</v>
      </c>
    </row>
    <row r="27" spans="6:6" x14ac:dyDescent="0.3">
      <c r="F27" t="s">
        <v>133</v>
      </c>
    </row>
    <row r="28" spans="6:6" x14ac:dyDescent="0.3">
      <c r="F28" t="s">
        <v>134</v>
      </c>
    </row>
    <row r="29" spans="6:6" x14ac:dyDescent="0.3">
      <c r="F29" t="s">
        <v>135</v>
      </c>
    </row>
    <row r="30" spans="6:6" x14ac:dyDescent="0.3">
      <c r="F30" t="s">
        <v>136</v>
      </c>
    </row>
    <row r="31" spans="6:6" x14ac:dyDescent="0.3">
      <c r="F31" t="s">
        <v>137</v>
      </c>
    </row>
    <row r="32" spans="6:6" x14ac:dyDescent="0.3">
      <c r="F32" t="s">
        <v>138</v>
      </c>
    </row>
    <row r="33" spans="6:6" x14ac:dyDescent="0.3">
      <c r="F33" t="s">
        <v>139</v>
      </c>
    </row>
    <row r="34" spans="6:6" x14ac:dyDescent="0.3">
      <c r="F34" t="s">
        <v>140</v>
      </c>
    </row>
    <row r="35" spans="6:6" x14ac:dyDescent="0.3">
      <c r="F35" t="s">
        <v>141</v>
      </c>
    </row>
    <row r="36" spans="6:6" x14ac:dyDescent="0.3">
      <c r="F36" t="s">
        <v>142</v>
      </c>
    </row>
    <row r="37" spans="6:6" x14ac:dyDescent="0.3">
      <c r="F37" t="s">
        <v>143</v>
      </c>
    </row>
    <row r="38" spans="6:6" x14ac:dyDescent="0.3">
      <c r="F38" t="s">
        <v>144</v>
      </c>
    </row>
    <row r="39" spans="6:6" x14ac:dyDescent="0.3">
      <c r="F39" t="s">
        <v>145</v>
      </c>
    </row>
    <row r="40" spans="6:6" x14ac:dyDescent="0.3">
      <c r="F40" t="s">
        <v>146</v>
      </c>
    </row>
    <row r="41" spans="6:6" x14ac:dyDescent="0.3">
      <c r="F41" t="s">
        <v>147</v>
      </c>
    </row>
    <row r="42" spans="6:6" x14ac:dyDescent="0.3">
      <c r="F42" t="s">
        <v>148</v>
      </c>
    </row>
    <row r="43" spans="6:6" x14ac:dyDescent="0.3">
      <c r="F43" t="s">
        <v>149</v>
      </c>
    </row>
    <row r="44" spans="6:6" x14ac:dyDescent="0.3">
      <c r="F44" t="s">
        <v>150</v>
      </c>
    </row>
    <row r="45" spans="6:6" x14ac:dyDescent="0.3">
      <c r="F45" t="s">
        <v>151</v>
      </c>
    </row>
    <row r="46" spans="6:6" x14ac:dyDescent="0.3">
      <c r="F46" t="s">
        <v>152</v>
      </c>
    </row>
    <row r="47" spans="6:6" x14ac:dyDescent="0.3">
      <c r="F47" t="s">
        <v>153</v>
      </c>
    </row>
    <row r="48" spans="6:6" x14ac:dyDescent="0.3">
      <c r="F48" t="s">
        <v>154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67</vt:i4>
      </vt:variant>
    </vt:vector>
  </HeadingPairs>
  <TitlesOfParts>
    <vt:vector size="99" baseType="lpstr">
      <vt:lpstr>README</vt:lpstr>
      <vt:lpstr>PowerLevel</vt:lpstr>
      <vt:lpstr>Roster</vt:lpstr>
      <vt:lpstr>Bat</vt:lpstr>
      <vt:lpstr>BlackKnight</vt:lpstr>
      <vt:lpstr>Crab</vt:lpstr>
      <vt:lpstr>EnemyRanger</vt:lpstr>
      <vt:lpstr>EvilKing</vt:lpstr>
      <vt:lpstr>EvilKnight</vt:lpstr>
      <vt:lpstr>EvilWizard</vt:lpstr>
      <vt:lpstr>EvilWizard2</vt:lpstr>
      <vt:lpstr>EvilWizard3</vt:lpstr>
      <vt:lpstr>FlyingEye</vt:lpstr>
      <vt:lpstr>Goblin</vt:lpstr>
      <vt:lpstr>Golem</vt:lpstr>
      <vt:lpstr>HeavyBandit</vt:lpstr>
      <vt:lpstr>LightBandit</vt:lpstr>
      <vt:lpstr>Mimic</vt:lpstr>
      <vt:lpstr>Mushroom</vt:lpstr>
      <vt:lpstr>Pebble</vt:lpstr>
      <vt:lpstr>PlagueRat</vt:lpstr>
      <vt:lpstr>Rat</vt:lpstr>
      <vt:lpstr>Reaper</vt:lpstr>
      <vt:lpstr>ReinforcedGolem</vt:lpstr>
      <vt:lpstr>Skeleton</vt:lpstr>
      <vt:lpstr>SkeletonAlly</vt:lpstr>
      <vt:lpstr>SkeletonWarrior</vt:lpstr>
      <vt:lpstr>Skull</vt:lpstr>
      <vt:lpstr>Slime</vt:lpstr>
      <vt:lpstr>SpikedSlime</vt:lpstr>
      <vt:lpstr>VampireBat</vt:lpstr>
      <vt:lpstr>Enums</vt:lpstr>
      <vt:lpstr>list_Bool</vt:lpstr>
      <vt:lpstr>list_Brain</vt:lpstr>
      <vt:lpstr>list_EnemyCard</vt:lpstr>
      <vt:lpstr>list_Loot</vt:lpstr>
      <vt:lpstr>list_Role</vt:lpstr>
      <vt:lpstr>list_Targeting</vt:lpstr>
      <vt:lpstr>pow_Bat</vt:lpstr>
      <vt:lpstr>pow_BlackKnight</vt:lpstr>
      <vt:lpstr>pow_Crab</vt:lpstr>
      <vt:lpstr>pow_EnemyRanger</vt:lpstr>
      <vt:lpstr>pow_EvilKing</vt:lpstr>
      <vt:lpstr>pow_EvilKnight</vt:lpstr>
      <vt:lpstr>pow_EvilWizard</vt:lpstr>
      <vt:lpstr>pow_EvilWizard2</vt:lpstr>
      <vt:lpstr>pow_EvilWizard3</vt:lpstr>
      <vt:lpstr>pow_FlyingEye</vt:lpstr>
      <vt:lpstr>pow_Goblin</vt:lpstr>
      <vt:lpstr>pow_Golem</vt:lpstr>
      <vt:lpstr>pow_HeavyBandit</vt:lpstr>
      <vt:lpstr>pow_LightBandit</vt:lpstr>
      <vt:lpstr>pow_Mimic</vt:lpstr>
      <vt:lpstr>pow_Mushroom</vt:lpstr>
      <vt:lpstr>pow_Pebble</vt:lpstr>
      <vt:lpstr>pow_PlagueRat</vt:lpstr>
      <vt:lpstr>pow_Rat</vt:lpstr>
      <vt:lpstr>pow_Reaper</vt:lpstr>
      <vt:lpstr>pow_ReinforcedGolem</vt:lpstr>
      <vt:lpstr>pow_Skeleton</vt:lpstr>
      <vt:lpstr>pow_SkeletonAlly</vt:lpstr>
      <vt:lpstr>pow_SkeletonWarrior</vt:lpstr>
      <vt:lpstr>pow_Skull</vt:lpstr>
      <vt:lpstr>pow_Slime</vt:lpstr>
      <vt:lpstr>pow_SpikedSlime</vt:lpstr>
      <vt:lpstr>pow_VampireBat</vt:lpstr>
      <vt:lpstr>pw_ActionScale</vt:lpstr>
      <vt:lpstr>pw_Area</vt:lpstr>
      <vt:lpstr>pw_Block</vt:lpstr>
      <vt:lpstr>pw_Damage</vt:lpstr>
      <vt:lpstr>pw_Divisor</vt:lpstr>
      <vt:lpstr>pw_Dodge</vt:lpstr>
      <vt:lpstr>pw_DoubleNextAttack</vt:lpstr>
      <vt:lpstr>pw_DoubleShield</vt:lpstr>
      <vt:lpstr>pw_Draw</vt:lpstr>
      <vt:lpstr>pw_Energy</vt:lpstr>
      <vt:lpstr>pw_Frozen</vt:lpstr>
      <vt:lpstr>pw_Heal</vt:lpstr>
      <vt:lpstr>pw_Health</vt:lpstr>
      <vt:lpstr>pw_Horizon</vt:lpstr>
      <vt:lpstr>pw_Move</vt:lpstr>
      <vt:lpstr>pw_Parry</vt:lpstr>
      <vt:lpstr>pw_Poison</vt:lpstr>
      <vt:lpstr>pw_PoisonBlade</vt:lpstr>
      <vt:lpstr>pw_Rooted</vt:lpstr>
      <vt:lpstr>pw_SelfDamage</vt:lpstr>
      <vt:lpstr>pw_Shield</vt:lpstr>
      <vt:lpstr>pw_Stealth</vt:lpstr>
      <vt:lpstr>pw_Strength</vt:lpstr>
      <vt:lpstr>pw_Summon</vt:lpstr>
      <vt:lpstr>pw_SummonHorizon</vt:lpstr>
      <vt:lpstr>pw_Taunt</vt:lpstr>
      <vt:lpstr>pw_Teleport</vt:lpstr>
      <vt:lpstr>pw_TileEffect</vt:lpstr>
      <vt:lpstr>pw_Tolerance</vt:lpstr>
      <vt:lpstr>pw_TotemActivations</vt:lpstr>
      <vt:lpstr>pw_Vulnerable</vt:lpstr>
      <vt:lpstr>pw_Weaken</vt:lpstr>
      <vt:lpstr>range_Power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2026-08-27T08:15:04Z</dcterms:modified>
</cp:coreProperties>
</file>