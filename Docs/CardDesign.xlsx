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oxxi\Documents\GitHub\GMTK-Game-Jam-2026\Docs\"/>
    </mc:Choice>
  </mc:AlternateContent>
  <xr:revisionPtr revIDLastSave="0" documentId="13_ncr:1_{ED19EB46-A719-487E-8982-5A69429694A8}" xr6:coauthVersionLast="47" xr6:coauthVersionMax="47" xr10:uidLastSave="{00000000-0000-0000-0000-000000000000}"/>
  <bookViews>
    <workbookView xWindow="-108" yWindow="-108" windowWidth="23256" windowHeight="12456" activeTab="8" xr2:uid="{00000000-000D-0000-FFFF-FFFF00000000}"/>
  </bookViews>
  <sheets>
    <sheet name="README" sheetId="14" r:id="rId1"/>
    <sheet name="Knight" sheetId="1" r:id="rId2"/>
    <sheet name="Mage" sheetId="2" r:id="rId3"/>
    <sheet name="Rogue" sheetId="3" r:id="rId4"/>
    <sheet name="Neutral" sheetId="4" r:id="rId5"/>
    <sheet name="Knight Ideas" sheetId="5" r:id="rId6"/>
    <sheet name="Mage Ideas" sheetId="6" r:id="rId7"/>
    <sheet name="Rogue Ideas" sheetId="7" r:id="rId8"/>
    <sheet name="Glossary" sheetId="10" r:id="rId9"/>
    <sheet name="Effects" sheetId="8" r:id="rId10"/>
    <sheet name="Decks" sheetId="9" r:id="rId11"/>
    <sheet name="Model" sheetId="12" r:id="rId12"/>
    <sheet name="Balance" sheetId="11" r:id="rId13"/>
    <sheet name="Charts" sheetId="15" r:id="rId14"/>
    <sheet name="Enums" sheetId="13" r:id="rId15"/>
  </sheets>
  <definedNames>
    <definedName name="_xlnm._FilterDatabase" localSheetId="12" hidden="1">Balance!$A$1:$AK$170</definedName>
    <definedName name="_xlnm._FilterDatabase" localSheetId="8" hidden="1">Glossary!$A$1:$G$23</definedName>
    <definedName name="_xlnm._FilterDatabase" localSheetId="1" hidden="1">Knight!$A$1:$Z$25</definedName>
    <definedName name="_xlnm._FilterDatabase" localSheetId="5" hidden="1">'Knight Ideas'!$A$1:$AD$51</definedName>
    <definedName name="_xlnm._FilterDatabase" localSheetId="2" hidden="1">Mage!$A$1:$Z$26</definedName>
    <definedName name="_xlnm._FilterDatabase" localSheetId="6" hidden="1">'Mage Ideas'!$A$1:$AD$51</definedName>
    <definedName name="_xlnm._FilterDatabase" localSheetId="4" hidden="1">Neutral!$A$1:$Z$7</definedName>
    <definedName name="_xlnm._FilterDatabase" localSheetId="3" hidden="1">Rogue!$A$1:$Z$11</definedName>
    <definedName name="_xlnm._FilterDatabase" localSheetId="7" hidden="1">'Rogue Ideas'!$A$1:$AD$51</definedName>
    <definedName name="board_Tiles">Model!$B$21</definedName>
    <definedName name="curve_Base">Model!$B$18</definedName>
    <definedName name="curve_Slope">Model!$B$19</definedName>
    <definedName name="list_Aim">Enums!$D$2:$D$3</definedName>
    <definedName name="list_Bool">Enums!$E$2:$E$3</definedName>
    <definedName name="list_Buildable">Enums!$F$2:$F$6</definedName>
    <definedName name="list_Class">Enums!$A$2:$A$9</definedName>
    <definedName name="list_Effect">Enums!$J$2:$J$51</definedName>
    <definedName name="list_Folder">Enums!$K$2:$K$10</definedName>
    <definedName name="list_Keyword">Enums!$I$2:$I$4</definedName>
    <definedName name="list_Priority">Enums!$G$2:$G$4</definedName>
    <definedName name="list_Rarity">Enums!$B$2:$B$6</definedName>
    <definedName name="list_Shape">Enums!$C$2:$C$5</definedName>
    <definedName name="list_Tag">Enums!$H$2:$H$8</definedName>
    <definedName name="rarity_Mult">Model!$A$25:$B$29</definedName>
    <definedName name="tol_Pct">Model!$B$20</definedName>
    <definedName name="w_Block">Model!$B$5</definedName>
    <definedName name="w_Combo">Model!$B$12</definedName>
    <definedName name="w_Damage">Model!$B$2</definedName>
    <definedName name="w_Draw">Model!$B$10</definedName>
    <definedName name="w_Heal">Model!$B$3</definedName>
    <definedName name="w_Horizon">Model!$B$17</definedName>
    <definedName name="w_MaxAllies">Model!$B$16</definedName>
    <definedName name="w_MaxEnemies">Model!$B$15</definedName>
    <definedName name="w_Move">Model!$B$11</definedName>
    <definedName name="w_OccAlly">Model!$B$14</definedName>
    <definedName name="w_OccEnemy">Model!$B$13</definedName>
    <definedName name="w_Parry">Model!$B$6</definedName>
    <definedName name="w_Poison">Model!$B$7</definedName>
    <definedName name="w_Shield">Model!$B$4</definedName>
    <definedName name="w_Strength">Model!$B$8</definedName>
    <definedName name="w_Weaken">Model!$B$9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5" l="1"/>
  <c r="H14" i="15"/>
  <c r="G14" i="15"/>
  <c r="I13" i="15"/>
  <c r="H13" i="15"/>
  <c r="G13" i="15"/>
  <c r="I12" i="15"/>
  <c r="H12" i="15"/>
  <c r="G12" i="15"/>
  <c r="I11" i="15"/>
  <c r="H11" i="15"/>
  <c r="G11" i="15"/>
  <c r="I10" i="15"/>
  <c r="H10" i="15"/>
  <c r="G10" i="15"/>
  <c r="I9" i="15"/>
  <c r="H9" i="15"/>
  <c r="G9" i="15"/>
  <c r="I8" i="15"/>
  <c r="H8" i="15"/>
  <c r="G8" i="15"/>
  <c r="I7" i="15"/>
  <c r="H7" i="15"/>
  <c r="G7" i="15"/>
  <c r="D7" i="15"/>
  <c r="C7" i="15"/>
  <c r="B7" i="15"/>
  <c r="I6" i="15"/>
  <c r="H6" i="15"/>
  <c r="G6" i="15"/>
  <c r="D6" i="15"/>
  <c r="C6" i="15"/>
  <c r="B6" i="15"/>
  <c r="I5" i="15"/>
  <c r="H5" i="15"/>
  <c r="G5" i="15"/>
  <c r="D5" i="15"/>
  <c r="C5" i="15"/>
  <c r="B5" i="15"/>
  <c r="I4" i="15"/>
  <c r="H4" i="15"/>
  <c r="G4" i="15"/>
  <c r="D4" i="15"/>
  <c r="C4" i="15"/>
  <c r="B4" i="15"/>
  <c r="I3" i="15"/>
  <c r="H3" i="15"/>
  <c r="G3" i="15"/>
  <c r="D3" i="15"/>
  <c r="C3" i="15"/>
  <c r="B3" i="15"/>
  <c r="I2" i="15"/>
  <c r="H2" i="15"/>
  <c r="G2" i="15"/>
  <c r="D2" i="15"/>
  <c r="C2" i="15"/>
  <c r="B2" i="15"/>
  <c r="AJ170" i="11"/>
  <c r="AI170" i="11"/>
  <c r="AH170" i="11"/>
  <c r="AG170" i="11"/>
  <c r="AF170" i="11"/>
  <c r="AE170" i="11"/>
  <c r="AD170" i="11"/>
  <c r="AC170" i="11"/>
  <c r="Y170" i="11"/>
  <c r="X170" i="11"/>
  <c r="W170" i="11"/>
  <c r="Z170" i="11" s="1"/>
  <c r="AA170" i="11" s="1"/>
  <c r="AI169" i="11"/>
  <c r="AH169" i="11"/>
  <c r="AG169" i="11"/>
  <c r="AF169" i="11"/>
  <c r="AE169" i="11"/>
  <c r="AD169" i="11"/>
  <c r="AC169" i="11"/>
  <c r="Y169" i="11"/>
  <c r="AJ169" i="11" s="1"/>
  <c r="W169" i="11"/>
  <c r="Z169" i="11" s="1"/>
  <c r="AA169" i="11" s="1"/>
  <c r="AK168" i="11"/>
  <c r="AJ168" i="11"/>
  <c r="AI168" i="11"/>
  <c r="AH168" i="11"/>
  <c r="AG168" i="11"/>
  <c r="AF168" i="11"/>
  <c r="AE168" i="11"/>
  <c r="AD168" i="11"/>
  <c r="AC168" i="11"/>
  <c r="AA168" i="11"/>
  <c r="Z168" i="11"/>
  <c r="Y168" i="11"/>
  <c r="W168" i="11"/>
  <c r="X168" i="11" s="1"/>
  <c r="AJ167" i="11"/>
  <c r="AI167" i="11"/>
  <c r="AH167" i="11"/>
  <c r="AG167" i="11"/>
  <c r="AF167" i="11"/>
  <c r="AE167" i="11"/>
  <c r="AD167" i="11"/>
  <c r="AC167" i="11"/>
  <c r="Y167" i="11"/>
  <c r="Z167" i="11" s="1"/>
  <c r="AA167" i="11" s="1"/>
  <c r="X167" i="11"/>
  <c r="W167" i="11"/>
  <c r="AK167" i="11" s="1"/>
  <c r="AJ166" i="11"/>
  <c r="AI166" i="11"/>
  <c r="AH166" i="11"/>
  <c r="AG166" i="11"/>
  <c r="AF166" i="11"/>
  <c r="AE166" i="11"/>
  <c r="AD166" i="11"/>
  <c r="AC166" i="11"/>
  <c r="Y166" i="11"/>
  <c r="W166" i="11"/>
  <c r="AK166" i="11" s="1"/>
  <c r="AI165" i="11"/>
  <c r="AH165" i="11"/>
  <c r="AG165" i="11"/>
  <c r="AF165" i="11"/>
  <c r="AE165" i="11"/>
  <c r="AD165" i="11"/>
  <c r="AC165" i="11"/>
  <c r="Y165" i="11"/>
  <c r="AJ165" i="11" s="1"/>
  <c r="W165" i="11"/>
  <c r="Z165" i="11" s="1"/>
  <c r="AA165" i="11" s="1"/>
  <c r="AJ164" i="11"/>
  <c r="AI164" i="11"/>
  <c r="AH164" i="11"/>
  <c r="AG164" i="11"/>
  <c r="AF164" i="11"/>
  <c r="AE164" i="11"/>
  <c r="AD164" i="11"/>
  <c r="AC164" i="11"/>
  <c r="Y164" i="11"/>
  <c r="W164" i="11"/>
  <c r="Z164" i="11" s="1"/>
  <c r="AA164" i="11" s="1"/>
  <c r="AJ163" i="11"/>
  <c r="AI163" i="11"/>
  <c r="AH163" i="11"/>
  <c r="AG163" i="11"/>
  <c r="AF163" i="11"/>
  <c r="AE163" i="11"/>
  <c r="AD163" i="11"/>
  <c r="AC163" i="11"/>
  <c r="Y163" i="11"/>
  <c r="W163" i="11"/>
  <c r="Z163" i="11" s="1"/>
  <c r="AA163" i="11" s="1"/>
  <c r="AJ162" i="11"/>
  <c r="AI162" i="11"/>
  <c r="AH162" i="11"/>
  <c r="AG162" i="11"/>
  <c r="AF162" i="11"/>
  <c r="AE162" i="11"/>
  <c r="AD162" i="11"/>
  <c r="AC162" i="11"/>
  <c r="Y162" i="11"/>
  <c r="X162" i="11"/>
  <c r="W162" i="11"/>
  <c r="Z162" i="11" s="1"/>
  <c r="AA162" i="11" s="1"/>
  <c r="AJ161" i="11"/>
  <c r="AI161" i="11"/>
  <c r="AH161" i="11"/>
  <c r="AG161" i="11"/>
  <c r="AF161" i="11"/>
  <c r="AE161" i="11"/>
  <c r="AD161" i="11"/>
  <c r="AC161" i="11"/>
  <c r="Y161" i="11"/>
  <c r="W161" i="11"/>
  <c r="Z161" i="11" s="1"/>
  <c r="AA161" i="11" s="1"/>
  <c r="AK160" i="11"/>
  <c r="AJ160" i="11"/>
  <c r="AI160" i="11"/>
  <c r="AH160" i="11"/>
  <c r="AG160" i="11"/>
  <c r="AF160" i="11"/>
  <c r="AE160" i="11"/>
  <c r="AD160" i="11"/>
  <c r="AC160" i="11"/>
  <c r="AA160" i="11"/>
  <c r="Z160" i="11"/>
  <c r="Y160" i="11"/>
  <c r="W160" i="11"/>
  <c r="X160" i="11" s="1"/>
  <c r="AK159" i="11"/>
  <c r="AJ159" i="11"/>
  <c r="AI159" i="11"/>
  <c r="AH159" i="11"/>
  <c r="AG159" i="11"/>
  <c r="AF159" i="11"/>
  <c r="AE159" i="11"/>
  <c r="AD159" i="11"/>
  <c r="AC159" i="11"/>
  <c r="Y159" i="11"/>
  <c r="Z159" i="11" s="1"/>
  <c r="AA159" i="11" s="1"/>
  <c r="X159" i="11"/>
  <c r="W159" i="11"/>
  <c r="AI158" i="11"/>
  <c r="AH158" i="11"/>
  <c r="AG158" i="11"/>
  <c r="AF158" i="11"/>
  <c r="AE158" i="11"/>
  <c r="AD158" i="11"/>
  <c r="AC158" i="11"/>
  <c r="Y158" i="11"/>
  <c r="AJ158" i="11" s="1"/>
  <c r="W158" i="11"/>
  <c r="AK158" i="11" s="1"/>
  <c r="AI157" i="11"/>
  <c r="AH157" i="11"/>
  <c r="AG157" i="11"/>
  <c r="AF157" i="11"/>
  <c r="AE157" i="11"/>
  <c r="AD157" i="11"/>
  <c r="AC157" i="11"/>
  <c r="Y157" i="11"/>
  <c r="AJ157" i="11" s="1"/>
  <c r="W157" i="11"/>
  <c r="Z157" i="11" s="1"/>
  <c r="AA157" i="11" s="1"/>
  <c r="AI156" i="11"/>
  <c r="AH156" i="11"/>
  <c r="AG156" i="11"/>
  <c r="AF156" i="11"/>
  <c r="AE156" i="11"/>
  <c r="AD156" i="11"/>
  <c r="AC156" i="11"/>
  <c r="Y156" i="11"/>
  <c r="AJ156" i="11" s="1"/>
  <c r="W156" i="11"/>
  <c r="Z156" i="11" s="1"/>
  <c r="AA156" i="11" s="1"/>
  <c r="AJ155" i="11"/>
  <c r="AI155" i="11"/>
  <c r="AH155" i="11"/>
  <c r="AG155" i="11"/>
  <c r="AF155" i="11"/>
  <c r="AE155" i="11"/>
  <c r="AD155" i="11"/>
  <c r="AC155" i="11"/>
  <c r="Y155" i="11"/>
  <c r="W155" i="11"/>
  <c r="Z155" i="11" s="1"/>
  <c r="AA155" i="11" s="1"/>
  <c r="AJ154" i="11"/>
  <c r="AI154" i="11"/>
  <c r="AH154" i="11"/>
  <c r="AG154" i="11"/>
  <c r="AF154" i="11"/>
  <c r="AE154" i="11"/>
  <c r="AD154" i="11"/>
  <c r="AC154" i="11"/>
  <c r="Y154" i="11"/>
  <c r="X154" i="11"/>
  <c r="W154" i="11"/>
  <c r="Z154" i="11" s="1"/>
  <c r="AA154" i="11" s="1"/>
  <c r="AJ153" i="11"/>
  <c r="AI153" i="11"/>
  <c r="AH153" i="11"/>
  <c r="AG153" i="11"/>
  <c r="AF153" i="11"/>
  <c r="AE153" i="11"/>
  <c r="AD153" i="11"/>
  <c r="AC153" i="11"/>
  <c r="Y153" i="11"/>
  <c r="W153" i="11"/>
  <c r="Z153" i="11" s="1"/>
  <c r="AA153" i="11" s="1"/>
  <c r="AK152" i="11"/>
  <c r="AJ152" i="11"/>
  <c r="AI152" i="11"/>
  <c r="AH152" i="11"/>
  <c r="AG152" i="11"/>
  <c r="AF152" i="11"/>
  <c r="AE152" i="11"/>
  <c r="AD152" i="11"/>
  <c r="AC152" i="11"/>
  <c r="AA152" i="11"/>
  <c r="Z152" i="11"/>
  <c r="Y152" i="11"/>
  <c r="W152" i="11"/>
  <c r="X152" i="11" s="1"/>
  <c r="AJ151" i="11"/>
  <c r="AI151" i="11"/>
  <c r="AH151" i="11"/>
  <c r="AG151" i="11"/>
  <c r="AF151" i="11"/>
  <c r="AE151" i="11"/>
  <c r="AD151" i="11"/>
  <c r="AC151" i="11"/>
  <c r="Y151" i="11"/>
  <c r="X151" i="11"/>
  <c r="W151" i="11"/>
  <c r="AK151" i="11" s="1"/>
  <c r="AI150" i="11"/>
  <c r="AH150" i="11"/>
  <c r="AG150" i="11"/>
  <c r="AF150" i="11"/>
  <c r="AE150" i="11"/>
  <c r="AD150" i="11"/>
  <c r="AC150" i="11"/>
  <c r="Y150" i="11"/>
  <c r="AJ150" i="11" s="1"/>
  <c r="W150" i="11"/>
  <c r="AK150" i="11" s="1"/>
  <c r="AI149" i="11"/>
  <c r="AH149" i="11"/>
  <c r="AG149" i="11"/>
  <c r="AF149" i="11"/>
  <c r="AE149" i="11"/>
  <c r="AD149" i="11"/>
  <c r="AC149" i="11"/>
  <c r="Y149" i="11"/>
  <c r="AJ149" i="11" s="1"/>
  <c r="W149" i="11"/>
  <c r="Z149" i="11" s="1"/>
  <c r="AA149" i="11" s="1"/>
  <c r="AI148" i="11"/>
  <c r="AH148" i="11"/>
  <c r="AG148" i="11"/>
  <c r="AF148" i="11"/>
  <c r="AE148" i="11"/>
  <c r="AD148" i="11"/>
  <c r="AC148" i="11"/>
  <c r="Y148" i="11"/>
  <c r="AJ148" i="11" s="1"/>
  <c r="W148" i="11"/>
  <c r="Z148" i="11" s="1"/>
  <c r="AA148" i="11" s="1"/>
  <c r="AJ147" i="11"/>
  <c r="AI147" i="11"/>
  <c r="AH147" i="11"/>
  <c r="AG147" i="11"/>
  <c r="AF147" i="11"/>
  <c r="AE147" i="11"/>
  <c r="AD147" i="11"/>
  <c r="AC147" i="11"/>
  <c r="Y147" i="11"/>
  <c r="W147" i="11"/>
  <c r="Z147" i="11" s="1"/>
  <c r="AA147" i="11" s="1"/>
  <c r="AJ146" i="11"/>
  <c r="AI146" i="11"/>
  <c r="AH146" i="11"/>
  <c r="AG146" i="11"/>
  <c r="AF146" i="11"/>
  <c r="AE146" i="11"/>
  <c r="AD146" i="11"/>
  <c r="AC146" i="11"/>
  <c r="Y146" i="11"/>
  <c r="X146" i="11"/>
  <c r="W146" i="11"/>
  <c r="Z146" i="11" s="1"/>
  <c r="AA146" i="11" s="1"/>
  <c r="AJ145" i="11"/>
  <c r="AI145" i="11"/>
  <c r="AH145" i="11"/>
  <c r="AG145" i="11"/>
  <c r="AF145" i="11"/>
  <c r="AE145" i="11"/>
  <c r="AD145" i="11"/>
  <c r="AC145" i="11"/>
  <c r="Y145" i="11"/>
  <c r="W145" i="11"/>
  <c r="Z145" i="11" s="1"/>
  <c r="AA145" i="11" s="1"/>
  <c r="AK144" i="11"/>
  <c r="AJ144" i="11"/>
  <c r="AI144" i="11"/>
  <c r="AH144" i="11"/>
  <c r="AG144" i="11"/>
  <c r="AF144" i="11"/>
  <c r="AE144" i="11"/>
  <c r="AD144" i="11"/>
  <c r="AC144" i="11"/>
  <c r="AA144" i="11"/>
  <c r="Z144" i="11"/>
  <c r="Y144" i="11"/>
  <c r="W144" i="11"/>
  <c r="X144" i="11" s="1"/>
  <c r="AJ143" i="11"/>
  <c r="AI143" i="11"/>
  <c r="AH143" i="11"/>
  <c r="AG143" i="11"/>
  <c r="AF143" i="11"/>
  <c r="AE143" i="11"/>
  <c r="AD143" i="11"/>
  <c r="AC143" i="11"/>
  <c r="Y143" i="11"/>
  <c r="X143" i="11"/>
  <c r="W143" i="11"/>
  <c r="AK143" i="11" s="1"/>
  <c r="AI142" i="11"/>
  <c r="AH142" i="11"/>
  <c r="AG142" i="11"/>
  <c r="AF142" i="11"/>
  <c r="AE142" i="11"/>
  <c r="AD142" i="11"/>
  <c r="AC142" i="11"/>
  <c r="Y142" i="11"/>
  <c r="AJ142" i="11" s="1"/>
  <c r="W142" i="11"/>
  <c r="AK142" i="11" s="1"/>
  <c r="AI141" i="11"/>
  <c r="AH141" i="11"/>
  <c r="AG141" i="11"/>
  <c r="AF141" i="11"/>
  <c r="AE141" i="11"/>
  <c r="AD141" i="11"/>
  <c r="AC141" i="11"/>
  <c r="Y141" i="11"/>
  <c r="AJ141" i="11" s="1"/>
  <c r="W141" i="11"/>
  <c r="Z141" i="11" s="1"/>
  <c r="AA141" i="11" s="1"/>
  <c r="AI140" i="11"/>
  <c r="AH140" i="11"/>
  <c r="AG140" i="11"/>
  <c r="AF140" i="11"/>
  <c r="AE140" i="11"/>
  <c r="AD140" i="11"/>
  <c r="AC140" i="11"/>
  <c r="Y140" i="11"/>
  <c r="AJ140" i="11" s="1"/>
  <c r="W140" i="11"/>
  <c r="Z140" i="11" s="1"/>
  <c r="AA140" i="11" s="1"/>
  <c r="AK139" i="11"/>
  <c r="AJ139" i="11"/>
  <c r="AI139" i="11"/>
  <c r="AH139" i="11"/>
  <c r="AG139" i="11"/>
  <c r="AF139" i="11"/>
  <c r="AE139" i="11"/>
  <c r="AD139" i="11"/>
  <c r="AC139" i="11"/>
  <c r="Y139" i="11"/>
  <c r="W139" i="11"/>
  <c r="Z139" i="11" s="1"/>
  <c r="AA139" i="11" s="1"/>
  <c r="AJ138" i="11"/>
  <c r="AI138" i="11"/>
  <c r="AH138" i="11"/>
  <c r="AG138" i="11"/>
  <c r="AF138" i="11"/>
  <c r="AE138" i="11"/>
  <c r="AD138" i="11"/>
  <c r="AC138" i="11"/>
  <c r="Y138" i="11"/>
  <c r="X138" i="11"/>
  <c r="W138" i="11"/>
  <c r="Z138" i="11" s="1"/>
  <c r="AA138" i="11" s="1"/>
  <c r="AJ137" i="11"/>
  <c r="AI137" i="11"/>
  <c r="AH137" i="11"/>
  <c r="AG137" i="11"/>
  <c r="AF137" i="11"/>
  <c r="AE137" i="11"/>
  <c r="AD137" i="11"/>
  <c r="AC137" i="11"/>
  <c r="Y137" i="11"/>
  <c r="W137" i="11"/>
  <c r="Z137" i="11" s="1"/>
  <c r="AA137" i="11" s="1"/>
  <c r="AK136" i="11"/>
  <c r="AJ136" i="11"/>
  <c r="AI136" i="11"/>
  <c r="AH136" i="11"/>
  <c r="AG136" i="11"/>
  <c r="AF136" i="11"/>
  <c r="AE136" i="11"/>
  <c r="AD136" i="11"/>
  <c r="AC136" i="11"/>
  <c r="AA136" i="11"/>
  <c r="Z136" i="11"/>
  <c r="Y136" i="11"/>
  <c r="W136" i="11"/>
  <c r="X136" i="11" s="1"/>
  <c r="AJ135" i="11"/>
  <c r="AI135" i="11"/>
  <c r="AH135" i="11"/>
  <c r="AG135" i="11"/>
  <c r="AF135" i="11"/>
  <c r="AE135" i="11"/>
  <c r="AD135" i="11"/>
  <c r="AC135" i="11"/>
  <c r="Y135" i="11"/>
  <c r="X135" i="11"/>
  <c r="W135" i="11"/>
  <c r="AK135" i="11" s="1"/>
  <c r="AI134" i="11"/>
  <c r="AH134" i="11"/>
  <c r="AG134" i="11"/>
  <c r="AF134" i="11"/>
  <c r="AE134" i="11"/>
  <c r="AD134" i="11"/>
  <c r="AC134" i="11"/>
  <c r="Y134" i="11"/>
  <c r="AJ134" i="11" s="1"/>
  <c r="W134" i="11"/>
  <c r="AK134" i="11" s="1"/>
  <c r="AI133" i="11"/>
  <c r="AH133" i="11"/>
  <c r="AG133" i="11"/>
  <c r="AF133" i="11"/>
  <c r="AE133" i="11"/>
  <c r="AD133" i="11"/>
  <c r="AC133" i="11"/>
  <c r="Y133" i="11"/>
  <c r="AJ133" i="11" s="1"/>
  <c r="W133" i="11"/>
  <c r="Z133" i="11" s="1"/>
  <c r="AA133" i="11" s="1"/>
  <c r="AI132" i="11"/>
  <c r="AH132" i="11"/>
  <c r="AG132" i="11"/>
  <c r="AF132" i="11"/>
  <c r="AE132" i="11"/>
  <c r="AD132" i="11"/>
  <c r="AC132" i="11"/>
  <c r="Y132" i="11"/>
  <c r="AJ132" i="11" s="1"/>
  <c r="W132" i="11"/>
  <c r="Z132" i="11" s="1"/>
  <c r="AA132" i="11" s="1"/>
  <c r="AJ131" i="11"/>
  <c r="AI131" i="11"/>
  <c r="AH131" i="11"/>
  <c r="AG131" i="11"/>
  <c r="AF131" i="11"/>
  <c r="AE131" i="11"/>
  <c r="AD131" i="11"/>
  <c r="AC131" i="11"/>
  <c r="Y131" i="11"/>
  <c r="W131" i="11"/>
  <c r="Z131" i="11" s="1"/>
  <c r="AA131" i="11" s="1"/>
  <c r="AK130" i="11"/>
  <c r="AJ130" i="11"/>
  <c r="AI130" i="11"/>
  <c r="AH130" i="11"/>
  <c r="AG130" i="11"/>
  <c r="AF130" i="11"/>
  <c r="AE130" i="11"/>
  <c r="AD130" i="11"/>
  <c r="AC130" i="11"/>
  <c r="Y130" i="11"/>
  <c r="X130" i="11"/>
  <c r="W130" i="11"/>
  <c r="Z130" i="11" s="1"/>
  <c r="AA130" i="11" s="1"/>
  <c r="AJ129" i="11"/>
  <c r="AI129" i="11"/>
  <c r="AH129" i="11"/>
  <c r="AG129" i="11"/>
  <c r="AF129" i="11"/>
  <c r="AE129" i="11"/>
  <c r="AD129" i="11"/>
  <c r="AC129" i="11"/>
  <c r="Y129" i="11"/>
  <c r="W129" i="11"/>
  <c r="Z129" i="11" s="1"/>
  <c r="AA129" i="11" s="1"/>
  <c r="AK128" i="11"/>
  <c r="AJ128" i="11"/>
  <c r="AI128" i="11"/>
  <c r="AH128" i="11"/>
  <c r="AG128" i="11"/>
  <c r="AF128" i="11"/>
  <c r="AE128" i="11"/>
  <c r="AD128" i="11"/>
  <c r="AC128" i="11"/>
  <c r="AA128" i="11"/>
  <c r="Z128" i="11"/>
  <c r="Y128" i="11"/>
  <c r="W128" i="11"/>
  <c r="X128" i="11" s="1"/>
  <c r="AJ127" i="11"/>
  <c r="AI127" i="11"/>
  <c r="AH127" i="11"/>
  <c r="AG127" i="11"/>
  <c r="AF127" i="11"/>
  <c r="AE127" i="11"/>
  <c r="AD127" i="11"/>
  <c r="AC127" i="11"/>
  <c r="Y127" i="11"/>
  <c r="X127" i="11"/>
  <c r="W127" i="11"/>
  <c r="AK127" i="11" s="1"/>
  <c r="AI126" i="11"/>
  <c r="AH126" i="11"/>
  <c r="AG126" i="11"/>
  <c r="AF126" i="11"/>
  <c r="AE126" i="11"/>
  <c r="AD126" i="11"/>
  <c r="AC126" i="11"/>
  <c r="Y126" i="11"/>
  <c r="AJ126" i="11" s="1"/>
  <c r="W126" i="11"/>
  <c r="AK126" i="11" s="1"/>
  <c r="AI125" i="11"/>
  <c r="AH125" i="11"/>
  <c r="AG125" i="11"/>
  <c r="AF125" i="11"/>
  <c r="AE125" i="11"/>
  <c r="AD125" i="11"/>
  <c r="AC125" i="11"/>
  <c r="Y125" i="11"/>
  <c r="AJ125" i="11" s="1"/>
  <c r="W125" i="11"/>
  <c r="Z125" i="11" s="1"/>
  <c r="AA125" i="11" s="1"/>
  <c r="AI124" i="11"/>
  <c r="AH124" i="11"/>
  <c r="AG124" i="11"/>
  <c r="AF124" i="11"/>
  <c r="AE124" i="11"/>
  <c r="AD124" i="11"/>
  <c r="AC124" i="11"/>
  <c r="Y124" i="11"/>
  <c r="AJ124" i="11" s="1"/>
  <c r="W124" i="11"/>
  <c r="Z124" i="11" s="1"/>
  <c r="AA124" i="11" s="1"/>
  <c r="AK123" i="11"/>
  <c r="AJ123" i="11"/>
  <c r="AI123" i="11"/>
  <c r="AH123" i="11"/>
  <c r="AG123" i="11"/>
  <c r="AF123" i="11"/>
  <c r="AE123" i="11"/>
  <c r="AD123" i="11"/>
  <c r="AC123" i="11"/>
  <c r="Y123" i="11"/>
  <c r="W123" i="11"/>
  <c r="Z123" i="11" s="1"/>
  <c r="AA123" i="11" s="1"/>
  <c r="AJ122" i="11"/>
  <c r="AI122" i="11"/>
  <c r="AH122" i="11"/>
  <c r="AG122" i="11"/>
  <c r="AF122" i="11"/>
  <c r="AE122" i="11"/>
  <c r="AD122" i="11"/>
  <c r="AC122" i="11"/>
  <c r="Y122" i="11"/>
  <c r="X122" i="11"/>
  <c r="W122" i="11"/>
  <c r="Z122" i="11" s="1"/>
  <c r="AA122" i="11" s="1"/>
  <c r="AJ121" i="11"/>
  <c r="AI121" i="11"/>
  <c r="AH121" i="11"/>
  <c r="AG121" i="11"/>
  <c r="AF121" i="11"/>
  <c r="AE121" i="11"/>
  <c r="AD121" i="11"/>
  <c r="AC121" i="11"/>
  <c r="Y121" i="11"/>
  <c r="W121" i="11"/>
  <c r="Z121" i="11" s="1"/>
  <c r="AA121" i="11" s="1"/>
  <c r="AK120" i="11"/>
  <c r="AJ120" i="11"/>
  <c r="AI120" i="11"/>
  <c r="AH120" i="11"/>
  <c r="AG120" i="11"/>
  <c r="AF120" i="11"/>
  <c r="AE120" i="11"/>
  <c r="AD120" i="11"/>
  <c r="AC120" i="11"/>
  <c r="AA120" i="11"/>
  <c r="Z120" i="11"/>
  <c r="Y120" i="11"/>
  <c r="W120" i="11"/>
  <c r="X120" i="11" s="1"/>
  <c r="AJ119" i="11"/>
  <c r="AI119" i="11"/>
  <c r="AH119" i="11"/>
  <c r="AG119" i="11"/>
  <c r="AF119" i="11"/>
  <c r="AE119" i="11"/>
  <c r="AD119" i="11"/>
  <c r="AC119" i="11"/>
  <c r="Y119" i="11"/>
  <c r="X119" i="11"/>
  <c r="W119" i="11"/>
  <c r="AK119" i="11" s="1"/>
  <c r="AI118" i="11"/>
  <c r="AH118" i="11"/>
  <c r="AG118" i="11"/>
  <c r="AF118" i="11"/>
  <c r="AE118" i="11"/>
  <c r="AD118" i="11"/>
  <c r="AC118" i="11"/>
  <c r="Y118" i="11"/>
  <c r="AJ118" i="11" s="1"/>
  <c r="W118" i="11"/>
  <c r="AK118" i="11" s="1"/>
  <c r="AI117" i="11"/>
  <c r="AH117" i="11"/>
  <c r="AG117" i="11"/>
  <c r="AF117" i="11"/>
  <c r="AE117" i="11"/>
  <c r="AD117" i="11"/>
  <c r="AC117" i="11"/>
  <c r="Y117" i="11"/>
  <c r="AJ117" i="11" s="1"/>
  <c r="W117" i="11"/>
  <c r="Z117" i="11" s="1"/>
  <c r="AA117" i="11" s="1"/>
  <c r="AI116" i="11"/>
  <c r="AH116" i="11"/>
  <c r="AG116" i="11"/>
  <c r="AF116" i="11"/>
  <c r="AE116" i="11"/>
  <c r="AD116" i="11"/>
  <c r="AC116" i="11"/>
  <c r="Y116" i="11"/>
  <c r="AJ116" i="11" s="1"/>
  <c r="W116" i="11"/>
  <c r="Z116" i="11" s="1"/>
  <c r="AA116" i="11" s="1"/>
  <c r="AJ115" i="11"/>
  <c r="AI115" i="11"/>
  <c r="AH115" i="11"/>
  <c r="AG115" i="11"/>
  <c r="AF115" i="11"/>
  <c r="AE115" i="11"/>
  <c r="AD115" i="11"/>
  <c r="AC115" i="11"/>
  <c r="Y115" i="11"/>
  <c r="W115" i="11"/>
  <c r="Z115" i="11" s="1"/>
  <c r="AA115" i="11" s="1"/>
  <c r="AJ114" i="11"/>
  <c r="AI114" i="11"/>
  <c r="AH114" i="11"/>
  <c r="AG114" i="11"/>
  <c r="AF114" i="11"/>
  <c r="AE114" i="11"/>
  <c r="AD114" i="11"/>
  <c r="AC114" i="11"/>
  <c r="Y114" i="11"/>
  <c r="X114" i="11"/>
  <c r="W114" i="11"/>
  <c r="Z114" i="11" s="1"/>
  <c r="AA114" i="11" s="1"/>
  <c r="AJ113" i="11"/>
  <c r="AI113" i="11"/>
  <c r="AH113" i="11"/>
  <c r="AG113" i="11"/>
  <c r="AF113" i="11"/>
  <c r="AE113" i="11"/>
  <c r="AD113" i="11"/>
  <c r="AC113" i="11"/>
  <c r="Y113" i="11"/>
  <c r="W113" i="11"/>
  <c r="Z113" i="11" s="1"/>
  <c r="AA113" i="11" s="1"/>
  <c r="AK112" i="11"/>
  <c r="AJ112" i="11"/>
  <c r="AI112" i="11"/>
  <c r="AH112" i="11"/>
  <c r="AG112" i="11"/>
  <c r="AF112" i="11"/>
  <c r="AE112" i="11"/>
  <c r="AD112" i="11"/>
  <c r="AC112" i="11"/>
  <c r="AA112" i="11"/>
  <c r="Z112" i="11"/>
  <c r="Y112" i="11"/>
  <c r="W112" i="11"/>
  <c r="X112" i="11" s="1"/>
  <c r="AJ111" i="11"/>
  <c r="AI111" i="11"/>
  <c r="AH111" i="11"/>
  <c r="AG111" i="11"/>
  <c r="AF111" i="11"/>
  <c r="AE111" i="11"/>
  <c r="AD111" i="11"/>
  <c r="AC111" i="11"/>
  <c r="Y111" i="11"/>
  <c r="X111" i="11"/>
  <c r="W111" i="11"/>
  <c r="AK111" i="11" s="1"/>
  <c r="AI110" i="11"/>
  <c r="AH110" i="11"/>
  <c r="AG110" i="11"/>
  <c r="AF110" i="11"/>
  <c r="AE110" i="11"/>
  <c r="AD110" i="11"/>
  <c r="AC110" i="11"/>
  <c r="Y110" i="11"/>
  <c r="AJ110" i="11" s="1"/>
  <c r="W110" i="11"/>
  <c r="AK110" i="11" s="1"/>
  <c r="AI109" i="11"/>
  <c r="AH109" i="11"/>
  <c r="AG109" i="11"/>
  <c r="AF109" i="11"/>
  <c r="AE109" i="11"/>
  <c r="AD109" i="11"/>
  <c r="AC109" i="11"/>
  <c r="Y109" i="11"/>
  <c r="AJ109" i="11" s="1"/>
  <c r="W109" i="11"/>
  <c r="Z109" i="11" s="1"/>
  <c r="AA109" i="11" s="1"/>
  <c r="AI108" i="11"/>
  <c r="AH108" i="11"/>
  <c r="AG108" i="11"/>
  <c r="AF108" i="11"/>
  <c r="AE108" i="11"/>
  <c r="AD108" i="11"/>
  <c r="AC108" i="11"/>
  <c r="Y108" i="11"/>
  <c r="AJ108" i="11" s="1"/>
  <c r="W108" i="11"/>
  <c r="Z108" i="11" s="1"/>
  <c r="AA108" i="11" s="1"/>
  <c r="AJ107" i="11"/>
  <c r="AI107" i="11"/>
  <c r="AH107" i="11"/>
  <c r="AG107" i="11"/>
  <c r="AF107" i="11"/>
  <c r="AE107" i="11"/>
  <c r="AD107" i="11"/>
  <c r="AC107" i="11"/>
  <c r="Y107" i="11"/>
  <c r="W107" i="11"/>
  <c r="Z107" i="11" s="1"/>
  <c r="AA107" i="11" s="1"/>
  <c r="AJ106" i="11"/>
  <c r="AI106" i="11"/>
  <c r="AH106" i="11"/>
  <c r="AG106" i="11"/>
  <c r="AF106" i="11"/>
  <c r="AE106" i="11"/>
  <c r="AD106" i="11"/>
  <c r="AC106" i="11"/>
  <c r="Y106" i="11"/>
  <c r="X106" i="11"/>
  <c r="W106" i="11"/>
  <c r="Z106" i="11" s="1"/>
  <c r="AA106" i="11" s="1"/>
  <c r="AJ105" i="11"/>
  <c r="AI105" i="11"/>
  <c r="AH105" i="11"/>
  <c r="AG105" i="11"/>
  <c r="AF105" i="11"/>
  <c r="AE105" i="11"/>
  <c r="AD105" i="11"/>
  <c r="AC105" i="11"/>
  <c r="Y105" i="11"/>
  <c r="W105" i="11"/>
  <c r="Z105" i="11" s="1"/>
  <c r="AA105" i="11" s="1"/>
  <c r="AK104" i="11"/>
  <c r="AJ104" i="11"/>
  <c r="AI104" i="11"/>
  <c r="AH104" i="11"/>
  <c r="AG104" i="11"/>
  <c r="AF104" i="11"/>
  <c r="AE104" i="11"/>
  <c r="AD104" i="11"/>
  <c r="AC104" i="11"/>
  <c r="AA104" i="11"/>
  <c r="Z104" i="11"/>
  <c r="Y104" i="11"/>
  <c r="W104" i="11"/>
  <c r="X104" i="11" s="1"/>
  <c r="AJ103" i="11"/>
  <c r="AI103" i="11"/>
  <c r="AH103" i="11"/>
  <c r="AG103" i="11"/>
  <c r="AF103" i="11"/>
  <c r="AE103" i="11"/>
  <c r="AD103" i="11"/>
  <c r="AC103" i="11"/>
  <c r="Y103" i="11"/>
  <c r="X103" i="11"/>
  <c r="W103" i="11"/>
  <c r="AK103" i="11" s="1"/>
  <c r="AI102" i="11"/>
  <c r="AH102" i="11"/>
  <c r="AG102" i="11"/>
  <c r="AF102" i="11"/>
  <c r="AE102" i="11"/>
  <c r="AD102" i="11"/>
  <c r="AC102" i="11"/>
  <c r="Y102" i="11"/>
  <c r="AJ102" i="11" s="1"/>
  <c r="W102" i="11"/>
  <c r="AK102" i="11" s="1"/>
  <c r="AI101" i="11"/>
  <c r="AH101" i="11"/>
  <c r="AG101" i="11"/>
  <c r="AF101" i="11"/>
  <c r="AE101" i="11"/>
  <c r="AD101" i="11"/>
  <c r="AC101" i="11"/>
  <c r="Y101" i="11"/>
  <c r="AJ101" i="11" s="1"/>
  <c r="W101" i="11"/>
  <c r="Z101" i="11" s="1"/>
  <c r="AA101" i="11" s="1"/>
  <c r="AI100" i="11"/>
  <c r="AH100" i="11"/>
  <c r="AG100" i="11"/>
  <c r="AF100" i="11"/>
  <c r="AE100" i="11"/>
  <c r="AD100" i="11"/>
  <c r="AC100" i="11"/>
  <c r="Y100" i="11"/>
  <c r="AJ100" i="11" s="1"/>
  <c r="W100" i="11"/>
  <c r="Z100" i="11" s="1"/>
  <c r="AA100" i="11" s="1"/>
  <c r="AJ99" i="11"/>
  <c r="AI99" i="11"/>
  <c r="AH99" i="11"/>
  <c r="AG99" i="11"/>
  <c r="AF99" i="11"/>
  <c r="AE99" i="11"/>
  <c r="AD99" i="11"/>
  <c r="AC99" i="11"/>
  <c r="Y99" i="11"/>
  <c r="W99" i="11"/>
  <c r="Z99" i="11" s="1"/>
  <c r="AA99" i="11" s="1"/>
  <c r="AJ98" i="11"/>
  <c r="AI98" i="11"/>
  <c r="AH98" i="11"/>
  <c r="AG98" i="11"/>
  <c r="AF98" i="11"/>
  <c r="AE98" i="11"/>
  <c r="AD98" i="11"/>
  <c r="AC98" i="11"/>
  <c r="Y98" i="11"/>
  <c r="X98" i="11"/>
  <c r="W98" i="11"/>
  <c r="Z98" i="11" s="1"/>
  <c r="AA98" i="11" s="1"/>
  <c r="AJ97" i="11"/>
  <c r="AI97" i="11"/>
  <c r="AH97" i="11"/>
  <c r="AG97" i="11"/>
  <c r="AF97" i="11"/>
  <c r="AE97" i="11"/>
  <c r="AD97" i="11"/>
  <c r="AC97" i="11"/>
  <c r="Y97" i="11"/>
  <c r="W97" i="11"/>
  <c r="Z97" i="11" s="1"/>
  <c r="AA97" i="11" s="1"/>
  <c r="AK96" i="11"/>
  <c r="AJ96" i="11"/>
  <c r="AI96" i="11"/>
  <c r="AH96" i="11"/>
  <c r="AG96" i="11"/>
  <c r="AF96" i="11"/>
  <c r="AE96" i="11"/>
  <c r="AD96" i="11"/>
  <c r="AC96" i="11"/>
  <c r="AA96" i="11"/>
  <c r="Z96" i="11"/>
  <c r="Y96" i="11"/>
  <c r="W96" i="11"/>
  <c r="X96" i="11" s="1"/>
  <c r="AJ95" i="11"/>
  <c r="AI95" i="11"/>
  <c r="AH95" i="11"/>
  <c r="AG95" i="11"/>
  <c r="AF95" i="11"/>
  <c r="AE95" i="11"/>
  <c r="AD95" i="11"/>
  <c r="AC95" i="11"/>
  <c r="Y95" i="11"/>
  <c r="X95" i="11"/>
  <c r="W95" i="11"/>
  <c r="AK95" i="11" s="1"/>
  <c r="AI94" i="11"/>
  <c r="AH94" i="11"/>
  <c r="AG94" i="11"/>
  <c r="AF94" i="11"/>
  <c r="AE94" i="11"/>
  <c r="AD94" i="11"/>
  <c r="AC94" i="11"/>
  <c r="Y94" i="11"/>
  <c r="AJ94" i="11" s="1"/>
  <c r="W94" i="11"/>
  <c r="AK94" i="11" s="1"/>
  <c r="AI93" i="11"/>
  <c r="AH93" i="11"/>
  <c r="AG93" i="11"/>
  <c r="AF93" i="11"/>
  <c r="AE93" i="11"/>
  <c r="AD93" i="11"/>
  <c r="AC93" i="11"/>
  <c r="Y93" i="11"/>
  <c r="AJ93" i="11" s="1"/>
  <c r="W93" i="11"/>
  <c r="Z93" i="11" s="1"/>
  <c r="AA93" i="11" s="1"/>
  <c r="AI92" i="11"/>
  <c r="AH92" i="11"/>
  <c r="AG92" i="11"/>
  <c r="AF92" i="11"/>
  <c r="AE92" i="11"/>
  <c r="AD92" i="11"/>
  <c r="AC92" i="11"/>
  <c r="Y92" i="11"/>
  <c r="AJ92" i="11" s="1"/>
  <c r="W92" i="11"/>
  <c r="Z92" i="11" s="1"/>
  <c r="AA92" i="11" s="1"/>
  <c r="AJ91" i="11"/>
  <c r="AI91" i="11"/>
  <c r="AH91" i="11"/>
  <c r="AG91" i="11"/>
  <c r="AF91" i="11"/>
  <c r="AE91" i="11"/>
  <c r="AD91" i="11"/>
  <c r="AC91" i="11"/>
  <c r="Y91" i="11"/>
  <c r="W91" i="11"/>
  <c r="Z91" i="11" s="1"/>
  <c r="AA91" i="11" s="1"/>
  <c r="AJ90" i="11"/>
  <c r="AI90" i="11"/>
  <c r="AH90" i="11"/>
  <c r="AG90" i="11"/>
  <c r="AF90" i="11"/>
  <c r="AE90" i="11"/>
  <c r="AD90" i="11"/>
  <c r="AC90" i="11"/>
  <c r="Y90" i="11"/>
  <c r="X90" i="11"/>
  <c r="W90" i="11"/>
  <c r="Z90" i="11" s="1"/>
  <c r="AA90" i="11" s="1"/>
  <c r="AJ89" i="11"/>
  <c r="AI89" i="11"/>
  <c r="AH89" i="11"/>
  <c r="AG89" i="11"/>
  <c r="AF89" i="11"/>
  <c r="AE89" i="11"/>
  <c r="AD89" i="11"/>
  <c r="AC89" i="11"/>
  <c r="Y89" i="11"/>
  <c r="W89" i="11"/>
  <c r="Z89" i="11" s="1"/>
  <c r="AA89" i="11" s="1"/>
  <c r="AK88" i="11"/>
  <c r="AJ88" i="11"/>
  <c r="AI88" i="11"/>
  <c r="AH88" i="11"/>
  <c r="AG88" i="11"/>
  <c r="AF88" i="11"/>
  <c r="AE88" i="11"/>
  <c r="AD88" i="11"/>
  <c r="AC88" i="11"/>
  <c r="AA88" i="11"/>
  <c r="Z88" i="11"/>
  <c r="Y88" i="11"/>
  <c r="W88" i="11"/>
  <c r="X88" i="11" s="1"/>
  <c r="AJ87" i="11"/>
  <c r="AI87" i="11"/>
  <c r="AH87" i="11"/>
  <c r="AG87" i="11"/>
  <c r="AF87" i="11"/>
  <c r="AE87" i="11"/>
  <c r="AD87" i="11"/>
  <c r="AC87" i="11"/>
  <c r="Y87" i="11"/>
  <c r="W87" i="11"/>
  <c r="AK87" i="11" s="1"/>
  <c r="AI86" i="11"/>
  <c r="AH86" i="11"/>
  <c r="AG86" i="11"/>
  <c r="AF86" i="11"/>
  <c r="AE86" i="11"/>
  <c r="AD86" i="11"/>
  <c r="AC86" i="11"/>
  <c r="Y86" i="11"/>
  <c r="AJ86" i="11" s="1"/>
  <c r="W86" i="11"/>
  <c r="AK86" i="11" s="1"/>
  <c r="AI85" i="11"/>
  <c r="AH85" i="11"/>
  <c r="AG85" i="11"/>
  <c r="AF85" i="11"/>
  <c r="AE85" i="11"/>
  <c r="AD85" i="11"/>
  <c r="AC85" i="11"/>
  <c r="Y85" i="11"/>
  <c r="AJ85" i="11" s="1"/>
  <c r="W85" i="11"/>
  <c r="Z85" i="11" s="1"/>
  <c r="AA85" i="11" s="1"/>
  <c r="AI84" i="11"/>
  <c r="AH84" i="11"/>
  <c r="AG84" i="11"/>
  <c r="AF84" i="11"/>
  <c r="AE84" i="11"/>
  <c r="AD84" i="11"/>
  <c r="AC84" i="11"/>
  <c r="Y84" i="11"/>
  <c r="AJ84" i="11" s="1"/>
  <c r="W84" i="11"/>
  <c r="Z84" i="11" s="1"/>
  <c r="AA84" i="11" s="1"/>
  <c r="AJ83" i="11"/>
  <c r="AI83" i="11"/>
  <c r="AH83" i="11"/>
  <c r="AG83" i="11"/>
  <c r="AF83" i="11"/>
  <c r="AE83" i="11"/>
  <c r="AD83" i="11"/>
  <c r="AC83" i="11"/>
  <c r="Y83" i="11"/>
  <c r="W83" i="11"/>
  <c r="Z83" i="11" s="1"/>
  <c r="AA83" i="11" s="1"/>
  <c r="AJ82" i="11"/>
  <c r="AI82" i="11"/>
  <c r="AH82" i="11"/>
  <c r="AG82" i="11"/>
  <c r="AF82" i="11"/>
  <c r="AE82" i="11"/>
  <c r="AD82" i="11"/>
  <c r="AC82" i="11"/>
  <c r="Y82" i="11"/>
  <c r="X82" i="11"/>
  <c r="W82" i="11"/>
  <c r="Z82" i="11" s="1"/>
  <c r="AA82" i="11" s="1"/>
  <c r="AJ81" i="11"/>
  <c r="AI81" i="11"/>
  <c r="AH81" i="11"/>
  <c r="AG81" i="11"/>
  <c r="AF81" i="11"/>
  <c r="AE81" i="11"/>
  <c r="AD81" i="11"/>
  <c r="AC81" i="11"/>
  <c r="Y81" i="11"/>
  <c r="W81" i="11"/>
  <c r="Z81" i="11" s="1"/>
  <c r="AA81" i="11" s="1"/>
  <c r="AK80" i="11"/>
  <c r="AJ80" i="11"/>
  <c r="AI80" i="11"/>
  <c r="AH80" i="11"/>
  <c r="AG80" i="11"/>
  <c r="AF80" i="11"/>
  <c r="AE80" i="11"/>
  <c r="AD80" i="11"/>
  <c r="AC80" i="11"/>
  <c r="AA80" i="11"/>
  <c r="Z80" i="11"/>
  <c r="Y80" i="11"/>
  <c r="W80" i="11"/>
  <c r="X80" i="11" s="1"/>
  <c r="AJ79" i="11"/>
  <c r="AI79" i="11"/>
  <c r="AH79" i="11"/>
  <c r="AG79" i="11"/>
  <c r="AF79" i="11"/>
  <c r="AE79" i="11"/>
  <c r="AD79" i="11"/>
  <c r="AC79" i="11"/>
  <c r="Y79" i="11"/>
  <c r="W79" i="11"/>
  <c r="AK79" i="11" s="1"/>
  <c r="AI78" i="11"/>
  <c r="AH78" i="11"/>
  <c r="AG78" i="11"/>
  <c r="AF78" i="11"/>
  <c r="AE78" i="11"/>
  <c r="AD78" i="11"/>
  <c r="AC78" i="11"/>
  <c r="Y78" i="11"/>
  <c r="AJ78" i="11" s="1"/>
  <c r="W78" i="11"/>
  <c r="AK78" i="11" s="1"/>
  <c r="AI77" i="11"/>
  <c r="AH77" i="11"/>
  <c r="AG77" i="11"/>
  <c r="AF77" i="11"/>
  <c r="AE77" i="11"/>
  <c r="AD77" i="11"/>
  <c r="AC77" i="11"/>
  <c r="Y77" i="11"/>
  <c r="AJ77" i="11" s="1"/>
  <c r="W77" i="11"/>
  <c r="Z77" i="11" s="1"/>
  <c r="AA77" i="11" s="1"/>
  <c r="AI76" i="11"/>
  <c r="AH76" i="11"/>
  <c r="AG76" i="11"/>
  <c r="AF76" i="11"/>
  <c r="AE76" i="11"/>
  <c r="AD76" i="11"/>
  <c r="AC76" i="11"/>
  <c r="Y76" i="11"/>
  <c r="AJ76" i="11" s="1"/>
  <c r="W76" i="11"/>
  <c r="Z76" i="11" s="1"/>
  <c r="AA76" i="11" s="1"/>
  <c r="AJ75" i="11"/>
  <c r="AI75" i="11"/>
  <c r="AH75" i="11"/>
  <c r="AG75" i="11"/>
  <c r="AF75" i="11"/>
  <c r="AE75" i="11"/>
  <c r="AD75" i="11"/>
  <c r="AC75" i="11"/>
  <c r="Y75" i="11"/>
  <c r="W75" i="11"/>
  <c r="Z75" i="11" s="1"/>
  <c r="AA75" i="11" s="1"/>
  <c r="AJ74" i="11"/>
  <c r="AI74" i="11"/>
  <c r="AH74" i="11"/>
  <c r="AG74" i="11"/>
  <c r="AF74" i="11"/>
  <c r="AE74" i="11"/>
  <c r="AD74" i="11"/>
  <c r="AC74" i="11"/>
  <c r="Y74" i="11"/>
  <c r="X74" i="11"/>
  <c r="W74" i="11"/>
  <c r="Z74" i="11" s="1"/>
  <c r="AA74" i="11" s="1"/>
  <c r="AJ73" i="11"/>
  <c r="AI73" i="11"/>
  <c r="AH73" i="11"/>
  <c r="AG73" i="11"/>
  <c r="AF73" i="11"/>
  <c r="AE73" i="11"/>
  <c r="AD73" i="11"/>
  <c r="AC73" i="11"/>
  <c r="Y73" i="11"/>
  <c r="W73" i="11"/>
  <c r="Z73" i="11" s="1"/>
  <c r="AA73" i="11" s="1"/>
  <c r="AK72" i="11"/>
  <c r="AJ72" i="11"/>
  <c r="AI72" i="11"/>
  <c r="AH72" i="11"/>
  <c r="AG72" i="11"/>
  <c r="AF72" i="11"/>
  <c r="AE72" i="11"/>
  <c r="AD72" i="11"/>
  <c r="AC72" i="11"/>
  <c r="Y72" i="11"/>
  <c r="Z72" i="11" s="1"/>
  <c r="AA72" i="11" s="1"/>
  <c r="W72" i="11"/>
  <c r="X72" i="11" s="1"/>
  <c r="AJ71" i="11"/>
  <c r="AI71" i="11"/>
  <c r="AH71" i="11"/>
  <c r="AG71" i="11"/>
  <c r="AF71" i="11"/>
  <c r="AE71" i="11"/>
  <c r="AD71" i="11"/>
  <c r="AC71" i="11"/>
  <c r="Y71" i="11"/>
  <c r="W71" i="11"/>
  <c r="AK71" i="11" s="1"/>
  <c r="AI70" i="11"/>
  <c r="AH70" i="11"/>
  <c r="AG70" i="11"/>
  <c r="AF70" i="11"/>
  <c r="AE70" i="11"/>
  <c r="AD70" i="11"/>
  <c r="AC70" i="11"/>
  <c r="Y70" i="11"/>
  <c r="AJ70" i="11" s="1"/>
  <c r="W70" i="11"/>
  <c r="AK70" i="11" s="1"/>
  <c r="AI69" i="11"/>
  <c r="AH69" i="11"/>
  <c r="AG69" i="11"/>
  <c r="AF69" i="11"/>
  <c r="AE69" i="11"/>
  <c r="AD69" i="11"/>
  <c r="AC69" i="11"/>
  <c r="Y69" i="11"/>
  <c r="AJ69" i="11" s="1"/>
  <c r="W69" i="11"/>
  <c r="Z69" i="11" s="1"/>
  <c r="AA69" i="11" s="1"/>
  <c r="AI68" i="11"/>
  <c r="AH68" i="11"/>
  <c r="AG68" i="11"/>
  <c r="AF68" i="11"/>
  <c r="AE68" i="11"/>
  <c r="AD68" i="11"/>
  <c r="AC68" i="11"/>
  <c r="Y68" i="11"/>
  <c r="AJ68" i="11" s="1"/>
  <c r="W68" i="11"/>
  <c r="Z68" i="11" s="1"/>
  <c r="AA68" i="11" s="1"/>
  <c r="AK67" i="11"/>
  <c r="AJ67" i="11"/>
  <c r="AI67" i="11"/>
  <c r="AH67" i="11"/>
  <c r="AG67" i="11"/>
  <c r="AF67" i="11"/>
  <c r="AE67" i="11"/>
  <c r="AD67" i="11"/>
  <c r="AC67" i="11"/>
  <c r="Y67" i="11"/>
  <c r="W67" i="11"/>
  <c r="Z67" i="11" s="1"/>
  <c r="AA67" i="11" s="1"/>
  <c r="AK66" i="11"/>
  <c r="AJ66" i="11"/>
  <c r="AI66" i="11"/>
  <c r="AH66" i="11"/>
  <c r="AG66" i="11"/>
  <c r="AF66" i="11"/>
  <c r="AE66" i="11"/>
  <c r="AD66" i="11"/>
  <c r="AC66" i="11"/>
  <c r="Y66" i="11"/>
  <c r="X66" i="11"/>
  <c r="W66" i="11"/>
  <c r="Z66" i="11" s="1"/>
  <c r="AA66" i="11" s="1"/>
  <c r="AK65" i="11"/>
  <c r="AJ65" i="11"/>
  <c r="AI65" i="11"/>
  <c r="AH65" i="11"/>
  <c r="AG65" i="11"/>
  <c r="AF65" i="11"/>
  <c r="AE65" i="11"/>
  <c r="AD65" i="11"/>
  <c r="Y65" i="11"/>
  <c r="W65" i="11"/>
  <c r="Z65" i="11" s="1"/>
  <c r="AA65" i="11" s="1"/>
  <c r="AK64" i="11"/>
  <c r="AJ64" i="11"/>
  <c r="AI64" i="11"/>
  <c r="AH64" i="11"/>
  <c r="AG64" i="11"/>
  <c r="AF64" i="11"/>
  <c r="AE64" i="11"/>
  <c r="AD64" i="11"/>
  <c r="AC64" i="11"/>
  <c r="Y64" i="11"/>
  <c r="Z64" i="11" s="1"/>
  <c r="AA64" i="11" s="1"/>
  <c r="W64" i="11"/>
  <c r="X64" i="11" s="1"/>
  <c r="AK63" i="11"/>
  <c r="AJ63" i="11"/>
  <c r="AI63" i="11"/>
  <c r="AH63" i="11"/>
  <c r="AG63" i="11"/>
  <c r="AF63" i="11"/>
  <c r="AE63" i="11"/>
  <c r="AD63" i="11"/>
  <c r="AC63" i="11"/>
  <c r="Y63" i="11"/>
  <c r="W63" i="11"/>
  <c r="Z63" i="11" s="1"/>
  <c r="AA63" i="11" s="1"/>
  <c r="AK62" i="11"/>
  <c r="AJ62" i="11"/>
  <c r="AI62" i="11"/>
  <c r="AH62" i="11"/>
  <c r="AG62" i="11"/>
  <c r="AF62" i="11"/>
  <c r="AE62" i="11"/>
  <c r="AD62" i="11"/>
  <c r="AC62" i="11"/>
  <c r="Y62" i="11"/>
  <c r="Z62" i="11" s="1"/>
  <c r="AA62" i="11" s="1"/>
  <c r="W62" i="11"/>
  <c r="X62" i="11" s="1"/>
  <c r="AK61" i="11"/>
  <c r="AJ61" i="11"/>
  <c r="AI61" i="11"/>
  <c r="AH61" i="11"/>
  <c r="AG61" i="11"/>
  <c r="AF61" i="11"/>
  <c r="AE61" i="11"/>
  <c r="AD61" i="11"/>
  <c r="AC61" i="11"/>
  <c r="Y61" i="11"/>
  <c r="W61" i="11"/>
  <c r="Z61" i="11" s="1"/>
  <c r="AA61" i="11" s="1"/>
  <c r="AK60" i="11"/>
  <c r="AJ60" i="11"/>
  <c r="AI60" i="11"/>
  <c r="AH60" i="11"/>
  <c r="AG60" i="11"/>
  <c r="AF60" i="11"/>
  <c r="AE60" i="11"/>
  <c r="AD60" i="11"/>
  <c r="AC60" i="11"/>
  <c r="Y60" i="11"/>
  <c r="W60" i="11"/>
  <c r="Z60" i="11" s="1"/>
  <c r="AA60" i="11" s="1"/>
  <c r="AK59" i="11"/>
  <c r="AJ59" i="11"/>
  <c r="AH59" i="11"/>
  <c r="AG59" i="11"/>
  <c r="AF59" i="11"/>
  <c r="AE59" i="11"/>
  <c r="AD59" i="11"/>
  <c r="Y59" i="11"/>
  <c r="W59" i="11"/>
  <c r="AC59" i="11" s="1"/>
  <c r="AK58" i="11"/>
  <c r="AJ58" i="11"/>
  <c r="AI58" i="11"/>
  <c r="AH58" i="11"/>
  <c r="AG58" i="11"/>
  <c r="AF58" i="11"/>
  <c r="AE58" i="11"/>
  <c r="AD58" i="11"/>
  <c r="AC58" i="11"/>
  <c r="Y58" i="11"/>
  <c r="X58" i="11"/>
  <c r="W58" i="11"/>
  <c r="Z58" i="11" s="1"/>
  <c r="AA58" i="11" s="1"/>
  <c r="AK57" i="11"/>
  <c r="AJ57" i="11"/>
  <c r="AI57" i="11"/>
  <c r="AH57" i="11"/>
  <c r="AG57" i="11"/>
  <c r="AF57" i="11"/>
  <c r="AE57" i="11"/>
  <c r="AC57" i="11"/>
  <c r="Y57" i="11"/>
  <c r="W57" i="11"/>
  <c r="Z57" i="11" s="1"/>
  <c r="AA57" i="11" s="1"/>
  <c r="AK56" i="11"/>
  <c r="AJ56" i="11"/>
  <c r="AH56" i="11"/>
  <c r="AG56" i="11"/>
  <c r="AF56" i="11"/>
  <c r="AE56" i="11"/>
  <c r="AD56" i="11"/>
  <c r="AC56" i="11"/>
  <c r="Y56" i="11"/>
  <c r="Z56" i="11" s="1"/>
  <c r="AA56" i="11" s="1"/>
  <c r="W56" i="11"/>
  <c r="X56" i="11" s="1"/>
  <c r="AI56" i="11" s="1"/>
  <c r="AK55" i="11"/>
  <c r="AJ55" i="11"/>
  <c r="AH55" i="11"/>
  <c r="AG55" i="11"/>
  <c r="AF55" i="11"/>
  <c r="AE55" i="11"/>
  <c r="AD55" i="11"/>
  <c r="AC55" i="11"/>
  <c r="Y55" i="11"/>
  <c r="W55" i="11"/>
  <c r="Z55" i="11" s="1"/>
  <c r="AA55" i="11" s="1"/>
  <c r="AK54" i="11"/>
  <c r="AJ54" i="11"/>
  <c r="AI54" i="11"/>
  <c r="AH54" i="11"/>
  <c r="AG54" i="11"/>
  <c r="AF54" i="11"/>
  <c r="AE54" i="11"/>
  <c r="AD54" i="11"/>
  <c r="AC54" i="11"/>
  <c r="Y54" i="11"/>
  <c r="Z54" i="11" s="1"/>
  <c r="AA54" i="11" s="1"/>
  <c r="W54" i="11"/>
  <c r="X54" i="11" s="1"/>
  <c r="AK53" i="11"/>
  <c r="AJ53" i="11"/>
  <c r="AI53" i="11"/>
  <c r="AH53" i="11"/>
  <c r="AG53" i="11"/>
  <c r="AF53" i="11"/>
  <c r="AE53" i="11"/>
  <c r="AD53" i="11"/>
  <c r="AC53" i="11"/>
  <c r="Y53" i="11"/>
  <c r="W53" i="11"/>
  <c r="Z53" i="11" s="1"/>
  <c r="AA53" i="11" s="1"/>
  <c r="AK52" i="11"/>
  <c r="AH52" i="11"/>
  <c r="AG52" i="11"/>
  <c r="AF52" i="11"/>
  <c r="AE52" i="11"/>
  <c r="AC52" i="11"/>
  <c r="Y52" i="11"/>
  <c r="AJ52" i="11" s="1"/>
  <c r="W52" i="11"/>
  <c r="Z52" i="11" s="1"/>
  <c r="AA52" i="11" s="1"/>
  <c r="AK51" i="11"/>
  <c r="AJ51" i="11"/>
  <c r="AI51" i="11"/>
  <c r="AH51" i="11"/>
  <c r="AG51" i="11"/>
  <c r="AF51" i="11"/>
  <c r="AE51" i="11"/>
  <c r="AD51" i="11"/>
  <c r="AC51" i="11"/>
  <c r="Y51" i="11"/>
  <c r="W51" i="11"/>
  <c r="Z51" i="11" s="1"/>
  <c r="AA51" i="11" s="1"/>
  <c r="AK50" i="11"/>
  <c r="AJ50" i="11"/>
  <c r="AI50" i="11"/>
  <c r="AH50" i="11"/>
  <c r="AG50" i="11"/>
  <c r="AF50" i="11"/>
  <c r="AE50" i="11"/>
  <c r="AC50" i="11"/>
  <c r="Y50" i="11"/>
  <c r="X50" i="11"/>
  <c r="W50" i="11"/>
  <c r="AD50" i="11" s="1"/>
  <c r="AK49" i="11"/>
  <c r="AJ49" i="11"/>
  <c r="AI49" i="11"/>
  <c r="AH49" i="11"/>
  <c r="AG49" i="11"/>
  <c r="AF49" i="11"/>
  <c r="AE49" i="11"/>
  <c r="AD49" i="11"/>
  <c r="AC49" i="11"/>
  <c r="Y49" i="11"/>
  <c r="W49" i="11"/>
  <c r="Z49" i="11" s="1"/>
  <c r="AA49" i="11" s="1"/>
  <c r="AK48" i="11"/>
  <c r="AJ48" i="11"/>
  <c r="AI48" i="11"/>
  <c r="AH48" i="11"/>
  <c r="AG48" i="11"/>
  <c r="AF48" i="11"/>
  <c r="AE48" i="11"/>
  <c r="AD48" i="11"/>
  <c r="AC48" i="11"/>
  <c r="Y48" i="11"/>
  <c r="Z48" i="11" s="1"/>
  <c r="AA48" i="11" s="1"/>
  <c r="W48" i="11"/>
  <c r="X48" i="11" s="1"/>
  <c r="AK47" i="11"/>
  <c r="AJ47" i="11"/>
  <c r="AI47" i="11"/>
  <c r="AH47" i="11"/>
  <c r="AG47" i="11"/>
  <c r="AF47" i="11"/>
  <c r="AE47" i="11"/>
  <c r="AD47" i="11"/>
  <c r="AC47" i="11"/>
  <c r="Y47" i="11"/>
  <c r="W47" i="11"/>
  <c r="Z47" i="11" s="1"/>
  <c r="AA47" i="11" s="1"/>
  <c r="AK46" i="11"/>
  <c r="AI46" i="11"/>
  <c r="AG46" i="11"/>
  <c r="AF46" i="11"/>
  <c r="AD46" i="11"/>
  <c r="AC46" i="11"/>
  <c r="Y46" i="11"/>
  <c r="Z46" i="11" s="1"/>
  <c r="AA46" i="11" s="1"/>
  <c r="W46" i="11"/>
  <c r="AE46" i="11" s="1"/>
  <c r="AK45" i="11"/>
  <c r="AJ45" i="11"/>
  <c r="AI45" i="11"/>
  <c r="AH45" i="11"/>
  <c r="AG45" i="11"/>
  <c r="AF45" i="11"/>
  <c r="AE45" i="11"/>
  <c r="AD45" i="11"/>
  <c r="AC45" i="11"/>
  <c r="Y45" i="11"/>
  <c r="W45" i="11"/>
  <c r="Z45" i="11" s="1"/>
  <c r="AA45" i="11" s="1"/>
  <c r="AK44" i="11"/>
  <c r="AI44" i="11"/>
  <c r="AG44" i="11"/>
  <c r="AF44" i="11"/>
  <c r="AD44" i="11"/>
  <c r="AC44" i="11"/>
  <c r="Y44" i="11"/>
  <c r="AJ44" i="11" s="1"/>
  <c r="W44" i="11"/>
  <c r="AE44" i="11" s="1"/>
  <c r="AK43" i="11"/>
  <c r="AJ43" i="11"/>
  <c r="AI43" i="11"/>
  <c r="AH43" i="11"/>
  <c r="AG43" i="11"/>
  <c r="AF43" i="11"/>
  <c r="AE43" i="11"/>
  <c r="AD43" i="11"/>
  <c r="AC43" i="11"/>
  <c r="Y43" i="11"/>
  <c r="W43" i="11"/>
  <c r="Z43" i="11" s="1"/>
  <c r="AA43" i="11" s="1"/>
  <c r="AK42" i="11"/>
  <c r="AJ42" i="11"/>
  <c r="AI42" i="11"/>
  <c r="AH42" i="11"/>
  <c r="AG42" i="11"/>
  <c r="AF42" i="11"/>
  <c r="AE42" i="11"/>
  <c r="AC42" i="11"/>
  <c r="Y42" i="11"/>
  <c r="X42" i="11"/>
  <c r="W42" i="11"/>
  <c r="AD42" i="11" s="1"/>
  <c r="AK41" i="11"/>
  <c r="AJ41" i="11"/>
  <c r="AI41" i="11"/>
  <c r="AH41" i="11"/>
  <c r="AG41" i="11"/>
  <c r="AF41" i="11"/>
  <c r="AE41" i="11"/>
  <c r="AD41" i="11"/>
  <c r="AC41" i="11"/>
  <c r="Y41" i="11"/>
  <c r="W41" i="11"/>
  <c r="Z41" i="11" s="1"/>
  <c r="AA41" i="11" s="1"/>
  <c r="AK40" i="11"/>
  <c r="AJ40" i="11"/>
  <c r="AI40" i="11"/>
  <c r="AH40" i="11"/>
  <c r="AG40" i="11"/>
  <c r="AF40" i="11"/>
  <c r="AE40" i="11"/>
  <c r="AD40" i="11"/>
  <c r="AC40" i="11"/>
  <c r="Y40" i="11"/>
  <c r="Z40" i="11" s="1"/>
  <c r="AA40" i="11" s="1"/>
  <c r="W40" i="11"/>
  <c r="X40" i="11" s="1"/>
  <c r="AK39" i="11"/>
  <c r="AJ39" i="11"/>
  <c r="AI39" i="11"/>
  <c r="AH39" i="11"/>
  <c r="AG39" i="11"/>
  <c r="AF39" i="11"/>
  <c r="AE39" i="11"/>
  <c r="AD39" i="11"/>
  <c r="AC39" i="11"/>
  <c r="Y39" i="11"/>
  <c r="W39" i="11"/>
  <c r="Z39" i="11" s="1"/>
  <c r="AA39" i="11" s="1"/>
  <c r="AK38" i="11"/>
  <c r="AI38" i="11"/>
  <c r="AG38" i="11"/>
  <c r="AF38" i="11"/>
  <c r="AD38" i="11"/>
  <c r="AC38" i="11"/>
  <c r="Y38" i="11"/>
  <c r="AJ38" i="11" s="1"/>
  <c r="W38" i="11"/>
  <c r="AE38" i="11" s="1"/>
  <c r="AK37" i="11"/>
  <c r="AI37" i="11"/>
  <c r="AG37" i="11"/>
  <c r="AF37" i="11"/>
  <c r="AD37" i="11"/>
  <c r="AC37" i="11"/>
  <c r="Y37" i="11"/>
  <c r="AJ37" i="11" s="1"/>
  <c r="W37" i="11"/>
  <c r="X37" i="11" s="1"/>
  <c r="AH37" i="11" s="1"/>
  <c r="AK36" i="11"/>
  <c r="AI36" i="11"/>
  <c r="AG36" i="11"/>
  <c r="AF36" i="11"/>
  <c r="AD36" i="11"/>
  <c r="AC36" i="11"/>
  <c r="Y36" i="11"/>
  <c r="AJ36" i="11" s="1"/>
  <c r="W36" i="11"/>
  <c r="AE36" i="11" s="1"/>
  <c r="AK35" i="11"/>
  <c r="AJ35" i="11"/>
  <c r="AI35" i="11"/>
  <c r="AG35" i="11"/>
  <c r="AF35" i="11"/>
  <c r="AE35" i="11"/>
  <c r="AD35" i="11"/>
  <c r="Y35" i="11"/>
  <c r="W35" i="11"/>
  <c r="AC35" i="11" s="1"/>
  <c r="AK34" i="11"/>
  <c r="AJ34" i="11"/>
  <c r="AI34" i="11"/>
  <c r="AH34" i="11"/>
  <c r="AG34" i="11"/>
  <c r="AF34" i="11"/>
  <c r="AD34" i="11"/>
  <c r="AC34" i="11"/>
  <c r="Y34" i="11"/>
  <c r="X34" i="11"/>
  <c r="W34" i="11"/>
  <c r="Z34" i="11" s="1"/>
  <c r="AA34" i="11" s="1"/>
  <c r="AK33" i="11"/>
  <c r="AJ33" i="11"/>
  <c r="AI33" i="11"/>
  <c r="AG33" i="11"/>
  <c r="AF33" i="11"/>
  <c r="AE33" i="11"/>
  <c r="AD33" i="11"/>
  <c r="Y33" i="11"/>
  <c r="W33" i="11"/>
  <c r="Z33" i="11" s="1"/>
  <c r="AA33" i="11" s="1"/>
  <c r="AK32" i="11"/>
  <c r="AJ32" i="11"/>
  <c r="AI32" i="11"/>
  <c r="AG32" i="11"/>
  <c r="AF32" i="11"/>
  <c r="AE32" i="11"/>
  <c r="AD32" i="11"/>
  <c r="Y32" i="11"/>
  <c r="Z32" i="11" s="1"/>
  <c r="AA32" i="11" s="1"/>
  <c r="W32" i="11"/>
  <c r="X32" i="11" s="1"/>
  <c r="AH32" i="11" s="1"/>
  <c r="AK31" i="11"/>
  <c r="AJ31" i="11"/>
  <c r="AI31" i="11"/>
  <c r="AG31" i="11"/>
  <c r="AF31" i="11"/>
  <c r="AE31" i="11"/>
  <c r="AD31" i="11"/>
  <c r="AC31" i="11"/>
  <c r="Y31" i="11"/>
  <c r="W31" i="11"/>
  <c r="Z31" i="11" s="1"/>
  <c r="AA31" i="11" s="1"/>
  <c r="AK30" i="11"/>
  <c r="AJ30" i="11"/>
  <c r="AI30" i="11"/>
  <c r="AH30" i="11"/>
  <c r="AG30" i="11"/>
  <c r="AF30" i="11"/>
  <c r="AE30" i="11"/>
  <c r="AD30" i="11"/>
  <c r="AC30" i="11"/>
  <c r="Y30" i="11"/>
  <c r="Z30" i="11" s="1"/>
  <c r="AA30" i="11" s="1"/>
  <c r="W30" i="11"/>
  <c r="X30" i="11" s="1"/>
  <c r="AK29" i="11"/>
  <c r="AJ29" i="11"/>
  <c r="AI29" i="11"/>
  <c r="AH29" i="11"/>
  <c r="AG29" i="11"/>
  <c r="AF29" i="11"/>
  <c r="AE29" i="11"/>
  <c r="AD29" i="11"/>
  <c r="AC29" i="11"/>
  <c r="Y29" i="11"/>
  <c r="W29" i="11"/>
  <c r="X29" i="11" s="1"/>
  <c r="AK28" i="11"/>
  <c r="AJ28" i="11"/>
  <c r="AI28" i="11"/>
  <c r="AH28" i="11"/>
  <c r="AG28" i="11"/>
  <c r="AF28" i="11"/>
  <c r="AE28" i="11"/>
  <c r="AD28" i="11"/>
  <c r="AC28" i="11"/>
  <c r="Y28" i="11"/>
  <c r="W28" i="11"/>
  <c r="Z28" i="11" s="1"/>
  <c r="AA28" i="11" s="1"/>
  <c r="AK27" i="11"/>
  <c r="AJ27" i="11"/>
  <c r="AI27" i="11"/>
  <c r="AG27" i="11"/>
  <c r="AF27" i="11"/>
  <c r="AE27" i="11"/>
  <c r="AD27" i="11"/>
  <c r="Y27" i="11"/>
  <c r="W27" i="11"/>
  <c r="AC27" i="11" s="1"/>
  <c r="AK26" i="11"/>
  <c r="AJ26" i="11"/>
  <c r="AI26" i="11"/>
  <c r="AH26" i="11"/>
  <c r="AG26" i="11"/>
  <c r="AF26" i="11"/>
  <c r="AE26" i="11"/>
  <c r="AC26" i="11"/>
  <c r="Y26" i="11"/>
  <c r="X26" i="11"/>
  <c r="W26" i="11"/>
  <c r="AD26" i="11" s="1"/>
  <c r="AK25" i="11"/>
  <c r="AJ25" i="11"/>
  <c r="AI25" i="11"/>
  <c r="AH25" i="11"/>
  <c r="AF25" i="11"/>
  <c r="AD25" i="11"/>
  <c r="AC25" i="11"/>
  <c r="Y25" i="11"/>
  <c r="W25" i="11"/>
  <c r="Z25" i="11" s="1"/>
  <c r="AA25" i="11" s="1"/>
  <c r="AK24" i="11"/>
  <c r="AJ24" i="11"/>
  <c r="AI24" i="11"/>
  <c r="AH24" i="11"/>
  <c r="AG24" i="11"/>
  <c r="AF24" i="11"/>
  <c r="AE24" i="11"/>
  <c r="AD24" i="11"/>
  <c r="AC24" i="11"/>
  <c r="Z24" i="11"/>
  <c r="AA24" i="11" s="1"/>
  <c r="Y24" i="11"/>
  <c r="W24" i="11"/>
  <c r="X24" i="11" s="1"/>
  <c r="AK23" i="11"/>
  <c r="AJ23" i="11"/>
  <c r="AI23" i="11"/>
  <c r="AH23" i="11"/>
  <c r="AG23" i="11"/>
  <c r="AF23" i="11"/>
  <c r="AE23" i="11"/>
  <c r="AD23" i="11"/>
  <c r="AC23" i="11"/>
  <c r="Y23" i="11"/>
  <c r="X23" i="11"/>
  <c r="W23" i="11"/>
  <c r="Z23" i="11" s="1"/>
  <c r="AA23" i="11" s="1"/>
  <c r="AK22" i="11"/>
  <c r="AI22" i="11"/>
  <c r="AH22" i="11"/>
  <c r="AF22" i="11"/>
  <c r="AD22" i="11"/>
  <c r="AC22" i="11"/>
  <c r="Y22" i="11"/>
  <c r="AJ22" i="11" s="1"/>
  <c r="W22" i="11"/>
  <c r="AE22" i="11" s="1"/>
  <c r="AK21" i="11"/>
  <c r="AJ21" i="11"/>
  <c r="AI21" i="11"/>
  <c r="AH21" i="11"/>
  <c r="AG21" i="11"/>
  <c r="AF21" i="11"/>
  <c r="AE21" i="11"/>
  <c r="AD21" i="11"/>
  <c r="AC21" i="11"/>
  <c r="Y21" i="11"/>
  <c r="W21" i="11"/>
  <c r="X21" i="11" s="1"/>
  <c r="AK20" i="11"/>
  <c r="AJ20" i="11"/>
  <c r="AI20" i="11"/>
  <c r="AH20" i="11"/>
  <c r="AG20" i="11"/>
  <c r="AF20" i="11"/>
  <c r="AE20" i="11"/>
  <c r="AD20" i="11"/>
  <c r="AC20" i="11"/>
  <c r="Y20" i="11"/>
  <c r="W20" i="11"/>
  <c r="Z20" i="11" s="1"/>
  <c r="AA20" i="11" s="1"/>
  <c r="AK19" i="11"/>
  <c r="AJ19" i="11"/>
  <c r="AI19" i="11"/>
  <c r="AH19" i="11"/>
  <c r="AG19" i="11"/>
  <c r="AF19" i="11"/>
  <c r="AE19" i="11"/>
  <c r="AD19" i="11"/>
  <c r="AC19" i="11"/>
  <c r="Y19" i="11"/>
  <c r="W19" i="11"/>
  <c r="Z19" i="11" s="1"/>
  <c r="AA19" i="11" s="1"/>
  <c r="AK18" i="11"/>
  <c r="AJ18" i="11"/>
  <c r="AI18" i="11"/>
  <c r="AH18" i="11"/>
  <c r="AG18" i="11"/>
  <c r="AF18" i="11"/>
  <c r="AE18" i="11"/>
  <c r="AD18" i="11"/>
  <c r="AC18" i="11"/>
  <c r="Y18" i="11"/>
  <c r="X18" i="11"/>
  <c r="W18" i="11"/>
  <c r="Z18" i="11" s="1"/>
  <c r="AA18" i="11" s="1"/>
  <c r="AK17" i="11"/>
  <c r="AJ17" i="11"/>
  <c r="AI17" i="11"/>
  <c r="AH17" i="11"/>
  <c r="AG17" i="11"/>
  <c r="AF17" i="11"/>
  <c r="AE17" i="11"/>
  <c r="AD17" i="11"/>
  <c r="AC17" i="11"/>
  <c r="Y17" i="11"/>
  <c r="W17" i="11"/>
  <c r="Z17" i="11" s="1"/>
  <c r="AA17" i="11" s="1"/>
  <c r="AK16" i="11"/>
  <c r="AJ16" i="11"/>
  <c r="AI16" i="11"/>
  <c r="AH16" i="11"/>
  <c r="AF16" i="11"/>
  <c r="AE16" i="11"/>
  <c r="AD16" i="11"/>
  <c r="AC16" i="11"/>
  <c r="Z16" i="11"/>
  <c r="AA16" i="11" s="1"/>
  <c r="Y16" i="11"/>
  <c r="W16" i="11"/>
  <c r="X16" i="11" s="1"/>
  <c r="AG16" i="11" s="1"/>
  <c r="AK15" i="11"/>
  <c r="AJ15" i="11"/>
  <c r="AI15" i="11"/>
  <c r="AH15" i="11"/>
  <c r="AF15" i="11"/>
  <c r="AE15" i="11"/>
  <c r="AD15" i="11"/>
  <c r="AC15" i="11"/>
  <c r="Y15" i="11"/>
  <c r="W15" i="11"/>
  <c r="Z15" i="11" s="1"/>
  <c r="AA15" i="11" s="1"/>
  <c r="AK14" i="11"/>
  <c r="AI14" i="11"/>
  <c r="AH14" i="11"/>
  <c r="AF14" i="11"/>
  <c r="AE14" i="11"/>
  <c r="AD14" i="11"/>
  <c r="AC14" i="11"/>
  <c r="Y14" i="11"/>
  <c r="AJ14" i="11" s="1"/>
  <c r="W14" i="11"/>
  <c r="X14" i="11" s="1"/>
  <c r="AG14" i="11" s="1"/>
  <c r="AK13" i="11"/>
  <c r="AI13" i="11"/>
  <c r="AH13" i="11"/>
  <c r="AF13" i="11"/>
  <c r="AE13" i="11"/>
  <c r="AD13" i="11"/>
  <c r="Y13" i="11"/>
  <c r="AJ13" i="11" s="1"/>
  <c r="W13" i="11"/>
  <c r="AC13" i="11" s="1"/>
  <c r="AK12" i="11"/>
  <c r="AI12" i="11"/>
  <c r="AH12" i="11"/>
  <c r="AF12" i="11"/>
  <c r="AE12" i="11"/>
  <c r="AC12" i="11"/>
  <c r="Y12" i="11"/>
  <c r="AJ12" i="11" s="1"/>
  <c r="W12" i="11"/>
  <c r="AD12" i="11" s="1"/>
  <c r="AK11" i="11"/>
  <c r="AJ11" i="11"/>
  <c r="AI11" i="11"/>
  <c r="AH11" i="11"/>
  <c r="AF11" i="11"/>
  <c r="AE11" i="11"/>
  <c r="AC11" i="11"/>
  <c r="Y11" i="11"/>
  <c r="W11" i="11"/>
  <c r="AD11" i="11" s="1"/>
  <c r="AK10" i="11"/>
  <c r="AJ10" i="11"/>
  <c r="AI10" i="11"/>
  <c r="AH10" i="11"/>
  <c r="AF10" i="11"/>
  <c r="AE10" i="11"/>
  <c r="AC10" i="11"/>
  <c r="Y10" i="11"/>
  <c r="X10" i="11"/>
  <c r="AG10" i="11" s="1"/>
  <c r="W10" i="11"/>
  <c r="AD10" i="11" s="1"/>
  <c r="AK9" i="11"/>
  <c r="AJ9" i="11"/>
  <c r="AI9" i="11"/>
  <c r="AH9" i="11"/>
  <c r="AF9" i="11"/>
  <c r="AE9" i="11"/>
  <c r="AC9" i="11"/>
  <c r="Y9" i="11"/>
  <c r="W9" i="11"/>
  <c r="Z9" i="11" s="1"/>
  <c r="AA9" i="11" s="1"/>
  <c r="AK8" i="11"/>
  <c r="AJ8" i="11"/>
  <c r="AI8" i="11"/>
  <c r="AH8" i="11"/>
  <c r="AF8" i="11"/>
  <c r="AE8" i="11"/>
  <c r="AD8" i="11"/>
  <c r="AC8" i="11"/>
  <c r="Y8" i="11"/>
  <c r="Z8" i="11" s="1"/>
  <c r="AA8" i="11" s="1"/>
  <c r="W8" i="11"/>
  <c r="X8" i="11" s="1"/>
  <c r="AG8" i="11" s="1"/>
  <c r="AK7" i="11"/>
  <c r="AJ7" i="11"/>
  <c r="AI7" i="11"/>
  <c r="AH7" i="11"/>
  <c r="AF7" i="11"/>
  <c r="AE7" i="11"/>
  <c r="AD7" i="11"/>
  <c r="AC7" i="11"/>
  <c r="Y7" i="11"/>
  <c r="W7" i="11"/>
  <c r="Z7" i="11" s="1"/>
  <c r="AA7" i="11" s="1"/>
  <c r="AK6" i="11"/>
  <c r="AJ6" i="11"/>
  <c r="AI6" i="11"/>
  <c r="AH6" i="11"/>
  <c r="AG6" i="11"/>
  <c r="AF6" i="11"/>
  <c r="AE6" i="11"/>
  <c r="AD6" i="11"/>
  <c r="AC6" i="11"/>
  <c r="Y6" i="11"/>
  <c r="Z6" i="11" s="1"/>
  <c r="AA6" i="11" s="1"/>
  <c r="W6" i="11"/>
  <c r="X6" i="11" s="1"/>
  <c r="AK5" i="11"/>
  <c r="AI5" i="11"/>
  <c r="AH5" i="11"/>
  <c r="AF5" i="11"/>
  <c r="AE5" i="11"/>
  <c r="AC5" i="11"/>
  <c r="Y5" i="11"/>
  <c r="AJ5" i="11" s="1"/>
  <c r="W5" i="11"/>
  <c r="X5" i="11" s="1"/>
  <c r="AG5" i="11" s="1"/>
  <c r="AK4" i="11"/>
  <c r="AI4" i="11"/>
  <c r="AH4" i="11"/>
  <c r="AF4" i="11"/>
  <c r="AE4" i="11"/>
  <c r="AD4" i="11"/>
  <c r="Y4" i="11"/>
  <c r="AJ4" i="11" s="1"/>
  <c r="W4" i="11"/>
  <c r="AC4" i="11" s="1"/>
  <c r="AK3" i="11"/>
  <c r="AJ3" i="11"/>
  <c r="AI3" i="11"/>
  <c r="AH3" i="11"/>
  <c r="AF3" i="11"/>
  <c r="AE3" i="11"/>
  <c r="AC3" i="11"/>
  <c r="Y3" i="11"/>
  <c r="W3" i="11"/>
  <c r="AD3" i="11" s="1"/>
  <c r="AK2" i="11"/>
  <c r="AJ2" i="11"/>
  <c r="AI2" i="11"/>
  <c r="AH2" i="11"/>
  <c r="AF2" i="11"/>
  <c r="AE2" i="11"/>
  <c r="AC2" i="11"/>
  <c r="Y2" i="11"/>
  <c r="X2" i="11"/>
  <c r="AG2" i="11" s="1"/>
  <c r="W2" i="11"/>
  <c r="Z2" i="11" s="1"/>
  <c r="AA2" i="11" s="1"/>
  <c r="Y51" i="7"/>
  <c r="Y50" i="7"/>
  <c r="Y49" i="7"/>
  <c r="Y48" i="7"/>
  <c r="Y47" i="7"/>
  <c r="Y46" i="7"/>
  <c r="Y45" i="7"/>
  <c r="Y44" i="7"/>
  <c r="Y43" i="7"/>
  <c r="Y42" i="7"/>
  <c r="Y41" i="7"/>
  <c r="Y40" i="7"/>
  <c r="Y39" i="7"/>
  <c r="Y38" i="7"/>
  <c r="Y37" i="7"/>
  <c r="Y36" i="7"/>
  <c r="Y35" i="7"/>
  <c r="Y34" i="7"/>
  <c r="Y33" i="7"/>
  <c r="Y32" i="7"/>
  <c r="Y31" i="7"/>
  <c r="Y30" i="7"/>
  <c r="Y29" i="7"/>
  <c r="Y28" i="7"/>
  <c r="Y27" i="7"/>
  <c r="Y26" i="7"/>
  <c r="Y25" i="7"/>
  <c r="Y24" i="7"/>
  <c r="Y23" i="7"/>
  <c r="Y22" i="7"/>
  <c r="Y21" i="7"/>
  <c r="Y20" i="7"/>
  <c r="Y19" i="7"/>
  <c r="Y18" i="7"/>
  <c r="Y17" i="7"/>
  <c r="Y16" i="7"/>
  <c r="Y15" i="7"/>
  <c r="Y14" i="7"/>
  <c r="Y13" i="7"/>
  <c r="Y12" i="7"/>
  <c r="Y11" i="7"/>
  <c r="Y10" i="7"/>
  <c r="Y9" i="7"/>
  <c r="Y8" i="7"/>
  <c r="Y7" i="7"/>
  <c r="Y6" i="7"/>
  <c r="Y5" i="7"/>
  <c r="Y4" i="7"/>
  <c r="Y3" i="7"/>
  <c r="Y2" i="7"/>
  <c r="Y51" i="6"/>
  <c r="Y50" i="6"/>
  <c r="Y49" i="6"/>
  <c r="Y48" i="6"/>
  <c r="Y47" i="6"/>
  <c r="Y46" i="6"/>
  <c r="Y45" i="6"/>
  <c r="Y44" i="6"/>
  <c r="Y43" i="6"/>
  <c r="Y42" i="6"/>
  <c r="Y41" i="6"/>
  <c r="Y40" i="6"/>
  <c r="Y39" i="6"/>
  <c r="Y38" i="6"/>
  <c r="Y37" i="6"/>
  <c r="Y36" i="6"/>
  <c r="Y35" i="6"/>
  <c r="Y34" i="6"/>
  <c r="Y33" i="6"/>
  <c r="Y32" i="6"/>
  <c r="Y31" i="6"/>
  <c r="Y30" i="6"/>
  <c r="Y29" i="6"/>
  <c r="Y28" i="6"/>
  <c r="Y27" i="6"/>
  <c r="Y26" i="6"/>
  <c r="Y25" i="6"/>
  <c r="Y24" i="6"/>
  <c r="Y23" i="6"/>
  <c r="Y22" i="6"/>
  <c r="Y21" i="6"/>
  <c r="Y20" i="6"/>
  <c r="Y19" i="6"/>
  <c r="Y18" i="6"/>
  <c r="Y17" i="6"/>
  <c r="Y16" i="6"/>
  <c r="Y15" i="6"/>
  <c r="Y14" i="6"/>
  <c r="Y13" i="6"/>
  <c r="Y12" i="6"/>
  <c r="Y11" i="6"/>
  <c r="Y10" i="6"/>
  <c r="Y9" i="6"/>
  <c r="Y8" i="6"/>
  <c r="Y7" i="6"/>
  <c r="Y6" i="6"/>
  <c r="Y5" i="6"/>
  <c r="Y4" i="6"/>
  <c r="Y3" i="6"/>
  <c r="Y2" i="6"/>
  <c r="Y51" i="5"/>
  <c r="Y50" i="5"/>
  <c r="Y49" i="5"/>
  <c r="Y48" i="5"/>
  <c r="Y47" i="5"/>
  <c r="Y46" i="5"/>
  <c r="Y45" i="5"/>
  <c r="Y44" i="5"/>
  <c r="Y43" i="5"/>
  <c r="Y42" i="5"/>
  <c r="Y41" i="5"/>
  <c r="Y40" i="5"/>
  <c r="Y39" i="5"/>
  <c r="Y38" i="5"/>
  <c r="Y37" i="5"/>
  <c r="Y36" i="5"/>
  <c r="Y35" i="5"/>
  <c r="Y34" i="5"/>
  <c r="Y33" i="5"/>
  <c r="Y32" i="5"/>
  <c r="Y31" i="5"/>
  <c r="Y30" i="5"/>
  <c r="Y29" i="5"/>
  <c r="Y28" i="5"/>
  <c r="Y27" i="5"/>
  <c r="Y26" i="5"/>
  <c r="Y25" i="5"/>
  <c r="Y24" i="5"/>
  <c r="Y23" i="5"/>
  <c r="Y22" i="5"/>
  <c r="Y21" i="5"/>
  <c r="Y20" i="5"/>
  <c r="Y19" i="5"/>
  <c r="Y18" i="5"/>
  <c r="Y17" i="5"/>
  <c r="Y16" i="5"/>
  <c r="Y15" i="5"/>
  <c r="Y14" i="5"/>
  <c r="Y13" i="5"/>
  <c r="Y12" i="5"/>
  <c r="Y11" i="5"/>
  <c r="Y10" i="5"/>
  <c r="Y9" i="5"/>
  <c r="Y8" i="5"/>
  <c r="Y7" i="5"/>
  <c r="Y6" i="5"/>
  <c r="Y5" i="5"/>
  <c r="Y4" i="5"/>
  <c r="Y3" i="5"/>
  <c r="Y2" i="5"/>
  <c r="Y7" i="4"/>
  <c r="Y6" i="4"/>
  <c r="Y5" i="4"/>
  <c r="Y4" i="4"/>
  <c r="Y3" i="4"/>
  <c r="Y2" i="4"/>
  <c r="Y11" i="3"/>
  <c r="Y10" i="3"/>
  <c r="Y9" i="3"/>
  <c r="Y8" i="3"/>
  <c r="Y7" i="3"/>
  <c r="Y6" i="3"/>
  <c r="Y5" i="3"/>
  <c r="Y4" i="3"/>
  <c r="Y3" i="3"/>
  <c r="Y2" i="3"/>
  <c r="Y26" i="2"/>
  <c r="Y25" i="2"/>
  <c r="Y24" i="2"/>
  <c r="Y23" i="2"/>
  <c r="Y22" i="2"/>
  <c r="Y21" i="2"/>
  <c r="Y20" i="2"/>
  <c r="Y19" i="2"/>
  <c r="Y18" i="2"/>
  <c r="Y17" i="2"/>
  <c r="Y16" i="2"/>
  <c r="Y15" i="2"/>
  <c r="Y14" i="2"/>
  <c r="Y13" i="2"/>
  <c r="Y12" i="2"/>
  <c r="Y11" i="2"/>
  <c r="Y10" i="2"/>
  <c r="Y9" i="2"/>
  <c r="Y8" i="2"/>
  <c r="Y7" i="2"/>
  <c r="Y6" i="2"/>
  <c r="Y5" i="2"/>
  <c r="Y4" i="2"/>
  <c r="Y3" i="2"/>
  <c r="Y2" i="2"/>
  <c r="Y25" i="1"/>
  <c r="Y24" i="1"/>
  <c r="Y23" i="1"/>
  <c r="Y22" i="1"/>
  <c r="Y21" i="1"/>
  <c r="Y20" i="1"/>
  <c r="Y19" i="1"/>
  <c r="Y18" i="1"/>
  <c r="Y17" i="1"/>
  <c r="Y16" i="1"/>
  <c r="Y15" i="1"/>
  <c r="Y14" i="1"/>
  <c r="Y13" i="1"/>
  <c r="Y12" i="1"/>
  <c r="Y11" i="1"/>
  <c r="Y10" i="1"/>
  <c r="Y9" i="1"/>
  <c r="Y8" i="1"/>
  <c r="Y7" i="1"/>
  <c r="Y6" i="1"/>
  <c r="Y5" i="1"/>
  <c r="Y4" i="1"/>
  <c r="Y3" i="1"/>
  <c r="Y2" i="1"/>
  <c r="X15" i="11" l="1"/>
  <c r="AG15" i="11" s="1"/>
  <c r="X31" i="11"/>
  <c r="AH31" i="11" s="1"/>
  <c r="AC33" i="11"/>
  <c r="AE34" i="11"/>
  <c r="X39" i="11"/>
  <c r="X47" i="11"/>
  <c r="X55" i="11"/>
  <c r="AI55" i="11" s="1"/>
  <c r="X63" i="11"/>
  <c r="AC65" i="11"/>
  <c r="AK69" i="11"/>
  <c r="X71" i="11"/>
  <c r="AK77" i="11"/>
  <c r="X79" i="11"/>
  <c r="AK85" i="11"/>
  <c r="X87" i="11"/>
  <c r="AK93" i="11"/>
  <c r="AK101" i="11"/>
  <c r="AK109" i="11"/>
  <c r="AK117" i="11"/>
  <c r="AK125" i="11"/>
  <c r="AK133" i="11"/>
  <c r="AK141" i="11"/>
  <c r="AK149" i="11"/>
  <c r="AK157" i="11"/>
  <c r="AK165" i="11"/>
  <c r="AD52" i="11"/>
  <c r="AD2" i="11"/>
  <c r="X7" i="11"/>
  <c r="AG7" i="11" s="1"/>
  <c r="AD57" i="11"/>
  <c r="X13" i="11"/>
  <c r="AG13" i="11" s="1"/>
  <c r="AD9" i="11"/>
  <c r="X22" i="11"/>
  <c r="AG22" i="11" s="1"/>
  <c r="AE25" i="11"/>
  <c r="AC32" i="11"/>
  <c r="X38" i="11"/>
  <c r="AH38" i="11" s="1"/>
  <c r="X46" i="11"/>
  <c r="AH46" i="11" s="1"/>
  <c r="AK68" i="11"/>
  <c r="X70" i="11"/>
  <c r="Z71" i="11"/>
  <c r="AA71" i="11" s="1"/>
  <c r="AK76" i="11"/>
  <c r="X78" i="11"/>
  <c r="Z79" i="11"/>
  <c r="AA79" i="11" s="1"/>
  <c r="AK84" i="11"/>
  <c r="X86" i="11"/>
  <c r="Z87" i="11"/>
  <c r="AA87" i="11" s="1"/>
  <c r="AK92" i="11"/>
  <c r="X94" i="11"/>
  <c r="Z95" i="11"/>
  <c r="AA95" i="11" s="1"/>
  <c r="AK100" i="11"/>
  <c r="X102" i="11"/>
  <c r="Z103" i="11"/>
  <c r="AA103" i="11" s="1"/>
  <c r="AK108" i="11"/>
  <c r="X110" i="11"/>
  <c r="Z111" i="11"/>
  <c r="AA111" i="11" s="1"/>
  <c r="AK116" i="11"/>
  <c r="X118" i="11"/>
  <c r="Z119" i="11"/>
  <c r="AA119" i="11" s="1"/>
  <c r="AK124" i="11"/>
  <c r="X126" i="11"/>
  <c r="Z127" i="11"/>
  <c r="AA127" i="11" s="1"/>
  <c r="AK132" i="11"/>
  <c r="X134" i="11"/>
  <c r="Z135" i="11"/>
  <c r="AA135" i="11" s="1"/>
  <c r="AK140" i="11"/>
  <c r="X142" i="11"/>
  <c r="Z143" i="11"/>
  <c r="AA143" i="11" s="1"/>
  <c r="AK148" i="11"/>
  <c r="X150" i="11"/>
  <c r="Z151" i="11"/>
  <c r="AA151" i="11" s="1"/>
  <c r="AK156" i="11"/>
  <c r="X158" i="11"/>
  <c r="AK164" i="11"/>
  <c r="X166" i="11"/>
  <c r="X45" i="11"/>
  <c r="X53" i="11"/>
  <c r="X61" i="11"/>
  <c r="X69" i="11"/>
  <c r="Z70" i="11"/>
  <c r="AA70" i="11" s="1"/>
  <c r="AK75" i="11"/>
  <c r="X77" i="11"/>
  <c r="Z78" i="11"/>
  <c r="AA78" i="11" s="1"/>
  <c r="AK83" i="11"/>
  <c r="X85" i="11"/>
  <c r="Z86" i="11"/>
  <c r="AA86" i="11" s="1"/>
  <c r="AK91" i="11"/>
  <c r="X93" i="11"/>
  <c r="Z94" i="11"/>
  <c r="AA94" i="11" s="1"/>
  <c r="AK99" i="11"/>
  <c r="X101" i="11"/>
  <c r="Z102" i="11"/>
  <c r="AA102" i="11" s="1"/>
  <c r="AK107" i="11"/>
  <c r="X109" i="11"/>
  <c r="Z110" i="11"/>
  <c r="AA110" i="11" s="1"/>
  <c r="AK115" i="11"/>
  <c r="X117" i="11"/>
  <c r="Z118" i="11"/>
  <c r="AA118" i="11" s="1"/>
  <c r="X125" i="11"/>
  <c r="Z126" i="11"/>
  <c r="AA126" i="11" s="1"/>
  <c r="AK131" i="11"/>
  <c r="X133" i="11"/>
  <c r="Z134" i="11"/>
  <c r="AA134" i="11" s="1"/>
  <c r="X141" i="11"/>
  <c r="Z142" i="11"/>
  <c r="AA142" i="11" s="1"/>
  <c r="AK147" i="11"/>
  <c r="X149" i="11"/>
  <c r="Z150" i="11"/>
  <c r="AA150" i="11" s="1"/>
  <c r="AK155" i="11"/>
  <c r="X157" i="11"/>
  <c r="Z158" i="11"/>
  <c r="AA158" i="11" s="1"/>
  <c r="AK163" i="11"/>
  <c r="X165" i="11"/>
  <c r="Z166" i="11"/>
  <c r="AA166" i="11" s="1"/>
  <c r="X4" i="11"/>
  <c r="AG4" i="11" s="1"/>
  <c r="Z5" i="11"/>
  <c r="AA5" i="11" s="1"/>
  <c r="X12" i="11"/>
  <c r="AG12" i="11" s="1"/>
  <c r="Z13" i="11"/>
  <c r="AA13" i="11" s="1"/>
  <c r="X20" i="11"/>
  <c r="Z21" i="11"/>
  <c r="AA21" i="11" s="1"/>
  <c r="X28" i="11"/>
  <c r="Z29" i="11"/>
  <c r="AA29" i="11" s="1"/>
  <c r="X36" i="11"/>
  <c r="AH36" i="11" s="1"/>
  <c r="Z37" i="11"/>
  <c r="AA37" i="11" s="1"/>
  <c r="X44" i="11"/>
  <c r="AH44" i="11" s="1"/>
  <c r="X52" i="11"/>
  <c r="AI52" i="11" s="1"/>
  <c r="X60" i="11"/>
  <c r="X68" i="11"/>
  <c r="AK74" i="11"/>
  <c r="X76" i="11"/>
  <c r="AK82" i="11"/>
  <c r="X84" i="11"/>
  <c r="AK90" i="11"/>
  <c r="X92" i="11"/>
  <c r="AK98" i="11"/>
  <c r="X100" i="11"/>
  <c r="AK106" i="11"/>
  <c r="X108" i="11"/>
  <c r="AK114" i="11"/>
  <c r="X116" i="11"/>
  <c r="AK122" i="11"/>
  <c r="X124" i="11"/>
  <c r="X132" i="11"/>
  <c r="AK138" i="11"/>
  <c r="X140" i="11"/>
  <c r="AK146" i="11"/>
  <c r="X148" i="11"/>
  <c r="AK154" i="11"/>
  <c r="X156" i="11"/>
  <c r="AK162" i="11"/>
  <c r="X164" i="11"/>
  <c r="AK170" i="11"/>
  <c r="Z38" i="11"/>
  <c r="AA38" i="11" s="1"/>
  <c r="X3" i="11"/>
  <c r="AG3" i="11" s="1"/>
  <c r="Z4" i="11"/>
  <c r="AA4" i="11" s="1"/>
  <c r="X11" i="11"/>
  <c r="AG11" i="11" s="1"/>
  <c r="Z12" i="11"/>
  <c r="AA12" i="11" s="1"/>
  <c r="X19" i="11"/>
  <c r="X27" i="11"/>
  <c r="AH27" i="11" s="1"/>
  <c r="X35" i="11"/>
  <c r="AH35" i="11" s="1"/>
  <c r="Z36" i="11"/>
  <c r="AA36" i="11" s="1"/>
  <c r="X43" i="11"/>
  <c r="Z44" i="11"/>
  <c r="AA44" i="11" s="1"/>
  <c r="X51" i="11"/>
  <c r="X59" i="11"/>
  <c r="AI59" i="11" s="1"/>
  <c r="X67" i="11"/>
  <c r="AK73" i="11"/>
  <c r="X75" i="11"/>
  <c r="AK81" i="11"/>
  <c r="X83" i="11"/>
  <c r="AK89" i="11"/>
  <c r="X91" i="11"/>
  <c r="AK97" i="11"/>
  <c r="X99" i="11"/>
  <c r="AK105" i="11"/>
  <c r="X107" i="11"/>
  <c r="AK113" i="11"/>
  <c r="X115" i="11"/>
  <c r="AK121" i="11"/>
  <c r="X123" i="11"/>
  <c r="AK129" i="11"/>
  <c r="X131" i="11"/>
  <c r="AK137" i="11"/>
  <c r="X139" i="11"/>
  <c r="AK145" i="11"/>
  <c r="X147" i="11"/>
  <c r="AK153" i="11"/>
  <c r="X155" i="11"/>
  <c r="AK161" i="11"/>
  <c r="X163" i="11"/>
  <c r="AK169" i="11"/>
  <c r="Z14" i="11"/>
  <c r="AA14" i="11" s="1"/>
  <c r="AD5" i="11"/>
  <c r="Z27" i="11"/>
  <c r="AA27" i="11" s="1"/>
  <c r="Z35" i="11"/>
  <c r="AA35" i="11" s="1"/>
  <c r="AE37" i="11"/>
  <c r="Z59" i="11"/>
  <c r="AA59" i="11" s="1"/>
  <c r="Z11" i="11"/>
  <c r="AA11" i="11" s="1"/>
  <c r="Z22" i="11"/>
  <c r="AA22" i="11" s="1"/>
  <c r="X41" i="11"/>
  <c r="Z42" i="11"/>
  <c r="AA42" i="11" s="1"/>
  <c r="X49" i="11"/>
  <c r="Z50" i="11"/>
  <c r="AA50" i="11" s="1"/>
  <c r="X57" i="11"/>
  <c r="X65" i="11"/>
  <c r="X73" i="11"/>
  <c r="X81" i="11"/>
  <c r="X89" i="11"/>
  <c r="X97" i="11"/>
  <c r="X105" i="11"/>
  <c r="X113" i="11"/>
  <c r="X121" i="11"/>
  <c r="X129" i="11"/>
  <c r="X137" i="11"/>
  <c r="X145" i="11"/>
  <c r="X153" i="11"/>
  <c r="X161" i="11"/>
  <c r="X169" i="11"/>
  <c r="Z3" i="11"/>
  <c r="AA3" i="11" s="1"/>
  <c r="X9" i="11"/>
  <c r="AG9" i="11" s="1"/>
  <c r="Z10" i="11"/>
  <c r="AA10" i="11" s="1"/>
  <c r="AJ46" i="11"/>
  <c r="X17" i="11"/>
  <c r="X25" i="11"/>
  <c r="AG25" i="11" s="1"/>
  <c r="Z26" i="11"/>
  <c r="AA26" i="11" s="1"/>
  <c r="X33" i="11"/>
  <c r="AH33" i="11" s="1"/>
</calcChain>
</file>

<file path=xl/sharedStrings.xml><?xml version="1.0" encoding="utf-8"?>
<sst xmlns="http://schemas.openxmlformats.org/spreadsheetml/2006/main" count="8005" uniqueCount="1284">
  <si>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</si>
  <si>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</si>
  <si>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</si>
  <si>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</si>
  <si>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</si>
  <si>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</si>
  <si>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</si>
  <si>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</si>
  <si>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</si>
  <si>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</si>
  <si>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</si>
  <si>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</si>
  <si>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</si>
  <si>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</si>
  <si>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</si>
  <si>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</si>
  <si>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</si>
  <si>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</si>
  <si>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</si>
  <si>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</si>
  <si>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</si>
  <si>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</si>
  <si>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Animation</t>
  </si>
  <si>
    <t>GUID</t>
  </si>
  <si>
    <t>Sync</t>
  </si>
  <si>
    <t>Notes</t>
  </si>
  <si>
    <t>Block</t>
  </si>
  <si>
    <t>Uncommon</t>
  </si>
  <si>
    <t>Block 3</t>
  </si>
  <si>
    <t/>
  </si>
  <si>
    <t>Gain 3 Block.</t>
  </si>
  <si>
    <t>SelfTile</t>
  </si>
  <si>
    <t>Knight</t>
  </si>
  <si>
    <t>Buff (Defensive)</t>
  </si>
  <si>
    <t>Defence</t>
  </si>
  <si>
    <t>Self</t>
  </si>
  <si>
    <t>Single</t>
  </si>
  <si>
    <t>FALSE</t>
  </si>
  <si>
    <t>db83bbf36eb240f79a3c309c29ac4ea2</t>
  </si>
  <si>
    <t>Parry</t>
  </si>
  <si>
    <t>Parry 1</t>
  </si>
  <si>
    <t>Gain 1 Parry.</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</si>
  <si>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</si>
  <si>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</si>
  <si>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</si>
  <si>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</si>
  <si>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</si>
  <si>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</si>
  <si>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</si>
  <si>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</si>
  <si>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</si>
  <si>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</si>
  <si>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</si>
  <si>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</si>
  <si>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</si>
  <si>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</si>
  <si>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</si>
  <si>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</si>
  <si>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</si>
  <si>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</si>
  <si>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</si>
  <si>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</si>
  <si>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</si>
  <si>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</si>
  <si>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</si>
  <si>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</si>
  <si>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</si>
  <si>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</si>
  <si>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</si>
  <si>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</si>
  <si>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</si>
  <si>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</si>
  <si>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</si>
  <si>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</si>
  <si>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</si>
  <si>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</si>
  <si>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</si>
  <si>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</si>
  <si>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</si>
  <si>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</si>
  <si>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</si>
  <si>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</si>
  <si>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</si>
  <si>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</si>
  <si>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</si>
  <si>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</si>
  <si>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</si>
  <si>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</si>
  <si>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</si>
  <si>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</si>
  <si>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</si>
  <si>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</si>
  <si>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</si>
  <si>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</si>
  <si>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</si>
  <si>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t>
  </si>
  <si>
    <t>Deal 5 damage and apply 2 Vulnerable.</t>
  </si>
  <si>
    <t>473565cf7c9a7a54aa013e0ffab0df43</t>
  </si>
  <si>
    <t>Whirlwind</t>
  </si>
  <si>
    <t>Rare</t>
  </si>
  <si>
    <t>Damage 4</t>
  </si>
  <si>
    <t>Deal 4 damage.</t>
  </si>
  <si>
    <t>Chebyshev 0-1</t>
  </si>
  <si>
    <t>912403e15b047df44945f4d6e0a794b2</t>
  </si>
  <si>
    <t>Bastion Totem</t>
  </si>
  <si>
    <t>SummonBastionTotem</t>
  </si>
  <si>
    <t>Summon a Bastion Totem.</t>
  </si>
  <si>
    <t>Summon</t>
  </si>
  <si>
    <t>b5992955f6f71d249bd207dc483e4566</t>
  </si>
  <si>
    <t>Bulwark Totem</t>
  </si>
  <si>
    <t>SummonBulwarkTotem</t>
  </si>
  <si>
    <t>Summon a Bulwark Totem.</t>
  </si>
  <si>
    <t>30dc9807bee5a3a47a453cded652caa6</t>
  </si>
  <si>
    <t>Rampart Totem</t>
  </si>
  <si>
    <t>SummonRampartTotem</t>
  </si>
  <si>
    <t>Summon a Rampart Totem.</t>
  </si>
  <si>
    <t>ffeb8d4fdf2a22347bff2bd9386b9ad2</t>
  </si>
  <si>
    <t>Warlord Totem</t>
  </si>
  <si>
    <t>SummonWarlordTotem</t>
  </si>
  <si>
    <t>Summon a Warlord Totem.</t>
  </si>
  <si>
    <t>363d14991cd36564ca3dc5e550c81bc5</t>
  </si>
  <si>
    <t>Aegis Totem</t>
  </si>
  <si>
    <t>SummonAegisTotem</t>
  </si>
  <si>
    <t>Summon a Aegis Totem.</t>
  </si>
  <si>
    <t>01e630d4f30206f499a5038a0e474c92</t>
  </si>
  <si>
    <t>Shield Totem</t>
  </si>
  <si>
    <t>SummonTotem</t>
  </si>
  <si>
    <t>Summon a Shield Totem.</t>
  </si>
  <si>
    <t>aaaa1118bbbb2229cccc333adddd444b</t>
  </si>
  <si>
    <t>Warcry Totem</t>
  </si>
  <si>
    <t>SummonWarcryTotem</t>
  </si>
  <si>
    <t>Summon a Warcry Totem.</t>
  </si>
  <si>
    <t>51382dd5fb68f1c42b8c120d2112eb72</t>
  </si>
  <si>
    <t>Adrenaline</t>
  </si>
  <si>
    <t>Energy 1</t>
  </si>
  <si>
    <t>Self Damage 5</t>
  </si>
  <si>
    <t>Take 5 damage, gain 1 energy.</t>
  </si>
  <si>
    <t>Utility</t>
  </si>
  <si>
    <t>f6f387ba8aa8eb145a52b1d3bb45bb51</t>
  </si>
  <si>
    <t>Bloodied Resolve</t>
  </si>
  <si>
    <t>Take 5 damage, draw 1 card.</t>
  </si>
  <si>
    <t>e4cd35c82fe981840bee33089febaac7</t>
  </si>
  <si>
    <t>Blade Ward</t>
  </si>
  <si>
    <t>Block 2</t>
  </si>
  <si>
    <t>Give 2 Block.</t>
  </si>
  <si>
    <t>Mage</t>
  </si>
  <si>
    <t>0313f5e3f95e9704d8ddff8d29ecefcd</t>
  </si>
  <si>
    <t>Dull Blade</t>
  </si>
  <si>
    <t>Weaken</t>
  </si>
  <si>
    <t>Apply Weaken.</t>
  </si>
  <si>
    <t>Debuff</t>
  </si>
  <si>
    <t>Status</t>
  </si>
  <si>
    <t>5838b385efe02534993ebe2518d61ef3</t>
  </si>
  <si>
    <t>Entangle</t>
  </si>
  <si>
    <t>Root</t>
  </si>
  <si>
    <t>Root an Enemy.</t>
  </si>
  <si>
    <t>d628843c186f4896abd388b0e0fb081d</t>
  </si>
  <si>
    <t>Freeze</t>
  </si>
  <si>
    <t>Freeze an Enemy.</t>
  </si>
  <si>
    <t>b660e3293e8b4225afcfe9a9a4be0f05</t>
  </si>
  <si>
    <t>Rust Armor</t>
  </si>
  <si>
    <t>Apply Vulnerable.</t>
  </si>
  <si>
    <t>d87d584eefa48da429cd46687b4066b4</t>
  </si>
  <si>
    <t>Touch Heal</t>
  </si>
  <si>
    <t>Heal 10</t>
  </si>
  <si>
    <t>Heal 10.</t>
  </si>
  <si>
    <t>Cure Wounds</t>
  </si>
  <si>
    <t>Healing</t>
  </si>
  <si>
    <t>b2d16f22e3045c1baf6d28e51c2f6004</t>
  </si>
  <si>
    <t>Heal Word</t>
  </si>
  <si>
    <t>Heal 5.</t>
  </si>
  <si>
    <t>b0de35f4e0b135845b19e60120fd3205</t>
  </si>
  <si>
    <t>Teleport</t>
  </si>
  <si>
    <t>Move</t>
  </si>
  <si>
    <t>Move to any tile on the board.</t>
  </si>
  <si>
    <t>Anywhere</t>
  </si>
  <si>
    <t>Movement</t>
  </si>
  <si>
    <t>aaf80d8da0ea4c228b87cbad0b9af242</t>
  </si>
  <si>
    <t>Fireball</t>
  </si>
  <si>
    <t>Deal 5 damage.</t>
  </si>
  <si>
    <t>RangedAttack</t>
  </si>
  <si>
    <t>576ab6616f9067d458e6811318815c6c</t>
  </si>
  <si>
    <t>Firebolt</t>
  </si>
  <si>
    <t>000c1f73e085eb64b8d858c64dfdfcda</t>
  </si>
  <si>
    <t>Flame Cone</t>
  </si>
  <si>
    <t>Pattern:Cone3</t>
  </si>
  <si>
    <t>93cab38da2c31ed409077c18f3807992</t>
  </si>
  <si>
    <t>Ice Shard</t>
  </si>
  <si>
    <t>Deals 3 damage and Freezes.</t>
  </si>
  <si>
    <t>36d01c973ac698e428120b185d709229</t>
  </si>
  <si>
    <t>X-Burner</t>
  </si>
  <si>
    <t>Pattern:X-Pattern</t>
  </si>
  <si>
    <t>c8319799a424c03478428ce8d28e8e92</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</si>
  <si>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</si>
  <si>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</si>
  <si>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</si>
  <si>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</si>
  <si>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</si>
  <si>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</si>
  <si>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</si>
  <si>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</si>
  <si>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</si>
  <si>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</si>
  <si>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</si>
  <si>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</si>
  <si>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</si>
  <si>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</si>
  <si>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</si>
  <si>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</si>
  <si>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Draw Totem</t>
  </si>
  <si>
    <t>Summon a Draw Totem.</t>
  </si>
  <si>
    <t>SummonDrawTotem</t>
  </si>
  <si>
    <t>2c30a3f1489172a4eaf06a3d1f3a592f</t>
  </si>
  <si>
    <t>Wall of Flames</t>
  </si>
  <si>
    <t>Create a Wall of Flames, anything standing ontop will take 4 damage.</t>
  </si>
  <si>
    <t>WallOfFlames</t>
  </si>
  <si>
    <t>Fire</t>
  </si>
  <si>
    <t>a68a20cc6a62a794884b25eda9e5a871</t>
  </si>
  <si>
    <t>Wall of Force</t>
  </si>
  <si>
    <t>Create a Wall of Force, stopping all movement through that area.</t>
  </si>
  <si>
    <t>WallOfForce</t>
  </si>
  <si>
    <t>317ae1a15cf5e44499040e5816fc71aa</t>
  </si>
  <si>
    <t>Weaken Totem</t>
  </si>
  <si>
    <t>SummonWeakenTotem</t>
  </si>
  <si>
    <t>Summon a Weaken Totem.</t>
  </si>
  <si>
    <t>WeakenTotem</t>
  </si>
  <si>
    <t>abd72e2780e217a4b86d7932cbff346e</t>
  </si>
  <si>
    <t>Curse Totem</t>
  </si>
  <si>
    <t>SummonCurseTotem</t>
  </si>
  <si>
    <t>Summon a Curse Totem.</t>
  </si>
  <si>
    <t>f00124f8df6b1c5469473a59ffe0b357</t>
  </si>
  <si>
    <t>Hex Totem</t>
  </si>
  <si>
    <t>SummonHexTotem</t>
  </si>
  <si>
    <t>Summon a Hex Totem.</t>
  </si>
  <si>
    <t>e5cd6de7d5df0fc44a67a6d1554ac7f4</t>
  </si>
  <si>
    <t>Summon Skeleton</t>
  </si>
  <si>
    <t>SummonSkeletonAlly</t>
  </si>
  <si>
    <t>Summon a Skeleton.</t>
  </si>
  <si>
    <t>SummonSkeleton</t>
  </si>
  <si>
    <t>c5d25d3eaabd87644b8f9bf160b035f4</t>
  </si>
  <si>
    <t>Foresight</t>
  </si>
  <si>
    <t>Discard 1</t>
  </si>
  <si>
    <t>Draw a card, then discard a card.</t>
  </si>
  <si>
    <t>df9e3bce91e2cd14681ef8aa00618104</t>
  </si>
  <si>
    <t>Dodge</t>
  </si>
  <si>
    <t>Gain 1 stack of Dodge.</t>
  </si>
  <si>
    <t>Rogue</t>
  </si>
  <si>
    <t>Defence, Movement</t>
  </si>
  <si>
    <t>1eea8f6c4d1062d4f9a550078d14e259</t>
  </si>
  <si>
    <t>Evasion</t>
  </si>
  <si>
    <t>Gain 2 stacks of Block.</t>
  </si>
  <si>
    <t>ea4ea121456773f47b2377471122e93e</t>
  </si>
  <si>
    <t>Stealth</t>
  </si>
  <si>
    <t>Stealth 2</t>
  </si>
  <si>
    <t>For 2 turns, enemies cannot target you.</t>
  </si>
  <si>
    <t>3fb463a3a81ff074ab5a518311ca75e2</t>
  </si>
  <si>
    <t>Poison Blade</t>
  </si>
  <si>
    <t>Poison Blade 3</t>
  </si>
  <si>
    <t>For 3 turns, your attacks apply 1 Poison.</t>
  </si>
  <si>
    <t>Attack, Poison</t>
  </si>
  <si>
    <t>8a487f54103a58548956028d93692641</t>
  </si>
  <si>
    <t>Panache</t>
  </si>
  <si>
    <t>Weaken 2</t>
  </si>
  <si>
    <t>Apply 3 stacks of Weaken.</t>
  </si>
  <si>
    <t>4ead4a101ac64ee4a8dbc0d5917ad849</t>
  </si>
  <si>
    <t>Quick Attack</t>
  </si>
  <si>
    <t>Damage 3</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</si>
  <si>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</si>
  <si>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</si>
  <si>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</si>
  <si>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</si>
  <si>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</si>
  <si>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</si>
  <si>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</si>
  <si>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</si>
  <si>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</si>
  <si>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</si>
  <si>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</si>
  <si>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</si>
  <si>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</si>
  <si>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</si>
  <si>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</si>
  <si>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Venom Totem</t>
  </si>
  <si>
    <t>SummonVenomTotem</t>
  </si>
  <si>
    <t>Summon a Venom Totem.</t>
  </si>
  <si>
    <t>VenomTotem</t>
  </si>
  <si>
    <t>Summon, Poison</t>
  </si>
  <si>
    <t>139ccd0500259c4429836b43f9a7145a</t>
  </si>
  <si>
    <t>Call Reinforcements</t>
  </si>
  <si>
    <t>SummonTutorialSkeleton</t>
  </si>
  <si>
    <t>Summon a Skeleton Warrior four tiles away.</t>
  </si>
  <si>
    <t>CallReinforcements</t>
  </si>
  <si>
    <t>Cooldown 4</t>
  </si>
  <si>
    <t>0614839401c15d54aba05fe204ab3ebe</t>
  </si>
  <si>
    <t>Summon Skeleton Warrior</t>
  </si>
  <si>
    <t>SummonSkeletonWarrior</t>
  </si>
  <si>
    <t>Summon a Skeleton Warrior.</t>
  </si>
  <si>
    <t>Dormant 3, Cooldown 4</t>
  </si>
  <si>
    <t>e0f2734ed1017c7419f5d21d3fb737f4</t>
  </si>
  <si>
    <t>EnemyArrow</t>
  </si>
  <si>
    <t>Deal 3 damage to an enemy within 6 tiles.</t>
  </si>
  <si>
    <t>bbde0f0e0cc14d529a5088cf2502a322</t>
  </si>
  <si>
    <t>EnemySlash</t>
  </si>
  <si>
    <t>4e6ad46400a24ad49889dba4ec94d0b6</t>
  </si>
  <si>
    <t>Move 1</t>
  </si>
  <si>
    <t>Move one tile in any direction.</t>
  </si>
  <si>
    <t>TRUE</t>
  </si>
  <si>
    <t>be5db39fd599473588c5ca05a015d151</t>
  </si>
  <si>
    <t>MoveInnate</t>
  </si>
  <si>
    <t>Innate</t>
  </si>
  <si>
    <t>0c8f3a6d2b4e4f9a8c1d7e5b3a2f6c9d</t>
  </si>
  <si>
    <t>Buildable</t>
  </si>
  <si>
    <t>Engine Work</t>
  </si>
  <si>
    <t>Source</t>
  </si>
  <si>
    <t>Priority</t>
  </si>
  <si>
    <t>Shield Bash</t>
  </si>
  <si>
    <t>Block 1</t>
  </si>
  <si>
    <t>Deal 5 damage and gain 1 Block charge.</t>
  </si>
  <si>
    <t>ShieldBash</t>
  </si>
  <si>
    <t>Attack, Defence</t>
  </si>
  <si>
    <t>Yes</t>
  </si>
  <si>
    <t>Slay the Spire</t>
  </si>
  <si>
    <t>High</t>
  </si>
  <si>
    <t>Deal 4 damage to every enemy around the target.</t>
  </si>
  <si>
    <t>Attack</t>
  </si>
  <si>
    <t>D&amp;D / StS</t>
  </si>
  <si>
    <t>Iron Wall</t>
  </si>
  <si>
    <t>Gain 7 Shield and 2 Block charges.</t>
  </si>
  <si>
    <t>IronWall</t>
  </si>
  <si>
    <t>StS Barricade</t>
  </si>
  <si>
    <t>Med</t>
  </si>
  <si>
    <t>Bulwark</t>
  </si>
  <si>
    <t>Gain 2 Block charges.</t>
  </si>
  <si>
    <t>Riposte</t>
  </si>
  <si>
    <t>Gain 2 Parry charges.</t>
  </si>
  <si>
    <t>Fencing / FFT</t>
  </si>
  <si>
    <t>Heavy Swing</t>
  </si>
  <si>
    <t>Damage 12</t>
  </si>
  <si>
    <t>Deal 12 damage.</t>
  </si>
  <si>
    <t>HeavySwing</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</si>
  <si>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</si>
  <si>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</si>
  <si>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</si>
  <si>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</si>
  <si>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</si>
  <si>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</si>
  <si>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</si>
  <si>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</si>
  <si>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</si>
  <si>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</si>
  <si>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</si>
  <si>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</si>
  <si>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</si>
  <si>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</si>
  <si>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</si>
  <si>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</si>
  <si>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</si>
  <si>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</si>
  <si>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</si>
  <si>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</si>
  <si>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</si>
  <si>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</si>
  <si>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</si>
  <si>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</si>
  <si>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</si>
  <si>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</si>
  <si>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</si>
  <si>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</si>
  <si>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</si>
  <si>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</si>
  <si>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</si>
  <si>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</si>
  <si>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</si>
  <si>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</si>
  <si>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</si>
  <si>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</si>
  <si>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</si>
  <si>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</si>
  <si>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</si>
  <si>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</si>
  <si>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</si>
  <si>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</si>
  <si>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</si>
  <si>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</si>
  <si>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</si>
  <si>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</si>
  <si>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</si>
  <si>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</si>
  <si>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</si>
  <si>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</si>
  <si>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</si>
  <si>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</si>
  <si>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</si>
  <si>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</si>
  <si>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</si>
  <si>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</si>
  <si>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</si>
  <si>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</si>
  <si>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</si>
  <si>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</si>
  <si>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</si>
  <si>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</si>
  <si>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</si>
  <si>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</si>
  <si>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</si>
  <si>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</si>
  <si>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</si>
  <si>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</si>
  <si>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</si>
  <si>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</si>
  <si>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</si>
  <si>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</si>
  <si>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</si>
  <si>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Apply 2 Weaken.</t>
  </si>
  <si>
    <t>Crushing Blow</t>
  </si>
  <si>
    <t>Weaken 3</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</si>
  <si>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</si>
  <si>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</si>
  <si>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</si>
  <si>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</si>
  <si>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</si>
  <si>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</si>
  <si>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</si>
  <si>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</si>
  <si>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</si>
  <si>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</si>
  <si>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</si>
  <si>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</si>
  <si>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</si>
  <si>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</si>
  <si>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</si>
  <si>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</si>
  <si>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</si>
  <si>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</si>
  <si>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</si>
  <si>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</si>
  <si>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</si>
  <si>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</si>
  <si>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</si>
  <si>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Shield 10</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</si>
  <si>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</si>
  <si>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</si>
  <si>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</si>
  <si>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</si>
  <si>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</si>
  <si>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</si>
  <si>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</si>
  <si>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</si>
  <si>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</si>
  <si>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</si>
  <si>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</si>
  <si>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</si>
  <si>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</si>
  <si>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</si>
  <si>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</si>
  <si>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</si>
  <si>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</si>
  <si>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</si>
  <si>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</si>
  <si>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</si>
  <si>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</si>
  <si>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</si>
  <si>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</si>
  <si>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</si>
  <si>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</si>
  <si>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</si>
  <si>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</si>
  <si>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</si>
  <si>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</si>
  <si>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</si>
  <si>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</si>
  <si>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</si>
  <si>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</si>
  <si>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</si>
  <si>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</si>
  <si>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</si>
  <si>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</si>
  <si>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</si>
  <si>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</si>
  <si>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</si>
  <si>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</si>
  <si>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</si>
  <si>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</si>
  <si>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</si>
  <si>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</si>
  <si>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</si>
  <si>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</si>
  <si>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</si>
  <si>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</si>
  <si>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</si>
  <si>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</si>
  <si>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</si>
  <si>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</si>
  <si>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</si>
  <si>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</si>
  <si>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Damage 8</t>
  </si>
  <si>
    <t>Deal 8 damage to everything in a 3x3 area.</t>
  </si>
  <si>
    <t>D&amp;D Shatter</t>
  </si>
  <si>
    <t>Damage 6</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</si>
  <si>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</si>
  <si>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</si>
  <si>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</si>
  <si>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</si>
  <si>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</si>
  <si>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</si>
  <si>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</si>
  <si>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</si>
  <si>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</si>
  <si>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</si>
  <si>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</si>
  <si>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</si>
  <si>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</si>
  <si>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</si>
  <si>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</si>
  <si>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</si>
  <si>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</si>
  <si>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</si>
  <si>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</si>
  <si>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</si>
  <si>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</si>
  <si>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</si>
  <si>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</si>
  <si>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</si>
  <si>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</si>
  <si>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</si>
  <si>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</si>
  <si>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</si>
  <si>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</si>
  <si>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</si>
  <si>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</si>
  <si>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</si>
  <si>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</si>
  <si>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</si>
  <si>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</si>
  <si>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</si>
  <si>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</si>
  <si>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</si>
  <si>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</si>
  <si>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</si>
  <si>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</si>
  <si>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</si>
  <si>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</si>
  <si>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</si>
  <si>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</si>
  <si>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</si>
  <si>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</si>
  <si>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</si>
  <si>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</si>
  <si>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</si>
  <si>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</si>
  <si>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</si>
  <si>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</si>
  <si>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</si>
  <si>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</si>
  <si>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</si>
  <si>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</si>
  <si>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</si>
  <si>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</si>
  <si>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</si>
  <si>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</si>
  <si>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</si>
  <si>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</si>
  <si>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</si>
  <si>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</si>
  <si>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</si>
  <si>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</si>
  <si>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</si>
  <si>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</si>
  <si>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</si>
  <si>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</si>
  <si>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</si>
  <si>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</si>
  <si>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</si>
  <si>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</si>
  <si>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</si>
  <si>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</si>
  <si>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</si>
  <si>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</si>
  <si>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</si>
  <si>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</si>
  <si>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</si>
  <si>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</si>
  <si>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</si>
  <si>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</si>
  <si>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</si>
  <si>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</si>
  <si>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</si>
  <si>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</si>
  <si>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</si>
  <si>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</si>
  <si>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</si>
  <si>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</si>
  <si>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</si>
  <si>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</si>
  <si>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</si>
  <si>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</si>
  <si>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</si>
  <si>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</si>
  <si>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</si>
  <si>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</si>
  <si>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</si>
  <si>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</si>
  <si>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</si>
  <si>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</si>
  <si>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</si>
  <si>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</si>
  <si>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</si>
  <si>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</si>
  <si>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</si>
  <si>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</si>
  <si>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</si>
  <si>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</si>
  <si>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</si>
  <si>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</si>
  <si>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</si>
  <si>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</si>
  <si>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</si>
  <si>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</si>
  <si>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</si>
  <si>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</si>
  <si>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</si>
  <si>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</si>
  <si>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</si>
  <si>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</si>
  <si>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</si>
  <si>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</si>
  <si>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</si>
  <si>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</si>
  <si>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</si>
  <si>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</si>
  <si>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</si>
  <si>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</si>
  <si>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</si>
  <si>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</si>
  <si>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</si>
  <si>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</si>
  <si>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</si>
  <si>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</si>
  <si>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</si>
  <si>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</si>
  <si>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</si>
  <si>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</si>
  <si>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</si>
  <si>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</si>
  <si>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</si>
  <si>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</si>
  <si>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</si>
  <si>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</si>
  <si>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</si>
  <si>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</si>
  <si>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</si>
  <si>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</si>
  <si>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</si>
  <si>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</si>
  <si>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</si>
  <si>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</si>
  <si>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</si>
  <si>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</si>
  <si>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</si>
  <si>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</si>
  <si>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</si>
  <si>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</si>
  <si>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</si>
  <si>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</si>
  <si>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</si>
  <si>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</si>
  <si>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</si>
  <si>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</si>
  <si>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</si>
  <si>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</si>
  <si>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</si>
  <si>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</si>
  <si>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</si>
  <si>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</si>
  <si>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</si>
  <si>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</si>
  <si>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</si>
  <si>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</si>
  <si>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</si>
  <si>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</si>
  <si>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</si>
  <si>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</si>
  <si>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</si>
  <si>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</si>
  <si>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</si>
  <si>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</si>
  <si>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</si>
  <si>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</si>
  <si>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</si>
  <si>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</si>
  <si>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</si>
  <si>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</si>
  <si>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</si>
  <si>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</si>
  <si>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</si>
  <si>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</si>
  <si>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</si>
  <si>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Backstab</t>
  </si>
  <si>
    <t>Damage 7</t>
  </si>
  <si>
    <t>Deal 7 damage.</t>
  </si>
  <si>
    <t>Twin Fangs</t>
  </si>
  <si>
    <t>Poison 2</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</si>
  <si>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</si>
  <si>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</si>
  <si>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</si>
  <si>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</si>
  <si>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</si>
  <si>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</si>
  <si>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</si>
  <si>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</si>
  <si>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</si>
  <si>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</si>
  <si>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</si>
  <si>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</si>
  <si>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</si>
  <si>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</si>
  <si>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</si>
  <si>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</si>
  <si>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</si>
  <si>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</si>
  <si>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</si>
  <si>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</si>
  <si>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</si>
  <si>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</si>
  <si>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</si>
  <si>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</si>
  <si>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</si>
  <si>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</si>
  <si>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</si>
  <si>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</si>
  <si>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</si>
  <si>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</si>
  <si>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</si>
  <si>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</si>
  <si>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</si>
  <si>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</si>
  <si>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</si>
  <si>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</si>
  <si>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</si>
  <si>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</si>
  <si>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</si>
  <si>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</si>
  <si>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</si>
  <si>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</si>
  <si>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</si>
  <si>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</si>
  <si>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</si>
  <si>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</si>
  <si>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</si>
  <si>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</si>
  <si>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</si>
  <si>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</si>
  <si>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</si>
  <si>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</si>
  <si>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</si>
  <si>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</si>
  <si>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</si>
  <si>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</si>
  <si>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</si>
  <si>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</si>
  <si>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</si>
  <si>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</si>
  <si>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</si>
  <si>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</si>
  <si>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</si>
  <si>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</si>
  <si>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</si>
  <si>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</si>
  <si>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</si>
  <si>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</si>
  <si>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</si>
  <si>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</si>
  <si>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</si>
  <si>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</si>
  <si>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</si>
  <si>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</si>
  <si>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</si>
  <si>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</si>
  <si>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</si>
  <si>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</si>
  <si>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</si>
  <si>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</si>
  <si>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</si>
  <si>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</si>
  <si>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</si>
  <si>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</si>
  <si>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</si>
  <si>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</si>
  <si>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</si>
  <si>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</si>
  <si>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</si>
  <si>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</si>
  <si>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</si>
  <si>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</si>
  <si>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</si>
  <si>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</si>
  <si>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</si>
  <si>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</si>
  <si>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</si>
  <si>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</si>
  <si>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</si>
  <si>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</si>
  <si>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</si>
  <si>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</si>
  <si>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</si>
  <si>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</si>
  <si>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</si>
  <si>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</si>
  <si>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</si>
  <si>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</si>
  <si>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</si>
  <si>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</si>
  <si>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</si>
  <si>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</si>
  <si>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</si>
  <si>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</si>
  <si>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</si>
  <si>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</si>
  <si>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</si>
  <si>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</si>
  <si>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</si>
  <si>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</si>
  <si>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</si>
  <si>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</si>
  <si>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</si>
  <si>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</si>
  <si>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</si>
  <si>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</si>
  <si>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</si>
  <si>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</si>
  <si>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</si>
  <si>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</si>
  <si>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</si>
  <si>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</si>
  <si>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</si>
  <si>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</si>
  <si>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</si>
  <si>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</si>
  <si>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</si>
  <si>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</si>
  <si>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</si>
  <si>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</si>
  <si>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</si>
  <si>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</si>
  <si>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</si>
  <si>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</si>
  <si>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</si>
  <si>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</si>
  <si>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</si>
  <si>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</si>
  <si>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</si>
  <si>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</si>
  <si>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</si>
  <si>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</si>
  <si>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</si>
  <si>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</si>
  <si>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</si>
  <si>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</si>
  <si>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</si>
  <si>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</si>
  <si>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</si>
  <si>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</si>
  <si>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</si>
  <si>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</si>
  <si>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</si>
  <si>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</si>
  <si>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</si>
  <si>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</si>
  <si>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</si>
  <si>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</si>
  <si>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</si>
  <si>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</si>
  <si>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</si>
  <si>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</si>
  <si>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</si>
  <si>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</si>
  <si>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</si>
  <si>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</si>
  <si>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</si>
  <si>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</si>
  <si>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</si>
  <si>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</si>
  <si>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</si>
  <si>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</si>
  <si>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</si>
  <si>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</si>
  <si>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</si>
  <si>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</si>
  <si>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</si>
  <si>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</si>
  <si>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Status:Rooted</t>
  </si>
  <si>
    <t>Assets/Data/EffectData/Status/Root.asset</t>
  </si>
  <si>
    <t>a4d4e3e61e8148469881f4b9e148b125</t>
  </si>
  <si>
    <t>Status:Stealth</t>
  </si>
  <si>
    <t>Assets/Data/EffectData/Status/Stealth 2.asset</t>
  </si>
  <si>
    <t>40ef0a96df6ebad43984a2f59181911f</t>
  </si>
  <si>
    <t>Status:Strength</t>
  </si>
  <si>
    <t>Assets/Data/EffectData/Status/Strength 3.asset</t>
  </si>
  <si>
    <t>a1c05e11d2f34b0a9e5c17d40b1e5007</t>
  </si>
  <si>
    <t>Status:Vulnerable</t>
  </si>
  <si>
    <t>Assets/Data/EffectData/Status/Vulnerable.asset</t>
  </si>
  <si>
    <t>d96f92b498b41174c8c02c1ba9bf1642</t>
  </si>
  <si>
    <t>Status:Weaken</t>
  </si>
  <si>
    <t>Assets/Data/EffectData/Status/Weaken.asset</t>
  </si>
  <si>
    <t>fdf8e59b34a6463478b37ed552bf8e09</t>
  </si>
  <si>
    <t>Assets/Data/EffectData/Status/Weaken 2.asset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</si>
  <si>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</si>
  <si>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</si>
  <si>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</si>
  <si>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</si>
  <si>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</si>
  <si>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</si>
  <si>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</si>
  <si>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</si>
  <si>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</si>
  <si>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DamageEffect</t>
  </si>
  <si>
    <t>Damage</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</si>
  <si>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</si>
  <si>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</si>
  <si>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</si>
  <si>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</si>
  <si>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</si>
  <si>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</si>
  <si>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</si>
  <si>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</si>
  <si>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</si>
  <si>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</si>
  <si>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</si>
  <si>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</si>
  <si>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</si>
  <si>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</si>
  <si>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</si>
  <si>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</si>
  <si>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</si>
  <si>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</si>
  <si>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</si>
  <si>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</si>
  <si>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</si>
  <si>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</si>
  <si>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</si>
  <si>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</si>
  <si>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</si>
  <si>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</si>
  <si>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</si>
  <si>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3.asset</t>
  </si>
  <si>
    <t>a1c05e11d2f34b0a9e5c17d40b1e5004</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</si>
  <si>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</si>
  <si>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</si>
  <si>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</si>
  <si>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</si>
  <si>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</si>
  <si>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</si>
  <si>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</si>
  <si>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</si>
  <si>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59df727e2f4fec149bbff1700643786f</t>
  </si>
  <si>
    <t>Assets/Data/EffectData/Summon/SummonBastionTotem.asset</t>
  </si>
  <si>
    <t>ad920d8b007cd6f4b8e8aa9f2ceb7c6c</t>
  </si>
  <si>
    <t>244f38522011b184a9ac6fa1011c3518</t>
  </si>
  <si>
    <t>Assets/Data/EffectData/Summon/SummonBulwarkTotem.asset</t>
  </si>
  <si>
    <t>0861a0d7b70789242b177197be7a4c66</t>
  </si>
  <si>
    <t>89892b485e7ba8f47a381450a50e8939</t>
  </si>
  <si>
    <t>Assets/Data/EffectData/Summon/SummonCurseTotem.asset</t>
  </si>
  <si>
    <t>048327218bf831e48bb0196131da39ae</t>
  </si>
  <si>
    <t>014f64ac45bd4dc4b98a719851444ae1</t>
  </si>
  <si>
    <t>Assets/Data/EffectData/Summon/SummonEnfeebleTotem.asset</t>
  </si>
  <si>
    <t>5b0e95da61f5b2d44b11e15dc7f2aab2</t>
  </si>
  <si>
    <t>5854e1bde56839843922d6c922d39f6b</t>
  </si>
  <si>
    <t>Assets/Data/EffectData/Summon/SummonFractureTotem.asset</t>
  </si>
  <si>
    <t>4bb83b63ae1f8284caf9c716b5bfab77</t>
  </si>
  <si>
    <t>e5dee8c4021219948baab3804a4e5f0a</t>
  </si>
  <si>
    <t>Assets/Data/EffectData/Summon/SummonHexTotem.asset</t>
  </si>
  <si>
    <t>b336238d627240e46aa8de19df97a692</t>
  </si>
  <si>
    <t>a5bfbda97f1f02142b9b515530161fea</t>
  </si>
  <si>
    <t>Assets/Data/EffectData/Summon/SummonRampartTotem.asset</t>
  </si>
  <si>
    <t>53dd2ae0532c44d408d8037e25d56795</t>
  </si>
  <si>
    <t>e61b0150c0ffdae419d59d0aee350345</t>
  </si>
  <si>
    <t>Assets/Data/EffectData/Summon/SummonRuinTotem.asset</t>
  </si>
  <si>
    <t>4af6803836ba7a94ca6361d496d2046b</t>
  </si>
  <si>
    <t>77ec68d5e840a8041a9d3725787d10bc</t>
  </si>
  <si>
    <t>Assets/Data/EffectData/Summon/SummonSapTotem.asset</t>
  </si>
  <si>
    <t>5d0a5572b291a164aaab4b316700e849</t>
  </si>
  <si>
    <t>eaade4b777fd45447af03588cf3692e5</t>
  </si>
  <si>
    <t>Assets/Data/EffectData/Summon/SummonSkeletonAlly.asset</t>
  </si>
  <si>
    <t>545e2b9ae6b7b18478dbae2045f523c0</t>
  </si>
  <si>
    <t>d1b7793de9d268945bdf70cf0af39a94</t>
  </si>
  <si>
    <t>Assets/Data/EffectData/Summon/SummonSkeletonWarrior.asset</t>
  </si>
  <si>
    <t>135d0d26bd99e5048a638aa4fb759c76</t>
  </si>
  <si>
    <t>aaaa1116bbbb2227cccc3338dddd4449</t>
  </si>
  <si>
    <t>Assets/Data/EffectData/Summon/SummonTotem.asset</t>
  </si>
  <si>
    <t>aaaa1117bbbb2228cccc3339dddd444a</t>
  </si>
  <si>
    <t>2ec0362d5caa8014f82693349e6a7410</t>
  </si>
  <si>
    <t>Assets/Data/EffectData/Summon/SummonTutorialSkeleton.asset</t>
  </si>
  <si>
    <t>5340e1715849b014da9326e626c3f37a</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</si>
  <si>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</si>
  <si>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</si>
  <si>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</si>
  <si>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</si>
  <si>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</si>
  <si>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</si>
  <si>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</si>
  <si>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</si>
  <si>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</si>
  <si>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08f660fa479a3f04396e626effaf1226</t>
  </si>
  <si>
    <t>Assets/Data/EffectData/Summon/SummonWeakenTotem.asset</t>
  </si>
  <si>
    <t>c127bcc2647c0564485c6c0868773cc4</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</si>
  <si>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</si>
  <si>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</si>
  <si>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</si>
  <si>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</si>
  <si>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</si>
  <si>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</si>
  <si>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</si>
  <si>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</si>
  <si>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</si>
  <si>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</si>
  <si>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</si>
  <si>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</si>
  <si>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</si>
  <si>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</si>
  <si>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</si>
  <si>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</si>
  <si>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</si>
  <si>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</si>
  <si>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</si>
  <si>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</si>
  <si>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</si>
  <si>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</si>
  <si>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</si>
  <si>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KnightStarter</t>
  </si>
  <si>
    <t>KnightTest</t>
  </si>
  <si>
    <t>KnightTutorial</t>
  </si>
  <si>
    <t>MageStarter</t>
  </si>
  <si>
    <t>MageTest</t>
  </si>
  <si>
    <t>MageTutorial</t>
  </si>
  <si>
    <t>RogueStarter</t>
  </si>
  <si>
    <t>RogueTest</t>
  </si>
  <si>
    <t>Type</t>
  </si>
  <si>
    <t>Title</t>
  </si>
  <si>
    <t>Body</t>
  </si>
  <si>
    <t>Terms</t>
  </si>
  <si>
    <t>Default Stacks</t>
  </si>
  <si>
    <t>Default Amount</t>
  </si>
  <si>
    <t>Edit Title, Body and Terms here, then run Import-CardSheet.ps1 and sync in Unity.</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</si>
  <si>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</si>
  <si>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</si>
  <si>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</si>
  <si>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</si>
  <si>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</si>
  <si>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</si>
  <si>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</si>
  <si>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</si>
  <si>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</si>
  <si>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</si>
  <si>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it's stacks ({stacks}) and the end of the turn and then loses a stack.</t>
  </si>
  <si>
    <t>Poison, Poisoned</t>
  </si>
  <si>
    <t>A row with a blank Title and Body has no tooltip authored yet. Fill both in and sync to create one - the importer ignores rows left blank.</t>
  </si>
  <si>
    <t>Frozen</t>
  </si>
  <si>
    <t>FROZEN</t>
  </si>
  <si>
    <t>Cannot act for {stacks} more turns.</t>
  </si>
  <si>
    <t>Frozen, Freeze</t>
  </si>
  <si>
    <t>SHIELD</t>
  </si>
  <si>
    <t>Absorbs the next {stacks} damage. Only lasts for this turn.</t>
  </si>
  <si>
    <t>BLOCK</t>
  </si>
  <si>
    <t>Reduces the damage this character takes by 3 for the next {stacks} hits.</t>
  </si>
  <si>
    <t>PARRY</t>
  </si>
  <si>
    <t>Negates the damage for {stacks} hits and reflects the damage back to the attacker.</t>
  </si>
  <si>
    <t>Rooted</t>
  </si>
  <si>
    <t>ROOTED</t>
  </si>
  <si>
    <t>This character is unable to use move actions for {stacks} turns.</t>
  </si>
  <si>
    <t>Rooted, Root</t>
  </si>
  <si>
    <t>DoubleShield</t>
  </si>
  <si>
    <t>DOUBLE SHIELD</t>
  </si>
  <si>
    <t>The next {stacks} Shield this character gains is doubled.</t>
  </si>
  <si>
    <t>DODGE</t>
  </si>
  <si>
    <t>Negates the damage for {stacks} hits and moves the character away from the source of damage.</t>
  </si>
  <si>
    <t>WEAKEN</t>
  </si>
  <si>
    <t>Subtracts {amount} damage from each attack made.</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</si>
  <si>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</si>
  <si>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</si>
  <si>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</si>
  <si>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</si>
  <si>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</si>
  <si>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</si>
  <si>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more turns.</t>
  </si>
  <si>
    <t>VULNERABLE</t>
  </si>
  <si>
    <t>Adds {amount} damage to each attack taken.</t>
  </si>
  <si>
    <t>GainMultiplier</t>
  </si>
  <si>
    <t>EMPOWERED</t>
  </si>
  <si>
    <t>Multiplies {status} granted to all {targets} in range by {amount}.</t>
  </si>
  <si>
    <t>Potency</t>
  </si>
  <si>
    <t>POTENT</t>
  </si>
  <si>
    <t>TurnTick</t>
  </si>
  <si>
    <t>STANDING WARD</t>
  </si>
  <si>
    <t>Grants {amount} {status} to all {targets} in range {timing}.</t>
  </si>
  <si>
    <t>Summoned</t>
  </si>
  <si>
    <t>SUMMONED</t>
  </si>
  <si>
    <t>Keyword</t>
  </si>
  <si>
    <t>INNATE</t>
  </si>
  <si>
    <t>Always in hand. Never enters the draw or discard pile.</t>
  </si>
  <si>
    <t>Cooldown</t>
  </si>
  <si>
    <t>COOLDOWN</t>
  </si>
  <si>
    <t>Unusable for {magnitude} turns after it is played.</t>
  </si>
  <si>
    <t>Dormant</t>
  </si>
  <si>
    <t>DORMANT</t>
  </si>
  <si>
    <t>Unusable for {magnitude} turns after you gain it.</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</si>
  <si>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</si>
  <si>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</si>
  <si>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</si>
  <si>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</si>
  <si>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</si>
  <si>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</si>
  <si>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</si>
  <si>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</si>
  <si>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</si>
  <si>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</si>
  <si>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</si>
  <si>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</si>
  <si>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</si>
  <si>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</si>
  <si>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</si>
  <si>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</si>
  <si>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</si>
  <si>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</si>
  <si>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</si>
  <si>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</si>
  <si>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</si>
  <si>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</si>
  <si>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</si>
  <si>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BastionTotem [Chebyshev 0-2]: TurnTick 1 aura</t>
  </si>
  <si>
    <t>TurnTick aura</t>
  </si>
  <si>
    <t>BulwarkTotem [Chebyshev 0-2]: GainMultiplier 1 aura</t>
  </si>
  <si>
    <t>GainMultiplier aura</t>
  </si>
  <si>
    <t>RampartTotem [Chebyshev 0-2]: Block 1 aura</t>
  </si>
  <si>
    <t>Block aura</t>
  </si>
  <si>
    <t>WarlordTotem [Chebyshev 0-2]: Potency 1 aura</t>
  </si>
  <si>
    <t>Potency aura</t>
  </si>
  <si>
    <t>AegisTotem [Chebyshev 0-2]: Potency 1 aura</t>
  </si>
  <si>
    <t>Totem [Chebyshev 0-2]: Shield 3 on trigger</t>
  </si>
  <si>
    <t>Partial</t>
  </si>
  <si>
    <t>WarcryTotem [Chebyshev 0-2]: GainMultiplier 1 aura</t>
  </si>
  <si>
    <t>EnfeebleTotem [Chebyshev 0-2]: Potency 1 aura</t>
  </si>
  <si>
    <t>FractureTotem [Chebyshev 0-2]: Vulnerable 2 aura</t>
  </si>
  <si>
    <t>Vulnerable aura</t>
  </si>
  <si>
    <t>RuinTotem [Chebyshev 0-2]: Potency 1 aura</t>
  </si>
  <si>
    <t>SapTotem [Chebyshev 0-2]: Weaken 2 aura</t>
  </si>
  <si>
    <t>no effects</t>
  </si>
  <si>
    <t>WeakenTotem [Chebyshev 0-2]: Weaken 2 aura</t>
  </si>
  <si>
    <t>CurseTotem [Chebyshev 0-2]: GainMultiplier 1 aura</t>
  </si>
  <si>
    <t>HexTotem [Chebyshev 0-2]: GainMultiplier 1 aura</t>
  </si>
  <si>
    <t>class 'Any' does not match Rogue/ folder</t>
  </si>
  <si>
    <t>VenomTotem [Chebyshev 0-2]: TurnTick 1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</si>
  <si>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</si>
  <si>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</si>
  <si>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</si>
  <si>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</si>
  <si>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</si>
  <si>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</si>
  <si>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</si>
  <si>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</si>
  <si>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</si>
  <si>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</si>
  <si>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</si>
  <si>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</si>
  <si>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</si>
  <si>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</si>
  <si>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</si>
  <si>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</si>
  <si>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</si>
  <si>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</si>
  <si>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</si>
  <si>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</si>
  <si>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</si>
  <si>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</si>
  <si>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</si>
  <si>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</si>
  <si>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</si>
  <si>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</si>
  <si>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</si>
  <si>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</si>
  <si>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</si>
  <si>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</si>
  <si>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</si>
  <si>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</si>
  <si>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</si>
  <si>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</si>
  <si>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</si>
  <si>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</si>
  <si>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</si>
  <si>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</si>
  <si>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</si>
  <si>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</si>
  <si>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</si>
  <si>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</si>
  <si>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</si>
  <si>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</si>
  <si>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</si>
  <si>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</si>
  <si>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</si>
  <si>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</si>
  <si>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</si>
  <si>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</si>
  <si>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</si>
  <si>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</si>
  <si>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</si>
  <si>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</si>
  <si>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</si>
  <si>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</si>
  <si>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</si>
  <si>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</si>
  <si>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</si>
  <si>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Knight+Rogue</t>
  </si>
  <si>
    <t>Mage+Rogue</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</si>
  <si>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</si>
  <si>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</si>
  <si>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</si>
  <si>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</si>
  <si>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</si>
  <si>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</si>
  <si>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</si>
  <si>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</si>
  <si>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</si>
  <si>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</si>
  <si>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</si>
  <si>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</si>
  <si>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</si>
  <si>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</si>
  <si>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</si>
  <si>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</si>
  <si>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</si>
  <si>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</si>
  <si>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</si>
  <si>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</si>
  <si>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</si>
  <si>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</si>
  <si>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</si>
  <si>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</si>
  <si>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</si>
  <si>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</si>
  <si>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</si>
  <si>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</si>
  <si>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</si>
  <si>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</si>
  <si>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</si>
  <si>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</si>
  <si>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</si>
  <si>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</si>
  <si>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</si>
  <si>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</si>
  <si>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</si>
  <si>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</si>
  <si>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</si>
  <si>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</si>
  <si>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</si>
  <si>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</si>
  <si>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</si>
  <si>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</si>
  <si>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</si>
  <si>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</si>
  <si>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</si>
  <si>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</si>
  <si>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</si>
  <si>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</si>
  <si>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</si>
  <si>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</si>
  <si>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</si>
  <si>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</si>
  <si>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</si>
  <si>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</si>
  <si>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</si>
  <si>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</si>
  <si>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</si>
  <si>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</si>
  <si>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</si>
  <si>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</si>
  <si>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</si>
  <si>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</si>
  <si>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</si>
  <si>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</si>
  <si>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</si>
  <si>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</si>
  <si>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</si>
  <si>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</si>
  <si>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</si>
  <si>
    <t>Add {amount} to the potency of {status} for all {targets} in 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</si>
</sst>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name val="Calibri"/>
    </font>
    <font>
      <u/>
      <sz val="11"/>
      <color rgb="FF0000FF"/>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wrapText="1"/>
    </xf>
    <xf numFmtId="0" fontId="2" fillId="0" borderId="0" xfId="0" applyFont="1" applyAlignment="1">
      <alignment wrapText="1"/>
    </xf>
    <xf numFmtId="0" fontId="3" fillId="0" borderId="0" xfId="0" applyFont="1" applyAlignment="1">
      <alignment wrapText="1"/>
    </xf>
    <xf numFmtId="2" fontId="0" fillId="0" borderId="0" xfId="0" applyNumberFormat="1"/>
    <xf numFmtId="2" fontId="2" fillId="0" borderId="0" xfId="0" applyNumberFormat="1" applyFont="1"/>
    <xf numFmtId="0" fontId="3" fillId="0" borderId="0" xfId="0" applyFont="1"/>
    <xf numFmtId="0" fontId="4" fillId="0" borderId="0" xfId="0" applyFont="1"/>
    <xf numFmtId="0" fontId="5" fillId="0" borderId="0" xfId="0" applyFont="1"/>
  </cellXfs>
  <cellStyles count="1">
    <cellStyle name="Normal" xfId="0" builtinId="0"/>
  </cellStyles>
  <dxfs count="14">
    <dxf>
      <fill>
        <patternFill>
          <bgColor rgb="FFFFC7CE"/>
        </patternFill>
      </fill>
    </dxf>
    <dxf>
      <fill>
        <patternFill>
          <bgColor rgb="FFFFEB9C"/>
        </patternFill>
      </fill>
    </dxf>
    <dxf>
      <font>
        <color rgb="FF1F4E79"/>
      </font>
      <fill>
        <patternFill>
          <bgColor rgb="FFDDEBF7"/>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FFF2CC"/>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Power curve - cost vs delivered power, by rarity (Proposed = Ideas tabs)</a:t>
            </a:r>
          </a:p>
        </c:rich>
      </c:tx>
      <c:overlay val="0"/>
    </c:title>
    <c:autoTitleDeleted val="0"/>
    <c:plotArea>
      <c:layout/>
      <c:scatterChart>
        <c:scatterStyle val="lineMarker"/>
        <c:varyColors val="0"/>
        <c:ser>
          <c:idx val="0"/>
          <c:order val="0"/>
          <c:tx>
            <c:v>Common</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Balance!$AC$2:$AC$170</c:f>
              <c:numCache>
                <c:formatCode>General</c:formatCode>
                <c:ptCount val="169"/>
                <c:pt idx="0">
                  <c:v>#N/A</c:v>
                </c:pt>
                <c:pt idx="1">
                  <c:v>#N/A</c:v>
                </c:pt>
                <c:pt idx="2">
                  <c:v>4.9000000000000004</c:v>
                </c:pt>
                <c:pt idx="3">
                  <c:v>#N/A</c:v>
                </c:pt>
                <c:pt idx="4">
                  <c:v>#N/A</c:v>
                </c:pt>
                <c:pt idx="5">
                  <c:v>#N/A</c:v>
                </c:pt>
                <c:pt idx="6">
                  <c:v>#N/A</c:v>
                </c:pt>
                <c:pt idx="7">
                  <c:v>#N/A</c:v>
                </c:pt>
                <c:pt idx="8">
                  <c:v>#N/A</c:v>
                </c:pt>
                <c:pt idx="9">
                  <c:v>#N/A</c:v>
                </c:pt>
                <c:pt idx="10">
                  <c:v>#N/A</c:v>
                </c:pt>
                <c:pt idx="11">
                  <c:v>9</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3</c:v>
                </c:pt>
                <c:pt idx="26">
                  <c:v>#N/A</c:v>
                </c:pt>
                <c:pt idx="27">
                  <c:v>#N/A</c:v>
                </c:pt>
                <c:pt idx="28">
                  <c:v>#N/A</c:v>
                </c:pt>
                <c:pt idx="29">
                  <c:v>8</c:v>
                </c:pt>
                <c:pt idx="30">
                  <c:v>4</c:v>
                </c:pt>
                <c:pt idx="31">
                  <c:v>3</c:v>
                </c:pt>
                <c:pt idx="32">
                  <c:v>#N/A</c:v>
                </c:pt>
                <c:pt idx="33">
                  <c:v>5</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12</c:v>
                </c:pt>
                <c:pt idx="58">
                  <c:v>#N/A</c:v>
                </c:pt>
                <c:pt idx="59">
                  <c:v>#N/A</c:v>
                </c:pt>
                <c:pt idx="60">
                  <c:v>#N/A</c:v>
                </c:pt>
                <c:pt idx="61">
                  <c:v>#N/A</c:v>
                </c:pt>
                <c:pt idx="62">
                  <c:v>#N/A</c:v>
                </c:pt>
                <c:pt idx="63">
                  <c:v>3</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0-73A5-4333-9088-6FD8344049BE}"/>
            </c:ext>
          </c:extLst>
        </c:ser>
        <c:ser>
          <c:idx val="1"/>
          <c:order val="1"/>
          <c:tx>
            <c:v>Uncommon</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Balance!$AD$2:$AD$170</c:f>
              <c:numCache>
                <c:formatCode>General</c:formatCode>
                <c:ptCount val="169"/>
                <c:pt idx="0">
                  <c:v>13.5</c:v>
                </c:pt>
                <c:pt idx="1">
                  <c:v>5</c:v>
                </c:pt>
                <c:pt idx="2">
                  <c:v>#N/A</c:v>
                </c:pt>
                <c:pt idx="3">
                  <c:v>6.5</c:v>
                </c:pt>
                <c:pt idx="4">
                  <c:v>#N/A</c:v>
                </c:pt>
                <c:pt idx="5">
                  <c:v>10.5</c:v>
                </c:pt>
                <c:pt idx="6">
                  <c:v>9</c:v>
                </c:pt>
                <c:pt idx="7">
                  <c:v>6</c:v>
                </c:pt>
                <c:pt idx="8">
                  <c:v>4</c:v>
                </c:pt>
                <c:pt idx="9">
                  <c:v>8.5</c:v>
                </c:pt>
                <c:pt idx="10">
                  <c:v>10</c:v>
                </c:pt>
                <c:pt idx="11">
                  <c:v>#N/A</c:v>
                </c:pt>
                <c:pt idx="12">
                  <c:v>#N/A</c:v>
                </c:pt>
                <c:pt idx="13">
                  <c:v>5</c:v>
                </c:pt>
                <c:pt idx="14">
                  <c:v>#N/A</c:v>
                </c:pt>
                <c:pt idx="15">
                  <c:v>#N/A</c:v>
                </c:pt>
                <c:pt idx="16">
                  <c:v>#N/A</c:v>
                </c:pt>
                <c:pt idx="17">
                  <c:v>#N/A</c:v>
                </c:pt>
                <c:pt idx="18">
                  <c:v>#N/A</c:v>
                </c:pt>
                <c:pt idx="19">
                  <c:v>#N/A</c:v>
                </c:pt>
                <c:pt idx="20">
                  <c:v>#N/A</c:v>
                </c:pt>
                <c:pt idx="21">
                  <c:v>#N/A</c:v>
                </c:pt>
                <c:pt idx="22">
                  <c:v>#N/A</c:v>
                </c:pt>
                <c:pt idx="23">
                  <c:v>#N/A</c:v>
                </c:pt>
                <c:pt idx="24">
                  <c:v>9</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18</c:v>
                </c:pt>
                <c:pt idx="41">
                  <c:v>#N/A</c:v>
                </c:pt>
                <c:pt idx="42">
                  <c:v>#N/A</c:v>
                </c:pt>
                <c:pt idx="43">
                  <c:v>#N/A</c:v>
                </c:pt>
                <c:pt idx="44">
                  <c:v>#N/A</c:v>
                </c:pt>
                <c:pt idx="45">
                  <c:v>#N/A</c:v>
                </c:pt>
                <c:pt idx="46">
                  <c:v>#N/A</c:v>
                </c:pt>
                <c:pt idx="47">
                  <c:v>#N/A</c:v>
                </c:pt>
                <c:pt idx="48">
                  <c:v>3</c:v>
                </c:pt>
                <c:pt idx="49">
                  <c:v>#N/A</c:v>
                </c:pt>
                <c:pt idx="50">
                  <c:v>9</c:v>
                </c:pt>
                <c:pt idx="51">
                  <c:v>#N/A</c:v>
                </c:pt>
                <c:pt idx="52">
                  <c:v>#N/A</c:v>
                </c:pt>
                <c:pt idx="53">
                  <c:v>6</c:v>
                </c:pt>
                <c:pt idx="54">
                  <c:v>3</c:v>
                </c:pt>
                <c:pt idx="55">
                  <c:v>11.2</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1-73A5-4333-9088-6FD8344049BE}"/>
            </c:ext>
          </c:extLst>
        </c:ser>
        <c:ser>
          <c:idx val="2"/>
          <c:order val="2"/>
          <c:tx>
            <c:v>Rare</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Balance!$AE$2:$AE$170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16</c:v>
                </c:pt>
                <c:pt idx="15">
                  <c:v>#N/A</c:v>
                </c:pt>
                <c:pt idx="16">
                  <c:v>#N/A</c:v>
                </c:pt>
                <c:pt idx="17">
                  <c:v>#N/A</c:v>
                </c:pt>
                <c:pt idx="18">
                  <c:v>#N/A</c:v>
                </c:pt>
                <c:pt idx="19">
                  <c:v>#N/A</c:v>
                </c:pt>
                <c:pt idx="20">
                  <c:v>6.3</c:v>
                </c:pt>
                <c:pt idx="21">
                  <c:v>#N/A</c:v>
                </c:pt>
                <c:pt idx="22">
                  <c:v>#N/A</c:v>
                </c:pt>
                <c:pt idx="23">
                  <c:v>3</c:v>
                </c:pt>
                <c:pt idx="24">
                  <c:v>#N/A</c:v>
                </c:pt>
                <c:pt idx="25">
                  <c:v>#N/A</c:v>
                </c:pt>
                <c:pt idx="26">
                  <c:v>#N/A</c:v>
                </c:pt>
                <c:pt idx="27">
                  <c:v>#N/A</c:v>
                </c:pt>
                <c:pt idx="28">
                  <c:v>#N/A</c:v>
                </c:pt>
                <c:pt idx="29">
                  <c:v>#N/A</c:v>
                </c:pt>
                <c:pt idx="30">
                  <c:v>#N/A</c:v>
                </c:pt>
                <c:pt idx="31">
                  <c:v>#N/A</c:v>
                </c:pt>
                <c:pt idx="32">
                  <c:v>20</c:v>
                </c:pt>
                <c:pt idx="33">
                  <c:v>#N/A</c:v>
                </c:pt>
                <c:pt idx="34">
                  <c:v>12</c:v>
                </c:pt>
                <c:pt idx="35">
                  <c:v>5</c:v>
                </c:pt>
                <c:pt idx="36">
                  <c:v>20</c:v>
                </c:pt>
                <c:pt idx="37">
                  <c:v>#N/A</c:v>
                </c:pt>
                <c:pt idx="38">
                  <c:v>#N/A</c:v>
                </c:pt>
                <c:pt idx="39">
                  <c:v>#N/A</c:v>
                </c:pt>
                <c:pt idx="40">
                  <c:v>#N/A</c:v>
                </c:pt>
                <c:pt idx="41">
                  <c:v>#N/A</c:v>
                </c:pt>
                <c:pt idx="42">
                  <c:v>16</c:v>
                </c:pt>
                <c:pt idx="43">
                  <c:v>#N/A</c:v>
                </c:pt>
                <c:pt idx="44">
                  <c:v>18</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2-73A5-4333-9088-6FD8344049BE}"/>
            </c:ext>
          </c:extLst>
        </c:ser>
        <c:ser>
          <c:idx val="3"/>
          <c:order val="3"/>
          <c:tx>
            <c:v>Legendary</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Balance!$AF$2:$AF$170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3-73A5-4333-9088-6FD8344049BE}"/>
            </c:ext>
          </c:extLst>
        </c:ser>
        <c:ser>
          <c:idx val="4"/>
          <c:order val="4"/>
          <c:tx>
            <c:v>Proposed</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Balance!$AK$2:$AK$170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9.5</c:v>
                </c:pt>
                <c:pt idx="66">
                  <c:v>16</c:v>
                </c:pt>
                <c:pt idx="67">
                  <c:v>13.9</c:v>
                </c:pt>
                <c:pt idx="68">
                  <c:v>9</c:v>
                </c:pt>
                <c:pt idx="69">
                  <c:v>10</c:v>
                </c:pt>
                <c:pt idx="70">
                  <c:v>12</c:v>
                </c:pt>
                <c:pt idx="71">
                  <c:v>4</c:v>
                </c:pt>
                <c:pt idx="72">
                  <c:v>6.6</c:v>
                </c:pt>
                <c:pt idx="73">
                  <c:v>8.5</c:v>
                </c:pt>
                <c:pt idx="74">
                  <c:v>24</c:v>
                </c:pt>
                <c:pt idx="75">
                  <c:v>23</c:v>
                </c:pt>
                <c:pt idx="76">
                  <c:v>3</c:v>
                </c:pt>
                <c:pt idx="77">
                  <c:v>18</c:v>
                </c:pt>
                <c:pt idx="78">
                  <c:v>9</c:v>
                </c:pt>
                <c:pt idx="79">
                  <c:v>3.5</c:v>
                </c:pt>
                <c:pt idx="80">
                  <c:v>3</c:v>
                </c:pt>
                <c:pt idx="81">
                  <c:v>18</c:v>
                </c:pt>
                <c:pt idx="82">
                  <c:v>6</c:v>
                </c:pt>
                <c:pt idx="83">
                  <c:v>14</c:v>
                </c:pt>
                <c:pt idx="84">
                  <c:v>6</c:v>
                </c:pt>
                <c:pt idx="85">
                  <c:v>19.5</c:v>
                </c:pt>
                <c:pt idx="86">
                  <c:v>5</c:v>
                </c:pt>
                <c:pt idx="87">
                  <c:v>6</c:v>
                </c:pt>
                <c:pt idx="88">
                  <c:v>12</c:v>
                </c:pt>
                <c:pt idx="89">
                  <c:v>3.5</c:v>
                </c:pt>
                <c:pt idx="90">
                  <c:v>35.5</c:v>
                </c:pt>
                <c:pt idx="91">
                  <c:v>10</c:v>
                </c:pt>
                <c:pt idx="92">
                  <c:v>22.5</c:v>
                </c:pt>
                <c:pt idx="93">
                  <c:v>32</c:v>
                </c:pt>
                <c:pt idx="94">
                  <c:v>24</c:v>
                </c:pt>
                <c:pt idx="95">
                  <c:v>29.5</c:v>
                </c:pt>
                <c:pt idx="96">
                  <c:v>15</c:v>
                </c:pt>
                <c:pt idx="97">
                  <c:v>45</c:v>
                </c:pt>
                <c:pt idx="98">
                  <c:v>40</c:v>
                </c:pt>
                <c:pt idx="99">
                  <c:v>27.5</c:v>
                </c:pt>
                <c:pt idx="100">
                  <c:v>6</c:v>
                </c:pt>
                <c:pt idx="101">
                  <c:v>3</c:v>
                </c:pt>
                <c:pt idx="102">
                  <c:v>5</c:v>
                </c:pt>
                <c:pt idx="103">
                  <c:v>16</c:v>
                </c:pt>
                <c:pt idx="104">
                  <c:v>48</c:v>
                </c:pt>
                <c:pt idx="105">
                  <c:v>4.9000000000000004</c:v>
                </c:pt>
                <c:pt idx="106">
                  <c:v>12</c:v>
                </c:pt>
                <c:pt idx="107">
                  <c:v>24</c:v>
                </c:pt>
                <c:pt idx="108">
                  <c:v>17.5</c:v>
                </c:pt>
                <c:pt idx="109">
                  <c:v>3</c:v>
                </c:pt>
                <c:pt idx="110">
                  <c:v>#N/A</c:v>
                </c:pt>
                <c:pt idx="111">
                  <c:v>18</c:v>
                </c:pt>
                <c:pt idx="112">
                  <c:v>15</c:v>
                </c:pt>
                <c:pt idx="113">
                  <c:v>3</c:v>
                </c:pt>
                <c:pt idx="114">
                  <c:v>9</c:v>
                </c:pt>
                <c:pt idx="115">
                  <c:v>16.2</c:v>
                </c:pt>
                <c:pt idx="116">
                  <c:v>6</c:v>
                </c:pt>
                <c:pt idx="117">
                  <c:v>5</c:v>
                </c:pt>
                <c:pt idx="118">
                  <c:v>9</c:v>
                </c:pt>
                <c:pt idx="119">
                  <c:v>6</c:v>
                </c:pt>
                <c:pt idx="120">
                  <c:v>36</c:v>
                </c:pt>
                <c:pt idx="121">
                  <c:v>#N/A</c:v>
                </c:pt>
                <c:pt idx="122">
                  <c:v>13.5</c:v>
                </c:pt>
                <c:pt idx="123">
                  <c:v>48</c:v>
                </c:pt>
                <c:pt idx="124">
                  <c:v>6</c:v>
                </c:pt>
                <c:pt idx="125">
                  <c:v>40</c:v>
                </c:pt>
                <c:pt idx="126">
                  <c:v>20</c:v>
                </c:pt>
                <c:pt idx="127">
                  <c:v>24</c:v>
                </c:pt>
                <c:pt idx="128">
                  <c:v>#N/A</c:v>
                </c:pt>
                <c:pt idx="129">
                  <c:v>6.3</c:v>
                </c:pt>
                <c:pt idx="130">
                  <c:v>12</c:v>
                </c:pt>
                <c:pt idx="131">
                  <c:v>25</c:v>
                </c:pt>
                <c:pt idx="132">
                  <c:v>45</c:v>
                </c:pt>
                <c:pt idx="133">
                  <c:v>21</c:v>
                </c:pt>
                <c:pt idx="134">
                  <c:v>7</c:v>
                </c:pt>
                <c:pt idx="135">
                  <c:v>6.6</c:v>
                </c:pt>
                <c:pt idx="136">
                  <c:v>10</c:v>
                </c:pt>
                <c:pt idx="137">
                  <c:v>#N/A</c:v>
                </c:pt>
                <c:pt idx="138">
                  <c:v>12</c:v>
                </c:pt>
                <c:pt idx="139">
                  <c:v>14</c:v>
                </c:pt>
                <c:pt idx="140">
                  <c:v>4</c:v>
                </c:pt>
                <c:pt idx="141">
                  <c:v>9</c:v>
                </c:pt>
                <c:pt idx="142">
                  <c:v>3</c:v>
                </c:pt>
                <c:pt idx="143">
                  <c:v>16</c:v>
                </c:pt>
                <c:pt idx="144">
                  <c:v>3</c:v>
                </c:pt>
                <c:pt idx="145">
                  <c:v>3</c:v>
                </c:pt>
                <c:pt idx="146">
                  <c:v>6</c:v>
                </c:pt>
                <c:pt idx="147">
                  <c:v>3</c:v>
                </c:pt>
                <c:pt idx="148">
                  <c:v>18</c:v>
                </c:pt>
                <c:pt idx="149">
                  <c:v>25.2</c:v>
                </c:pt>
                <c:pt idx="150">
                  <c:v>16.2</c:v>
                </c:pt>
                <c:pt idx="151">
                  <c:v>17</c:v>
                </c:pt>
                <c:pt idx="152">
                  <c:v>9</c:v>
                </c:pt>
                <c:pt idx="153">
                  <c:v>6</c:v>
                </c:pt>
                <c:pt idx="154">
                  <c:v>6</c:v>
                </c:pt>
                <c:pt idx="155">
                  <c:v>12</c:v>
                </c:pt>
                <c:pt idx="156">
                  <c:v>28.8</c:v>
                </c:pt>
                <c:pt idx="157">
                  <c:v>#N/A</c:v>
                </c:pt>
                <c:pt idx="158">
                  <c:v>3</c:v>
                </c:pt>
                <c:pt idx="159">
                  <c:v>4</c:v>
                </c:pt>
                <c:pt idx="160">
                  <c:v>60.8</c:v>
                </c:pt>
                <c:pt idx="161">
                  <c:v>31.2</c:v>
                </c:pt>
                <c:pt idx="162">
                  <c:v>9</c:v>
                </c:pt>
                <c:pt idx="163">
                  <c:v>38</c:v>
                </c:pt>
                <c:pt idx="164">
                  <c:v>28</c:v>
                </c:pt>
                <c:pt idx="165">
                  <c:v>15</c:v>
                </c:pt>
                <c:pt idx="166">
                  <c:v>66</c:v>
                </c:pt>
                <c:pt idx="167">
                  <c:v>21</c:v>
                </c:pt>
                <c:pt idx="168">
                  <c:v>24</c:v>
                </c:pt>
              </c:numCache>
            </c:numRef>
          </c:yVal>
          <c:smooth val="0"/>
          <c:extLst>
            <c:ext xmlns:c16="http://schemas.microsoft.com/office/drawing/2014/chart" uri="{C3380CC4-5D6E-409C-BE32-E72D297353CC}">
              <c16:uniqueId val="{00000004-73A5-4333-9088-6FD8344049BE}"/>
            </c:ext>
          </c:extLst>
        </c:ser>
        <c:ser>
          <c:idx val="5"/>
          <c:order val="5"/>
          <c:tx>
            <c:v>Expected</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Balance!$AJ$2:$AJ$170</c:f>
              <c:numCache>
                <c:formatCode>General</c:formatCode>
                <c:ptCount val="169"/>
                <c:pt idx="0">
                  <c:v>9.1999999999999993</c:v>
                </c:pt>
                <c:pt idx="1">
                  <c:v>9.1999999999999993</c:v>
                </c:pt>
                <c:pt idx="2">
                  <c:v>8</c:v>
                </c:pt>
                <c:pt idx="3">
                  <c:v>9.1999999999999993</c:v>
                </c:pt>
                <c:pt idx="4">
                  <c:v>#N/A</c:v>
                </c:pt>
                <c:pt idx="5">
                  <c:v>16.100000000000001</c:v>
                </c:pt>
                <c:pt idx="6">
                  <c:v>9.1999999999999993</c:v>
                </c:pt>
                <c:pt idx="7">
                  <c:v>16.100000000000001</c:v>
                </c:pt>
                <c:pt idx="8">
                  <c:v>9.1999999999999993</c:v>
                </c:pt>
                <c:pt idx="9">
                  <c:v>9.1999999999999993</c:v>
                </c:pt>
                <c:pt idx="10">
                  <c:v>9.1999999999999993</c:v>
                </c:pt>
                <c:pt idx="11">
                  <c:v>8</c:v>
                </c:pt>
                <c:pt idx="12">
                  <c:v>8</c:v>
                </c:pt>
                <c:pt idx="13">
                  <c:v>9.1999999999999993</c:v>
                </c:pt>
                <c:pt idx="14">
                  <c:v>10.8</c:v>
                </c:pt>
                <c:pt idx="15">
                  <c:v>#N/A</c:v>
                </c:pt>
                <c:pt idx="16">
                  <c:v>#N/A</c:v>
                </c:pt>
                <c:pt idx="17">
                  <c:v>#N/A</c:v>
                </c:pt>
                <c:pt idx="18">
                  <c:v>#N/A</c:v>
                </c:pt>
                <c:pt idx="19">
                  <c:v>#N/A</c:v>
                </c:pt>
                <c:pt idx="20">
                  <c:v>27</c:v>
                </c:pt>
                <c:pt idx="21">
                  <c:v>#N/A</c:v>
                </c:pt>
                <c:pt idx="22">
                  <c:v>#N/A</c:v>
                </c:pt>
                <c:pt idx="23">
                  <c:v>2.7</c:v>
                </c:pt>
                <c:pt idx="24">
                  <c:v>9.1999999999999993</c:v>
                </c:pt>
                <c:pt idx="25">
                  <c:v>8</c:v>
                </c:pt>
                <c:pt idx="26">
                  <c:v>#N/A</c:v>
                </c:pt>
                <c:pt idx="27">
                  <c:v>#N/A</c:v>
                </c:pt>
                <c:pt idx="28">
                  <c:v>#N/A</c:v>
                </c:pt>
                <c:pt idx="29">
                  <c:v>8</c:v>
                </c:pt>
                <c:pt idx="30">
                  <c:v>8</c:v>
                </c:pt>
                <c:pt idx="31">
                  <c:v>8</c:v>
                </c:pt>
                <c:pt idx="32">
                  <c:v>10.8</c:v>
                </c:pt>
                <c:pt idx="33">
                  <c:v>8</c:v>
                </c:pt>
                <c:pt idx="34">
                  <c:v>10.8</c:v>
                </c:pt>
                <c:pt idx="35">
                  <c:v>10.8</c:v>
                </c:pt>
                <c:pt idx="36">
                  <c:v>10.8</c:v>
                </c:pt>
                <c:pt idx="37">
                  <c:v>#N/A</c:v>
                </c:pt>
                <c:pt idx="38">
                  <c:v>#N/A</c:v>
                </c:pt>
                <c:pt idx="39">
                  <c:v>#N/A</c:v>
                </c:pt>
                <c:pt idx="40">
                  <c:v>16.100000000000001</c:v>
                </c:pt>
                <c:pt idx="41">
                  <c:v>#N/A</c:v>
                </c:pt>
                <c:pt idx="42">
                  <c:v>18.899999999999999</c:v>
                </c:pt>
                <c:pt idx="43">
                  <c:v>#N/A</c:v>
                </c:pt>
                <c:pt idx="44">
                  <c:v>18.899999999999999</c:v>
                </c:pt>
                <c:pt idx="45">
                  <c:v>#N/A</c:v>
                </c:pt>
                <c:pt idx="46">
                  <c:v>#N/A</c:v>
                </c:pt>
                <c:pt idx="47">
                  <c:v>#N/A</c:v>
                </c:pt>
                <c:pt idx="48">
                  <c:v>2.2999999999999998</c:v>
                </c:pt>
                <c:pt idx="49">
                  <c:v>#N/A</c:v>
                </c:pt>
                <c:pt idx="50">
                  <c:v>9.1999999999999993</c:v>
                </c:pt>
                <c:pt idx="51">
                  <c:v>#N/A</c:v>
                </c:pt>
                <c:pt idx="52">
                  <c:v>#N/A</c:v>
                </c:pt>
                <c:pt idx="53">
                  <c:v>9.1999999999999993</c:v>
                </c:pt>
                <c:pt idx="54">
                  <c:v>2.2999999999999998</c:v>
                </c:pt>
                <c:pt idx="55">
                  <c:v>9.1999999999999993</c:v>
                </c:pt>
                <c:pt idx="56">
                  <c:v>#N/A</c:v>
                </c:pt>
                <c:pt idx="57">
                  <c:v>8</c:v>
                </c:pt>
                <c:pt idx="58">
                  <c:v>#N/A</c:v>
                </c:pt>
                <c:pt idx="59">
                  <c:v>#N/A</c:v>
                </c:pt>
                <c:pt idx="60">
                  <c:v>#N/A</c:v>
                </c:pt>
                <c:pt idx="61">
                  <c:v>8</c:v>
                </c:pt>
                <c:pt idx="62">
                  <c:v>8</c:v>
                </c:pt>
                <c:pt idx="63">
                  <c:v>8</c:v>
                </c:pt>
                <c:pt idx="64">
                  <c:v>8</c:v>
                </c:pt>
                <c:pt idx="65">
                  <c:v>8</c:v>
                </c:pt>
                <c:pt idx="66">
                  <c:v>9.1999999999999993</c:v>
                </c:pt>
                <c:pt idx="67">
                  <c:v>16.100000000000001</c:v>
                </c:pt>
                <c:pt idx="68">
                  <c:v>8</c:v>
                </c:pt>
                <c:pt idx="69">
                  <c:v>18.899999999999999</c:v>
                </c:pt>
                <c:pt idx="70">
                  <c:v>14</c:v>
                </c:pt>
                <c:pt idx="71">
                  <c:v>9.1999999999999993</c:v>
                </c:pt>
                <c:pt idx="72">
                  <c:v>2</c:v>
                </c:pt>
                <c:pt idx="73">
                  <c:v>16.100000000000001</c:v>
                </c:pt>
                <c:pt idx="74">
                  <c:v>27</c:v>
                </c:pt>
                <c:pt idx="75">
                  <c:v>16.100000000000001</c:v>
                </c:pt>
                <c:pt idx="76">
                  <c:v>9.1999999999999993</c:v>
                </c:pt>
                <c:pt idx="77">
                  <c:v>18.899999999999999</c:v>
                </c:pt>
                <c:pt idx="78">
                  <c:v>16.100000000000001</c:v>
                </c:pt>
                <c:pt idx="79">
                  <c:v>8</c:v>
                </c:pt>
                <c:pt idx="80">
                  <c:v>18.899999999999999</c:v>
                </c:pt>
                <c:pt idx="81">
                  <c:v>16.100000000000001</c:v>
                </c:pt>
                <c:pt idx="82">
                  <c:v>8</c:v>
                </c:pt>
                <c:pt idx="83">
                  <c:v>16.100000000000001</c:v>
                </c:pt>
                <c:pt idx="84">
                  <c:v>8</c:v>
                </c:pt>
                <c:pt idx="85">
                  <c:v>18.899999999999999</c:v>
                </c:pt>
                <c:pt idx="86">
                  <c:v>9.1999999999999993</c:v>
                </c:pt>
                <c:pt idx="87">
                  <c:v>9.1999999999999993</c:v>
                </c:pt>
                <c:pt idx="88">
                  <c:v>18.899999999999999</c:v>
                </c:pt>
                <c:pt idx="89">
                  <c:v>8</c:v>
                </c:pt>
                <c:pt idx="90">
                  <c:v>32</c:v>
                </c:pt>
                <c:pt idx="91">
                  <c:v>8</c:v>
                </c:pt>
                <c:pt idx="92">
                  <c:v>32</c:v>
                </c:pt>
                <c:pt idx="93">
                  <c:v>27</c:v>
                </c:pt>
                <c:pt idx="94">
                  <c:v>18.899999999999999</c:v>
                </c:pt>
                <c:pt idx="95">
                  <c:v>32</c:v>
                </c:pt>
                <c:pt idx="96">
                  <c:v>27</c:v>
                </c:pt>
                <c:pt idx="97">
                  <c:v>32</c:v>
                </c:pt>
                <c:pt idx="98">
                  <c:v>27</c:v>
                </c:pt>
                <c:pt idx="99">
                  <c:v>32</c:v>
                </c:pt>
                <c:pt idx="100">
                  <c:v>8</c:v>
                </c:pt>
                <c:pt idx="101">
                  <c:v>2</c:v>
                </c:pt>
                <c:pt idx="102">
                  <c:v>8</c:v>
                </c:pt>
                <c:pt idx="103">
                  <c:v>18.899999999999999</c:v>
                </c:pt>
                <c:pt idx="104">
                  <c:v>27</c:v>
                </c:pt>
                <c:pt idx="105">
                  <c:v>9.1999999999999993</c:v>
                </c:pt>
                <c:pt idx="106">
                  <c:v>16.100000000000001</c:v>
                </c:pt>
                <c:pt idx="107">
                  <c:v>27</c:v>
                </c:pt>
                <c:pt idx="108">
                  <c:v>18.899999999999999</c:v>
                </c:pt>
                <c:pt idx="109">
                  <c:v>2.2999999999999998</c:v>
                </c:pt>
                <c:pt idx="110">
                  <c:v>#N/A</c:v>
                </c:pt>
                <c:pt idx="111">
                  <c:v>9.1999999999999993</c:v>
                </c:pt>
                <c:pt idx="112">
                  <c:v>16.100000000000001</c:v>
                </c:pt>
                <c:pt idx="113">
                  <c:v>8</c:v>
                </c:pt>
                <c:pt idx="114">
                  <c:v>8</c:v>
                </c:pt>
                <c:pt idx="115">
                  <c:v>16.100000000000001</c:v>
                </c:pt>
                <c:pt idx="116">
                  <c:v>9.1999999999999993</c:v>
                </c:pt>
                <c:pt idx="117">
                  <c:v>18.899999999999999</c:v>
                </c:pt>
                <c:pt idx="118">
                  <c:v>18.899999999999999</c:v>
                </c:pt>
                <c:pt idx="119">
                  <c:v>9.1999999999999993</c:v>
                </c:pt>
                <c:pt idx="120">
                  <c:v>27</c:v>
                </c:pt>
                <c:pt idx="121">
                  <c:v>#N/A</c:v>
                </c:pt>
                <c:pt idx="122">
                  <c:v>16.100000000000001</c:v>
                </c:pt>
                <c:pt idx="123">
                  <c:v>27</c:v>
                </c:pt>
                <c:pt idx="124">
                  <c:v>9.1999999999999993</c:v>
                </c:pt>
                <c:pt idx="125">
                  <c:v>32</c:v>
                </c:pt>
                <c:pt idx="126">
                  <c:v>32</c:v>
                </c:pt>
                <c:pt idx="127">
                  <c:v>27</c:v>
                </c:pt>
                <c:pt idx="128">
                  <c:v>#N/A</c:v>
                </c:pt>
                <c:pt idx="129">
                  <c:v>16.100000000000001</c:v>
                </c:pt>
                <c:pt idx="130">
                  <c:v>16.100000000000001</c:v>
                </c:pt>
                <c:pt idx="131">
                  <c:v>32</c:v>
                </c:pt>
                <c:pt idx="132">
                  <c:v>27</c:v>
                </c:pt>
                <c:pt idx="133">
                  <c:v>32</c:v>
                </c:pt>
                <c:pt idx="134">
                  <c:v>8</c:v>
                </c:pt>
                <c:pt idx="135">
                  <c:v>9.1999999999999993</c:v>
                </c:pt>
                <c:pt idx="136">
                  <c:v>16.100000000000001</c:v>
                </c:pt>
                <c:pt idx="137">
                  <c:v>#N/A</c:v>
                </c:pt>
                <c:pt idx="138">
                  <c:v>8</c:v>
                </c:pt>
                <c:pt idx="139">
                  <c:v>18.899999999999999</c:v>
                </c:pt>
                <c:pt idx="140">
                  <c:v>9.1999999999999993</c:v>
                </c:pt>
                <c:pt idx="141">
                  <c:v>8</c:v>
                </c:pt>
                <c:pt idx="142">
                  <c:v>2</c:v>
                </c:pt>
                <c:pt idx="143">
                  <c:v>16.100000000000001</c:v>
                </c:pt>
                <c:pt idx="144">
                  <c:v>2.2999999999999998</c:v>
                </c:pt>
                <c:pt idx="145">
                  <c:v>10.8</c:v>
                </c:pt>
                <c:pt idx="146">
                  <c:v>8</c:v>
                </c:pt>
                <c:pt idx="147">
                  <c:v>9.1999999999999993</c:v>
                </c:pt>
                <c:pt idx="148">
                  <c:v>18.899999999999999</c:v>
                </c:pt>
                <c:pt idx="149">
                  <c:v>16.100000000000001</c:v>
                </c:pt>
                <c:pt idx="150">
                  <c:v>18.899999999999999</c:v>
                </c:pt>
                <c:pt idx="151">
                  <c:v>18.899999999999999</c:v>
                </c:pt>
                <c:pt idx="152">
                  <c:v>18.899999999999999</c:v>
                </c:pt>
                <c:pt idx="153">
                  <c:v>8</c:v>
                </c:pt>
                <c:pt idx="154">
                  <c:v>9.1999999999999993</c:v>
                </c:pt>
                <c:pt idx="155">
                  <c:v>8</c:v>
                </c:pt>
                <c:pt idx="156">
                  <c:v>27</c:v>
                </c:pt>
                <c:pt idx="157">
                  <c:v>#N/A</c:v>
                </c:pt>
                <c:pt idx="158">
                  <c:v>2.7</c:v>
                </c:pt>
                <c:pt idx="159">
                  <c:v>2</c:v>
                </c:pt>
                <c:pt idx="160">
                  <c:v>32</c:v>
                </c:pt>
                <c:pt idx="161">
                  <c:v>27</c:v>
                </c:pt>
                <c:pt idx="162">
                  <c:v>32</c:v>
                </c:pt>
                <c:pt idx="163">
                  <c:v>32</c:v>
                </c:pt>
                <c:pt idx="164">
                  <c:v>27</c:v>
                </c:pt>
                <c:pt idx="165">
                  <c:v>32</c:v>
                </c:pt>
                <c:pt idx="166">
                  <c:v>27</c:v>
                </c:pt>
                <c:pt idx="167">
                  <c:v>18.899999999999999</c:v>
                </c:pt>
                <c:pt idx="168">
                  <c:v>32</c:v>
                </c:pt>
              </c:numCache>
            </c:numRef>
          </c:yVal>
          <c:smooth val="0"/>
          <c:extLst>
            <c:ext xmlns:c16="http://schemas.microsoft.com/office/drawing/2014/chart" uri="{C3380CC4-5D6E-409C-BE32-E72D297353CC}">
              <c16:uniqueId val="{00000005-73A5-4333-9088-6FD8344049BE}"/>
            </c:ext>
          </c:extLst>
        </c:ser>
        <c:dLbls>
          <c:showLegendKey val="0"/>
          <c:showVal val="0"/>
          <c:showCatName val="0"/>
          <c:showSerName val="0"/>
          <c:showPercent val="0"/>
          <c:showBubbleSize val="0"/>
        </c:dLbls>
        <c:axId val="1"/>
        <c:axId val="2"/>
      </c:scatterChart>
      <c:val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crossBetween val="midCat"/>
      </c:valAx>
      <c:valAx>
        <c:axId val="2"/>
        <c:scaling>
          <c:orientation val="minMax"/>
        </c:scaling>
        <c:delete val="0"/>
        <c:axPos val="l"/>
        <c:majorGridlines/>
        <c:title>
          <c:tx>
            <c:rich>
              <a:bodyPr/>
              <a:lstStyle/>
              <a:p>
                <a:r>
                  <a:t>Power</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Efficiency - power per energy, by class</a:t>
            </a:r>
          </a:p>
        </c:rich>
      </c:tx>
      <c:overlay val="0"/>
    </c:title>
    <c:autoTitleDeleted val="0"/>
    <c:plotArea>
      <c:layout/>
      <c:scatterChart>
        <c:scatterStyle val="lineMarker"/>
        <c:varyColors val="0"/>
        <c:ser>
          <c:idx val="0"/>
          <c:order val="0"/>
          <c:tx>
            <c:v>Knight</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Balance!$AG$2:$AG$170</c:f>
              <c:numCache>
                <c:formatCode>General</c:formatCode>
                <c:ptCount val="169"/>
                <c:pt idx="0">
                  <c:v>13.5</c:v>
                </c:pt>
                <c:pt idx="1">
                  <c:v>5</c:v>
                </c:pt>
                <c:pt idx="2">
                  <c:v>4.9000000000000004</c:v>
                </c:pt>
                <c:pt idx="3">
                  <c:v>6.5</c:v>
                </c:pt>
                <c:pt idx="4">
                  <c:v>#N/A</c:v>
                </c:pt>
                <c:pt idx="5">
                  <c:v>5.25</c:v>
                </c:pt>
                <c:pt idx="6">
                  <c:v>9</c:v>
                </c:pt>
                <c:pt idx="7">
                  <c:v>3</c:v>
                </c:pt>
                <c:pt idx="8">
                  <c:v>4</c:v>
                </c:pt>
                <c:pt idx="9">
                  <c:v>8.5</c:v>
                </c:pt>
                <c:pt idx="10">
                  <c:v>10</c:v>
                </c:pt>
                <c:pt idx="11">
                  <c:v>9</c:v>
                </c:pt>
                <c:pt idx="12">
                  <c:v>9</c:v>
                </c:pt>
                <c:pt idx="13">
                  <c:v>5</c:v>
                </c:pt>
                <c:pt idx="14">
                  <c:v>16</c:v>
                </c:pt>
                <c:pt idx="15">
                  <c:v>#N/A</c:v>
                </c:pt>
                <c:pt idx="16">
                  <c:v>#N/A</c:v>
                </c:pt>
                <c:pt idx="17">
                  <c:v>#N/A</c:v>
                </c:pt>
                <c:pt idx="18">
                  <c:v>#N/A</c:v>
                </c:pt>
                <c:pt idx="19">
                  <c:v>#N/A</c:v>
                </c:pt>
                <c:pt idx="20">
                  <c:v>2.1</c:v>
                </c:pt>
                <c:pt idx="21">
                  <c:v>#N/A</c:v>
                </c:pt>
                <c:pt idx="22">
                  <c:v>#N/A</c:v>
                </c:pt>
                <c:pt idx="23">
                  <c:v>3</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0-1415-4050-8776-62382C021F03}"/>
            </c:ext>
          </c:extLst>
        </c:ser>
        <c:ser>
          <c:idx val="1"/>
          <c:order val="1"/>
          <c:tx>
            <c:v>Mage</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Balance!$AH$2:$AH$170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9</c:v>
                </c:pt>
                <c:pt idx="25">
                  <c:v>3</c:v>
                </c:pt>
                <c:pt idx="26">
                  <c:v>#N/A</c:v>
                </c:pt>
                <c:pt idx="27">
                  <c:v>#N/A</c:v>
                </c:pt>
                <c:pt idx="28">
                  <c:v>#N/A</c:v>
                </c:pt>
                <c:pt idx="29">
                  <c:v>8</c:v>
                </c:pt>
                <c:pt idx="30">
                  <c:v>4</c:v>
                </c:pt>
                <c:pt idx="31">
                  <c:v>3</c:v>
                </c:pt>
                <c:pt idx="32">
                  <c:v>20</c:v>
                </c:pt>
                <c:pt idx="33">
                  <c:v>5</c:v>
                </c:pt>
                <c:pt idx="34">
                  <c:v>12</c:v>
                </c:pt>
                <c:pt idx="35">
                  <c:v>5</c:v>
                </c:pt>
                <c:pt idx="36">
                  <c:v>20</c:v>
                </c:pt>
                <c:pt idx="37">
                  <c:v>#N/A</c:v>
                </c:pt>
                <c:pt idx="38">
                  <c:v>#N/A</c:v>
                </c:pt>
                <c:pt idx="39">
                  <c:v>#N/A</c:v>
                </c:pt>
                <c:pt idx="40">
                  <c:v>9</c:v>
                </c:pt>
                <c:pt idx="41">
                  <c:v>#N/A</c:v>
                </c:pt>
                <c:pt idx="42">
                  <c:v>8</c:v>
                </c:pt>
                <c:pt idx="43">
                  <c:v>#N/A</c:v>
                </c:pt>
                <c:pt idx="44">
                  <c:v>9</c:v>
                </c:pt>
                <c:pt idx="45">
                  <c:v>#N/A</c:v>
                </c:pt>
                <c:pt idx="46">
                  <c:v>#N/A</c:v>
                </c:pt>
                <c:pt idx="47">
                  <c:v>#N/A</c:v>
                </c:pt>
                <c:pt idx="48">
                  <c:v>3</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1-1415-4050-8776-62382C021F03}"/>
            </c:ext>
          </c:extLst>
        </c:ser>
        <c:ser>
          <c:idx val="2"/>
          <c:order val="2"/>
          <c:tx>
            <c:v>Rogue</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Balance!$AI$2:$AI$170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9</c:v>
                </c:pt>
                <c:pt idx="51">
                  <c:v>#N/A</c:v>
                </c:pt>
                <c:pt idx="52">
                  <c:v>#N/A</c:v>
                </c:pt>
                <c:pt idx="53">
                  <c:v>6</c:v>
                </c:pt>
                <c:pt idx="54">
                  <c:v>3</c:v>
                </c:pt>
                <c:pt idx="55">
                  <c:v>#N/A</c:v>
                </c:pt>
                <c:pt idx="56">
                  <c:v>#N/A</c:v>
                </c:pt>
                <c:pt idx="57">
                  <c:v>12</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2-1415-4050-8776-62382C021F03}"/>
            </c:ext>
          </c:extLst>
        </c:ser>
        <c:dLbls>
          <c:showLegendKey val="0"/>
          <c:showVal val="0"/>
          <c:showCatName val="0"/>
          <c:showSerName val="0"/>
          <c:showPercent val="0"/>
          <c:showBubbleSize val="0"/>
        </c:dLbls>
        <c:axId val="1"/>
        <c:axId val="2"/>
      </c:scatterChart>
      <c:val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crossBetween val="midCat"/>
      </c:valAx>
      <c:valAx>
        <c:axId val="2"/>
        <c:scaling>
          <c:orientation val="minMax"/>
        </c:scaling>
        <c:delete val="0"/>
        <c:axPos val="l"/>
        <c:majorGridlines/>
        <c:title>
          <c:tx>
            <c:rich>
              <a:bodyPr/>
              <a:lstStyle/>
              <a:p>
                <a:r>
                  <a:t>Power per energy</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Cost distribution - how many cards at each price, per class</a:t>
            </a:r>
          </a:p>
        </c:rich>
      </c:tx>
      <c:overlay val="0"/>
    </c:title>
    <c:autoTitleDeleted val="0"/>
    <c:plotArea>
      <c:layout/>
      <c:barChart>
        <c:barDir val="col"/>
        <c:grouping val="clustered"/>
        <c:varyColors val="0"/>
        <c:ser>
          <c:idx val="0"/>
          <c:order val="0"/>
          <c:tx>
            <c:v>Knight</c:v>
          </c:tx>
          <c:invertIfNegative val="0"/>
          <c:cat>
            <c:numRef>
              <c:f>Charts!$A$2:$A$7</c:f>
              <c:numCache>
                <c:formatCode>General</c:formatCode>
                <c:ptCount val="6"/>
                <c:pt idx="0">
                  <c:v>0</c:v>
                </c:pt>
                <c:pt idx="1">
                  <c:v>1</c:v>
                </c:pt>
                <c:pt idx="2">
                  <c:v>2</c:v>
                </c:pt>
                <c:pt idx="3">
                  <c:v>3</c:v>
                </c:pt>
                <c:pt idx="4">
                  <c:v>4</c:v>
                </c:pt>
                <c:pt idx="5">
                  <c:v>5</c:v>
                </c:pt>
              </c:numCache>
            </c:numRef>
          </c:cat>
          <c:val>
            <c:numRef>
              <c:f>Charts!$B$2:$B$7</c:f>
              <c:numCache>
                <c:formatCode>General</c:formatCode>
                <c:ptCount val="6"/>
                <c:pt idx="0">
                  <c:v>2</c:v>
                </c:pt>
                <c:pt idx="1">
                  <c:v>13</c:v>
                </c:pt>
                <c:pt idx="2">
                  <c:v>6</c:v>
                </c:pt>
                <c:pt idx="3">
                  <c:v>3</c:v>
                </c:pt>
                <c:pt idx="4">
                  <c:v>0</c:v>
                </c:pt>
                <c:pt idx="5">
                  <c:v>0</c:v>
                </c:pt>
              </c:numCache>
            </c:numRef>
          </c:val>
          <c:extLst>
            <c:ext xmlns:c16="http://schemas.microsoft.com/office/drawing/2014/chart" uri="{C3380CC4-5D6E-409C-BE32-E72D297353CC}">
              <c16:uniqueId val="{00000000-3911-40BE-BC94-2C3554EBC5FB}"/>
            </c:ext>
          </c:extLst>
        </c:ser>
        <c:ser>
          <c:idx val="1"/>
          <c:order val="1"/>
          <c:tx>
            <c:v>Mage</c:v>
          </c:tx>
          <c:invertIfNegative val="0"/>
          <c:cat>
            <c:numRef>
              <c:f>Charts!$A$2:$A$7</c:f>
              <c:numCache>
                <c:formatCode>General</c:formatCode>
                <c:ptCount val="6"/>
                <c:pt idx="0">
                  <c:v>0</c:v>
                </c:pt>
                <c:pt idx="1">
                  <c:v>1</c:v>
                </c:pt>
                <c:pt idx="2">
                  <c:v>2</c:v>
                </c:pt>
                <c:pt idx="3">
                  <c:v>3</c:v>
                </c:pt>
                <c:pt idx="4">
                  <c:v>4</c:v>
                </c:pt>
                <c:pt idx="5">
                  <c:v>5</c:v>
                </c:pt>
              </c:numCache>
            </c:numRef>
          </c:cat>
          <c:val>
            <c:numRef>
              <c:f>Charts!$C$2:$C$7</c:f>
              <c:numCache>
                <c:formatCode>General</c:formatCode>
                <c:ptCount val="6"/>
                <c:pt idx="0">
                  <c:v>1</c:v>
                </c:pt>
                <c:pt idx="1">
                  <c:v>13</c:v>
                </c:pt>
                <c:pt idx="2">
                  <c:v>8</c:v>
                </c:pt>
                <c:pt idx="3">
                  <c:v>3</c:v>
                </c:pt>
                <c:pt idx="4">
                  <c:v>0</c:v>
                </c:pt>
                <c:pt idx="5">
                  <c:v>0</c:v>
                </c:pt>
              </c:numCache>
            </c:numRef>
          </c:val>
          <c:extLst>
            <c:ext xmlns:c16="http://schemas.microsoft.com/office/drawing/2014/chart" uri="{C3380CC4-5D6E-409C-BE32-E72D297353CC}">
              <c16:uniqueId val="{00000001-3911-40BE-BC94-2C3554EBC5FB}"/>
            </c:ext>
          </c:extLst>
        </c:ser>
        <c:ser>
          <c:idx val="2"/>
          <c:order val="2"/>
          <c:tx>
            <c:v>Rogue</c:v>
          </c:tx>
          <c:invertIfNegative val="0"/>
          <c:cat>
            <c:numRef>
              <c:f>Charts!$A$2:$A$7</c:f>
              <c:numCache>
                <c:formatCode>General</c:formatCode>
                <c:ptCount val="6"/>
                <c:pt idx="0">
                  <c:v>0</c:v>
                </c:pt>
                <c:pt idx="1">
                  <c:v>1</c:v>
                </c:pt>
                <c:pt idx="2">
                  <c:v>2</c:v>
                </c:pt>
                <c:pt idx="3">
                  <c:v>3</c:v>
                </c:pt>
                <c:pt idx="4">
                  <c:v>4</c:v>
                </c:pt>
                <c:pt idx="5">
                  <c:v>5</c:v>
                </c:pt>
              </c:numCache>
            </c:numRef>
          </c:cat>
          <c:val>
            <c:numRef>
              <c:f>Charts!$D$2:$D$7</c:f>
              <c:numCache>
                <c:formatCode>General</c:formatCode>
                <c:ptCount val="6"/>
                <c:pt idx="0">
                  <c:v>1</c:v>
                </c:pt>
                <c:pt idx="1">
                  <c:v>7</c:v>
                </c:pt>
                <c:pt idx="2">
                  <c:v>1</c:v>
                </c:pt>
                <c:pt idx="3">
                  <c:v>0</c:v>
                </c:pt>
                <c:pt idx="4">
                  <c:v>0</c:v>
                </c:pt>
                <c:pt idx="5">
                  <c:v>0</c:v>
                </c:pt>
              </c:numCache>
            </c:numRef>
          </c:val>
          <c:extLst>
            <c:ext xmlns:c16="http://schemas.microsoft.com/office/drawing/2014/chart" uri="{C3380CC4-5D6E-409C-BE32-E72D297353CC}">
              <c16:uniqueId val="{00000002-3911-40BE-BC94-2C3554EBC5FB}"/>
            </c:ext>
          </c:extLst>
        </c:ser>
        <c:dLbls>
          <c:showLegendKey val="0"/>
          <c:showVal val="0"/>
          <c:showCatName val="0"/>
          <c:showSerName val="0"/>
          <c:showPercent val="0"/>
          <c:showBubbleSize val="0"/>
        </c:dLbls>
        <c:gapWidth val="150"/>
        <c:axId val="1"/>
        <c:axId val="2"/>
      </c:barChart>
      <c:cat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auto val="1"/>
        <c:lblAlgn val="ctr"/>
        <c:lblOffset val="100"/>
        <c:noMultiLvlLbl val="1"/>
      </c:catAx>
      <c:valAx>
        <c:axId val="2"/>
        <c:scaling>
          <c:orientation val="minMax"/>
        </c:scaling>
        <c:delete val="0"/>
        <c:axPos val="l"/>
        <c:majorGridlines/>
        <c:title>
          <c:tx>
            <c:rich>
              <a:bodyPr/>
              <a:lstStyle/>
              <a:p>
                <a:r>
                  <a:t>Cards</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Coverage - which effects each class actually has</a:t>
            </a:r>
          </a:p>
        </c:rich>
      </c:tx>
      <c:overlay val="0"/>
    </c:title>
    <c:autoTitleDeleted val="0"/>
    <c:plotArea>
      <c:layout/>
      <c:barChart>
        <c:barDir val="col"/>
        <c:grouping val="clustered"/>
        <c:varyColors val="0"/>
        <c:ser>
          <c:idx val="0"/>
          <c:order val="0"/>
          <c:tx>
            <c:v>Knight</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Charts!$G$2:$G$14</c:f>
              <c:numCache>
                <c:formatCode>General</c:formatCode>
                <c:ptCount val="13"/>
                <c:pt idx="0">
                  <c:v>6</c:v>
                </c:pt>
                <c:pt idx="1">
                  <c:v>1</c:v>
                </c:pt>
                <c:pt idx="2">
                  <c:v>5</c:v>
                </c:pt>
                <c:pt idx="3">
                  <c:v>1</c:v>
                </c:pt>
                <c:pt idx="4">
                  <c:v>1</c:v>
                </c:pt>
                <c:pt idx="5">
                  <c:v>0</c:v>
                </c:pt>
                <c:pt idx="6">
                  <c:v>1</c:v>
                </c:pt>
                <c:pt idx="7">
                  <c:v>0</c:v>
                </c:pt>
                <c:pt idx="8">
                  <c:v>2</c:v>
                </c:pt>
                <c:pt idx="9">
                  <c:v>0</c:v>
                </c:pt>
                <c:pt idx="10">
                  <c:v>1</c:v>
                </c:pt>
                <c:pt idx="11">
                  <c:v>8</c:v>
                </c:pt>
                <c:pt idx="12">
                  <c:v>7</c:v>
                </c:pt>
              </c:numCache>
            </c:numRef>
          </c:val>
          <c:extLst>
            <c:ext xmlns:c16="http://schemas.microsoft.com/office/drawing/2014/chart" uri="{C3380CC4-5D6E-409C-BE32-E72D297353CC}">
              <c16:uniqueId val="{00000000-8ED7-4F8E-A63B-D6BCFD5F8B5C}"/>
            </c:ext>
          </c:extLst>
        </c:ser>
        <c:ser>
          <c:idx val="1"/>
          <c:order val="1"/>
          <c:tx>
            <c:v>Mage</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Charts!$H$2:$H$14</c:f>
              <c:numCache>
                <c:formatCode>General</c:formatCode>
                <c:ptCount val="13"/>
                <c:pt idx="0">
                  <c:v>6</c:v>
                </c:pt>
                <c:pt idx="1">
                  <c:v>2</c:v>
                </c:pt>
                <c:pt idx="2">
                  <c:v>0</c:v>
                </c:pt>
                <c:pt idx="3">
                  <c:v>1</c:v>
                </c:pt>
                <c:pt idx="4">
                  <c:v>0</c:v>
                </c:pt>
                <c:pt idx="5">
                  <c:v>0</c:v>
                </c:pt>
                <c:pt idx="6">
                  <c:v>0</c:v>
                </c:pt>
                <c:pt idx="7">
                  <c:v>3</c:v>
                </c:pt>
                <c:pt idx="8">
                  <c:v>1</c:v>
                </c:pt>
                <c:pt idx="9">
                  <c:v>1</c:v>
                </c:pt>
                <c:pt idx="10">
                  <c:v>0</c:v>
                </c:pt>
                <c:pt idx="11">
                  <c:v>11</c:v>
                </c:pt>
                <c:pt idx="12">
                  <c:v>8</c:v>
                </c:pt>
              </c:numCache>
            </c:numRef>
          </c:val>
          <c:extLst>
            <c:ext xmlns:c16="http://schemas.microsoft.com/office/drawing/2014/chart" uri="{C3380CC4-5D6E-409C-BE32-E72D297353CC}">
              <c16:uniqueId val="{00000001-8ED7-4F8E-A63B-D6BCFD5F8B5C}"/>
            </c:ext>
          </c:extLst>
        </c:ser>
        <c:ser>
          <c:idx val="2"/>
          <c:order val="2"/>
          <c:tx>
            <c:v>Rogue</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Charts!$I$2:$I$14</c:f>
              <c:numCache>
                <c:formatCode>General</c:formatCode>
                <c:ptCount val="13"/>
                <c:pt idx="0">
                  <c:v>1</c:v>
                </c:pt>
                <c:pt idx="1">
                  <c:v>0</c:v>
                </c:pt>
                <c:pt idx="2">
                  <c:v>0</c:v>
                </c:pt>
                <c:pt idx="3">
                  <c:v>1</c:v>
                </c:pt>
                <c:pt idx="4">
                  <c:v>0</c:v>
                </c:pt>
                <c:pt idx="5">
                  <c:v>1</c:v>
                </c:pt>
                <c:pt idx="6">
                  <c:v>0</c:v>
                </c:pt>
                <c:pt idx="7">
                  <c:v>1</c:v>
                </c:pt>
                <c:pt idx="8">
                  <c:v>0</c:v>
                </c:pt>
                <c:pt idx="9">
                  <c:v>0</c:v>
                </c:pt>
                <c:pt idx="10">
                  <c:v>0</c:v>
                </c:pt>
                <c:pt idx="11">
                  <c:v>5</c:v>
                </c:pt>
                <c:pt idx="12">
                  <c:v>1</c:v>
                </c:pt>
              </c:numCache>
            </c:numRef>
          </c:val>
          <c:extLst>
            <c:ext xmlns:c16="http://schemas.microsoft.com/office/drawing/2014/chart" uri="{C3380CC4-5D6E-409C-BE32-E72D297353CC}">
              <c16:uniqueId val="{00000002-8ED7-4F8E-A63B-D6BCFD5F8B5C}"/>
            </c:ext>
          </c:extLst>
        </c:ser>
        <c:dLbls>
          <c:showLegendKey val="0"/>
          <c:showVal val="0"/>
          <c:showCatName val="0"/>
          <c:showSerName val="0"/>
          <c:showPercent val="0"/>
          <c:showBubbleSize val="0"/>
        </c:dLbls>
        <c:gapWidth val="150"/>
        <c:axId val="1"/>
        <c:axId val="2"/>
      </c:barChart>
      <c:catAx>
        <c:axId val="1"/>
        <c:scaling>
          <c:orientation val="minMax"/>
        </c:scaling>
        <c:delete val="0"/>
        <c:axPos val="b"/>
        <c:title>
          <c:tx>
            <c:rich>
              <a:bodyPr/>
              <a:lstStyle/>
              <a:p>
                <a:r>
                  <a:t>Effect kind</a:t>
                </a:r>
              </a:p>
            </c:rich>
          </c:tx>
          <c:overlay val="0"/>
        </c:title>
        <c:numFmt formatCode="General" sourceLinked="1"/>
        <c:majorTickMark val="cross"/>
        <c:minorTickMark val="cross"/>
        <c:tickLblPos val="nextTo"/>
        <c:crossAx val="2"/>
        <c:crosses val="autoZero"/>
        <c:auto val="1"/>
        <c:lblAlgn val="ctr"/>
        <c:lblOffset val="100"/>
        <c:noMultiLvlLbl val="1"/>
      </c:catAx>
      <c:valAx>
        <c:axId val="2"/>
        <c:scaling>
          <c:orientation val="minMax"/>
        </c:scaling>
        <c:delete val="0"/>
        <c:axPos val="l"/>
        <c:majorGridlines/>
        <c:title>
          <c:tx>
            <c:rich>
              <a:bodyPr/>
              <a:lstStyle/>
              <a:p>
                <a:r>
                  <a:t>Cards</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xdr:graphicFrame macro="">
      <xdr:nvGraphicFramePr>
        <xdr:cNvPr id="2" name="PowerCurve">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15</xdr:row>
      <xdr:rowOff>0</xdr:rowOff>
    </xdr:from>
    <xdr:to>
      <xdr:col>22</xdr:col>
      <xdr:colOff>381000</xdr:colOff>
      <xdr:row>36</xdr:row>
      <xdr:rowOff>0</xdr:rowOff>
    </xdr:to>
    <xdr:graphicFrame macro="">
      <xdr:nvGraphicFramePr>
        <xdr:cNvPr id="3" name="Efficiency">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37</xdr:row>
      <xdr:rowOff>0</xdr:rowOff>
    </xdr:from>
    <xdr:to>
      <xdr:col>10</xdr:col>
      <xdr:colOff>381000</xdr:colOff>
      <xdr:row>58</xdr:row>
      <xdr:rowOff>0</xdr:rowOff>
    </xdr:to>
    <xdr:graphicFrame macro="">
      <xdr:nvGraphicFramePr>
        <xdr:cNvPr id="4" name="CostCurve">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37</xdr:row>
      <xdr:rowOff>0</xdr:rowOff>
    </xdr:from>
    <xdr:to>
      <xdr:col>22</xdr:col>
      <xdr:colOff>381000</xdr:colOff>
      <xdr:row>58</xdr:row>
      <xdr:rowOff>0</xdr:rowOff>
    </xdr:to>
    <xdr:graphicFrame macro="">
      <xdr:nvGraphicFramePr>
        <xdr:cNvPr id="5" name="Coverage">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pattern:Wall3"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pattern:Wall3" TargetMode="External"/><Relationship Id="rId2" Type="http://schemas.openxmlformats.org/officeDocument/2006/relationships/hyperlink" Target="pattern:X-Pattern" TargetMode="External"/><Relationship Id="rId1" Type="http://schemas.openxmlformats.org/officeDocument/2006/relationships/hyperlink" Target="pattern:Cone3" TargetMode="External"/><Relationship Id="rId4" Type="http://schemas.openxmlformats.org/officeDocument/2006/relationships/hyperlink" Target="pattern:Wall3"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pattern:Cone3" TargetMode="External"/><Relationship Id="rId2" Type="http://schemas.openxmlformats.org/officeDocument/2006/relationships/hyperlink" Target="pattern:Cone3" TargetMode="External"/><Relationship Id="rId1" Type="http://schemas.openxmlformats.org/officeDocument/2006/relationships/hyperlink" Target="pattern:Cone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status:Poison" TargetMode="External"/><Relationship Id="rId13" Type="http://schemas.openxmlformats.org/officeDocument/2006/relationships/hyperlink" Target="status:Vulnerable" TargetMode="External"/><Relationship Id="rId3" Type="http://schemas.openxmlformats.org/officeDocument/2006/relationships/hyperlink" Target="status:DoubleShield" TargetMode="External"/><Relationship Id="rId7" Type="http://schemas.openxmlformats.org/officeDocument/2006/relationships/hyperlink" Target="status:Poison" TargetMode="External"/><Relationship Id="rId12" Type="http://schemas.openxmlformats.org/officeDocument/2006/relationships/hyperlink" Target="status:Strength" TargetMode="External"/><Relationship Id="rId2" Type="http://schemas.openxmlformats.org/officeDocument/2006/relationships/hyperlink" Target="status:DoubleNextAttack" TargetMode="External"/><Relationship Id="rId1" Type="http://schemas.openxmlformats.org/officeDocument/2006/relationships/hyperlink" Target="status:Dodge" TargetMode="External"/><Relationship Id="rId6" Type="http://schemas.openxmlformats.org/officeDocument/2006/relationships/hyperlink" Target="status:Poison" TargetMode="External"/><Relationship Id="rId11" Type="http://schemas.openxmlformats.org/officeDocument/2006/relationships/hyperlink" Target="status:Stealth" TargetMode="External"/><Relationship Id="rId5" Type="http://schemas.openxmlformats.org/officeDocument/2006/relationships/hyperlink" Target="status:Poison" TargetMode="External"/><Relationship Id="rId15" Type="http://schemas.openxmlformats.org/officeDocument/2006/relationships/hyperlink" Target="status:Weaken" TargetMode="External"/><Relationship Id="rId10" Type="http://schemas.openxmlformats.org/officeDocument/2006/relationships/hyperlink" Target="status:Rooted" TargetMode="External"/><Relationship Id="rId4" Type="http://schemas.openxmlformats.org/officeDocument/2006/relationships/hyperlink" Target="status:Frozen" TargetMode="External"/><Relationship Id="rId9" Type="http://schemas.openxmlformats.org/officeDocument/2006/relationships/hyperlink" Target="status:PoisonBlade" TargetMode="External"/><Relationship Id="rId14" Type="http://schemas.openxmlformats.org/officeDocument/2006/relationships/hyperlink" Target="status:Weaken"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0"/>
  <sheetViews>
    <sheetView workbookViewId="0"/>
  </sheetViews>
  <sheetFormatPr defaultRowHeight="14.4" x14ac:dyDescent="0.3"/>
  <cols>
    <col min="1" max="1" width="30" customWidth="1"/>
    <col min="2" max="2" width="120" style="3" customWidth="1"/>
  </cols>
  <sheetData>
    <row r="1" spans="1:2" ht="21" x14ac:dyDescent="0.4">
      <c r="A1" s="9" t="s">
        <v>1213</v>
      </c>
    </row>
    <row r="2" spans="1:2" x14ac:dyDescent="0.3">
      <c r="A2" t="s">
        <v>29</v>
      </c>
    </row>
    <row r="3" spans="1:2" x14ac:dyDescent="0.3">
      <c r="A3" t="s">
        <v>1214</v>
      </c>
    </row>
    <row r="4" spans="1:2" x14ac:dyDescent="0.3">
      <c r="A4" t="s">
        <v>1215</v>
      </c>
    </row>
    <row r="5" spans="1:2" x14ac:dyDescent="0.3">
      <c r="A5" t="s">
        <v>29</v>
      </c>
    </row>
    <row r="6" spans="1:2" ht="15.6" x14ac:dyDescent="0.3">
      <c r="A6" s="10" t="s">
        <v>1216</v>
      </c>
    </row>
    <row r="7" spans="1:2" x14ac:dyDescent="0.3">
      <c r="A7" s="2" t="s">
        <v>1217</v>
      </c>
      <c r="B7" s="3" t="s">
        <v>1218</v>
      </c>
    </row>
    <row r="8" spans="1:2" ht="28.8" x14ac:dyDescent="0.3">
      <c r="A8" s="2" t="s">
        <v>1219</v>
      </c>
      <c r="B8" s="3" t="s">
        <v>1220</v>
      </c>
    </row>
    <row r="9" spans="1:2" x14ac:dyDescent="0.3">
      <c r="A9" s="2" t="s">
        <v>1221</v>
      </c>
      <c r="B9" s="3" t="s">
        <v>1222</v>
      </c>
    </row>
    <row r="10" spans="1:2" x14ac:dyDescent="0.3">
      <c r="A10" s="2" t="s">
        <v>1223</v>
      </c>
      <c r="B10" s="3" t="s">
        <v>1224</v>
      </c>
    </row>
    <row r="11" spans="1:2" x14ac:dyDescent="0.3">
      <c r="A11" s="2" t="s">
        <v>1225</v>
      </c>
      <c r="B11" s="3" t="s">
        <v>1226</v>
      </c>
    </row>
    <row r="12" spans="1:2" x14ac:dyDescent="0.3">
      <c r="A12" s="2" t="s">
        <v>1227</v>
      </c>
      <c r="B12" s="3" t="s">
        <v>1228</v>
      </c>
    </row>
    <row r="13" spans="1:2" x14ac:dyDescent="0.3">
      <c r="A13" s="2" t="s">
        <v>1229</v>
      </c>
      <c r="B13" s="3" t="s">
        <v>1230</v>
      </c>
    </row>
    <row r="14" spans="1:2" x14ac:dyDescent="0.3">
      <c r="A14" s="2" t="s">
        <v>1231</v>
      </c>
      <c r="B14" s="3" t="s">
        <v>1232</v>
      </c>
    </row>
    <row r="15" spans="1:2" x14ac:dyDescent="0.3">
      <c r="A15" s="2" t="s">
        <v>1233</v>
      </c>
      <c r="B15" s="3" t="s">
        <v>1234</v>
      </c>
    </row>
    <row r="16" spans="1:2" x14ac:dyDescent="0.3">
      <c r="A16" t="s">
        <v>29</v>
      </c>
    </row>
    <row r="17" spans="1:2" ht="15.6" x14ac:dyDescent="0.3">
      <c r="A17" s="10" t="s">
        <v>1235</v>
      </c>
    </row>
    <row r="18" spans="1:2" x14ac:dyDescent="0.3">
      <c r="A18" s="2" t="s">
        <v>1236</v>
      </c>
      <c r="B18" s="3" t="s">
        <v>1237</v>
      </c>
    </row>
    <row r="19" spans="1:2" x14ac:dyDescent="0.3">
      <c r="A19" s="2" t="s">
        <v>1238</v>
      </c>
      <c r="B19" s="3" t="s">
        <v>1239</v>
      </c>
    </row>
    <row r="20" spans="1:2" x14ac:dyDescent="0.3">
      <c r="A20" s="2" t="s">
        <v>1240</v>
      </c>
      <c r="B20" s="3" t="s">
        <v>1241</v>
      </c>
    </row>
    <row r="21" spans="1:2" x14ac:dyDescent="0.3">
      <c r="A21" s="2" t="s">
        <v>1242</v>
      </c>
      <c r="B21" s="3" t="s">
        <v>1243</v>
      </c>
    </row>
    <row r="22" spans="1:2" x14ac:dyDescent="0.3">
      <c r="A22" s="2" t="s">
        <v>1244</v>
      </c>
      <c r="B22" s="3" t="s">
        <v>1245</v>
      </c>
    </row>
    <row r="23" spans="1:2" x14ac:dyDescent="0.3">
      <c r="A23" s="2" t="s">
        <v>1246</v>
      </c>
      <c r="B23" s="3" t="s">
        <v>1247</v>
      </c>
    </row>
    <row r="24" spans="1:2" x14ac:dyDescent="0.3">
      <c r="A24" t="s">
        <v>29</v>
      </c>
    </row>
    <row r="25" spans="1:2" ht="15.6" x14ac:dyDescent="0.3">
      <c r="A25" s="10" t="s">
        <v>1248</v>
      </c>
    </row>
    <row r="26" spans="1:2" x14ac:dyDescent="0.3">
      <c r="A26" s="2" t="s">
        <v>1249</v>
      </c>
      <c r="B26" s="3" t="s">
        <v>1250</v>
      </c>
    </row>
    <row r="27" spans="1:2" ht="28.8" x14ac:dyDescent="0.3">
      <c r="A27" s="2" t="s">
        <v>1251</v>
      </c>
      <c r="B27" s="3" t="s">
        <v>1252</v>
      </c>
    </row>
    <row r="28" spans="1:2" x14ac:dyDescent="0.3">
      <c r="A28" s="2" t="s">
        <v>1253</v>
      </c>
      <c r="B28" s="3" t="s">
        <v>1254</v>
      </c>
    </row>
    <row r="29" spans="1:2" x14ac:dyDescent="0.3">
      <c r="A29" t="s">
        <v>29</v>
      </c>
    </row>
    <row r="30" spans="1:2" ht="15.6" x14ac:dyDescent="0.3">
      <c r="A30" s="10" t="s">
        <v>1255</v>
      </c>
    </row>
    <row r="31" spans="1:2" x14ac:dyDescent="0.3">
      <c r="A31" s="2" t="s">
        <v>10</v>
      </c>
      <c r="B31" s="3" t="s">
        <v>1256</v>
      </c>
    </row>
    <row r="32" spans="1:2" x14ac:dyDescent="0.3">
      <c r="A32" s="2" t="s">
        <v>0</v>
      </c>
      <c r="B32" s="3" t="s">
        <v>1257</v>
      </c>
    </row>
    <row r="33" spans="1:2" x14ac:dyDescent="0.3">
      <c r="A33" s="2" t="s">
        <v>11</v>
      </c>
      <c r="B33" s="3" t="s">
        <v>1258</v>
      </c>
    </row>
    <row r="34" spans="1:2" x14ac:dyDescent="0.3">
      <c r="A34" s="2" t="s">
        <v>1</v>
      </c>
      <c r="B34" s="3" t="s">
        <v>1259</v>
      </c>
    </row>
    <row r="35" spans="1:2" x14ac:dyDescent="0.3">
      <c r="A35" s="2" t="s">
        <v>2</v>
      </c>
      <c r="B35" s="3" t="s">
        <v>1260</v>
      </c>
    </row>
    <row r="36" spans="1:2" x14ac:dyDescent="0.3">
      <c r="A36" s="2" t="s">
        <v>1261</v>
      </c>
      <c r="B36" s="3" t="s">
        <v>1262</v>
      </c>
    </row>
    <row r="37" spans="1:2" x14ac:dyDescent="0.3">
      <c r="A37" s="2" t="s">
        <v>1263</v>
      </c>
      <c r="B37" s="3" t="s">
        <v>1264</v>
      </c>
    </row>
    <row r="38" spans="1:2" x14ac:dyDescent="0.3">
      <c r="A38" s="2" t="s">
        <v>23</v>
      </c>
      <c r="B38" s="3" t="s">
        <v>1265</v>
      </c>
    </row>
    <row r="39" spans="1:2" ht="28.8" x14ac:dyDescent="0.3">
      <c r="A39" s="2" t="s">
        <v>311</v>
      </c>
      <c r="B39" s="3" t="s">
        <v>1266</v>
      </c>
    </row>
    <row r="40" spans="1:2" ht="28.8" x14ac:dyDescent="0.3">
      <c r="A40" s="2" t="s">
        <v>1112</v>
      </c>
      <c r="B40" s="3" t="s">
        <v>1267</v>
      </c>
    </row>
    <row r="41" spans="1:2" x14ac:dyDescent="0.3">
      <c r="A41" t="s">
        <v>29</v>
      </c>
    </row>
    <row r="42" spans="1:2" ht="15.6" x14ac:dyDescent="0.3">
      <c r="A42" s="10" t="s">
        <v>1268</v>
      </c>
    </row>
    <row r="43" spans="1:2" x14ac:dyDescent="0.3">
      <c r="A43" s="2" t="s">
        <v>1269</v>
      </c>
      <c r="B43" s="3" t="s">
        <v>1270</v>
      </c>
    </row>
    <row r="44" spans="1:2" ht="28.8" x14ac:dyDescent="0.3">
      <c r="A44" s="2" t="s">
        <v>1271</v>
      </c>
      <c r="B44" s="3" t="s">
        <v>1272</v>
      </c>
    </row>
    <row r="45" spans="1:2" ht="28.8" x14ac:dyDescent="0.3">
      <c r="A45" s="2" t="s">
        <v>1273</v>
      </c>
      <c r="B45" s="3" t="s">
        <v>1274</v>
      </c>
    </row>
    <row r="46" spans="1:2" x14ac:dyDescent="0.3">
      <c r="A46" t="s">
        <v>29</v>
      </c>
    </row>
    <row r="47" spans="1:2" ht="15.6" x14ac:dyDescent="0.3">
      <c r="A47" s="10" t="s">
        <v>1275</v>
      </c>
    </row>
    <row r="48" spans="1:2" x14ac:dyDescent="0.3">
      <c r="A48" s="2" t="s">
        <v>1276</v>
      </c>
      <c r="B48" s="3" t="s">
        <v>1277</v>
      </c>
    </row>
    <row r="49" spans="1:2" x14ac:dyDescent="0.3">
      <c r="A49" s="2" t="s">
        <v>1278</v>
      </c>
      <c r="B49" s="3" t="s">
        <v>1279</v>
      </c>
    </row>
    <row r="50" spans="1:2" x14ac:dyDescent="0.3">
      <c r="A50" s="2" t="s">
        <v>1280</v>
      </c>
      <c r="B50" s="3" t="s">
        <v>1281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5"/>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6.44140625" customWidth="1"/>
    <col min="2" max="2" width="9.109375" customWidth="1"/>
    <col min="3" max="3" width="11.6640625" customWidth="1"/>
    <col min="4" max="4" width="22.5546875" customWidth="1"/>
    <col min="5" max="5" width="13.88671875" customWidth="1"/>
    <col min="6" max="6" width="9.109375" customWidth="1"/>
    <col min="7" max="7" width="52" style="3" customWidth="1"/>
    <col min="8" max="8" width="12.6640625" customWidth="1"/>
    <col min="9" max="9" width="10.77734375" customWidth="1"/>
    <col min="10" max="10" width="11.109375" customWidth="1"/>
    <col min="11" max="11" width="16.44140625" customWidth="1"/>
    <col min="12" max="12" width="9.109375" customWidth="1"/>
    <col min="13" max="13" width="15.44140625" customWidth="1"/>
    <col min="14" max="15" width="9.109375" customWidth="1"/>
    <col min="16" max="16" width="14.5546875" customWidth="1"/>
    <col min="17" max="20" width="9.109375" customWidth="1"/>
    <col min="21" max="21" width="10" customWidth="1"/>
    <col min="22" max="22" width="11.109375" customWidth="1"/>
    <col min="23" max="23" width="10.5546875" customWidth="1"/>
    <col min="24" max="24" width="36"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26</v>
      </c>
      <c r="B2">
        <v>1</v>
      </c>
      <c r="C2" t="s">
        <v>27</v>
      </c>
      <c r="D2" t="s">
        <v>28</v>
      </c>
      <c r="E2" t="s">
        <v>29</v>
      </c>
      <c r="F2" t="s">
        <v>29</v>
      </c>
      <c r="G2" s="3" t="s">
        <v>30</v>
      </c>
      <c r="H2" t="s">
        <v>31</v>
      </c>
      <c r="I2">
        <v>0</v>
      </c>
      <c r="J2">
        <v>0</v>
      </c>
      <c r="K2" t="s">
        <v>26</v>
      </c>
      <c r="L2" t="s">
        <v>32</v>
      </c>
      <c r="M2" t="s">
        <v>33</v>
      </c>
      <c r="N2" t="s">
        <v>34</v>
      </c>
      <c r="O2" t="s">
        <v>35</v>
      </c>
      <c r="P2" t="s">
        <v>36</v>
      </c>
      <c r="Q2" t="s">
        <v>29</v>
      </c>
      <c r="R2" t="s">
        <v>29</v>
      </c>
      <c r="S2" t="s">
        <v>29</v>
      </c>
      <c r="T2" t="s">
        <v>29</v>
      </c>
      <c r="U2" t="s">
        <v>29</v>
      </c>
      <c r="V2" t="s">
        <v>37</v>
      </c>
      <c r="W2" t="s">
        <v>29</v>
      </c>
      <c r="X2" t="s">
        <v>38</v>
      </c>
      <c r="Y2" t="str">
        <f t="shared" ref="Y2:Y25" si="0">IF($X2="","NEW","Live")</f>
        <v>Live</v>
      </c>
      <c r="Z2" s="3" t="s">
        <v>29</v>
      </c>
    </row>
    <row r="3" spans="1:26" x14ac:dyDescent="0.3">
      <c r="A3" t="s">
        <v>39</v>
      </c>
      <c r="B3">
        <v>1</v>
      </c>
      <c r="C3" t="s">
        <v>27</v>
      </c>
      <c r="D3" t="s">
        <v>40</v>
      </c>
      <c r="E3" t="s">
        <v>29</v>
      </c>
      <c r="F3" t="s">
        <v>29</v>
      </c>
      <c r="G3" s="3" t="s">
        <v>41</v>
      </c>
      <c r="H3" t="s">
        <v>31</v>
      </c>
      <c r="I3">
        <v>0</v>
      </c>
      <c r="J3">
        <v>0</v>
      </c>
      <c r="K3" t="s">
        <v>39</v>
      </c>
      <c r="L3" t="s">
        <v>32</v>
      </c>
      <c r="M3" t="s">
        <v>33</v>
      </c>
      <c r="N3" t="s">
        <v>29</v>
      </c>
      <c r="O3" t="s">
        <v>35</v>
      </c>
      <c r="P3" t="s">
        <v>36</v>
      </c>
      <c r="Q3" t="s">
        <v>29</v>
      </c>
      <c r="R3" t="s">
        <v>29</v>
      </c>
      <c r="S3" t="s">
        <v>29</v>
      </c>
      <c r="T3" t="s">
        <v>29</v>
      </c>
      <c r="U3" t="s">
        <v>29</v>
      </c>
      <c r="V3" t="s">
        <v>37</v>
      </c>
      <c r="W3" t="s">
        <v>29</v>
      </c>
      <c r="X3" t="s">
        <v>42</v>
      </c>
      <c r="Y3" t="str">
        <f t="shared" si="0"/>
        <v>Live</v>
      </c>
      <c r="Z3" s="3" t="s">
        <v>29</v>
      </c>
    </row>
    <row r="4" spans="1:26" x14ac:dyDescent="0.3">
      <c r="A4" t="s">
        <v>43</v>
      </c>
      <c r="B4">
        <v>1</v>
      </c>
      <c r="C4" t="s">
        <v>44</v>
      </c>
      <c r="D4" t="s">
        <v>45</v>
      </c>
      <c r="E4" t="s">
        <v>29</v>
      </c>
      <c r="F4" t="s">
        <v>29</v>
      </c>
      <c r="G4" s="3" t="s">
        <v>46</v>
      </c>
      <c r="H4" t="s">
        <v>31</v>
      </c>
      <c r="I4">
        <v>0</v>
      </c>
      <c r="J4">
        <v>0</v>
      </c>
      <c r="K4" t="s">
        <v>43</v>
      </c>
      <c r="L4" t="s">
        <v>32</v>
      </c>
      <c r="M4" t="s">
        <v>33</v>
      </c>
      <c r="N4" t="s">
        <v>29</v>
      </c>
      <c r="O4" t="s">
        <v>35</v>
      </c>
      <c r="P4" t="s">
        <v>36</v>
      </c>
      <c r="Q4" t="s">
        <v>29</v>
      </c>
      <c r="R4" t="s">
        <v>29</v>
      </c>
      <c r="S4" t="s">
        <v>29</v>
      </c>
      <c r="T4" t="s">
        <v>29</v>
      </c>
      <c r="U4" t="s">
        <v>29</v>
      </c>
      <c r="V4" t="s">
        <v>37</v>
      </c>
      <c r="W4" t="s">
        <v>29</v>
      </c>
      <c r="X4" t="s">
        <v>47</v>
      </c>
      <c r="Y4" t="str">
        <f t="shared" si="0"/>
        <v>Live</v>
      </c>
      <c r="Z4" s="3" t="s">
        <v>29</v>
      </c>
    </row>
    <row r="5" spans="1:26" x14ac:dyDescent="0.3">
      <c r="A5" t="s">
        <v>48</v>
      </c>
      <c r="B5">
        <v>1</v>
      </c>
      <c r="C5" t="s">
        <v>27</v>
      </c>
      <c r="D5" t="s">
        <v>49</v>
      </c>
      <c r="E5" t="s">
        <v>50</v>
      </c>
      <c r="F5" t="s">
        <v>29</v>
      </c>
      <c r="G5" s="3" t="s">
        <v>51</v>
      </c>
      <c r="H5" t="s">
        <v>31</v>
      </c>
      <c r="I5">
        <v>0</v>
      </c>
      <c r="J5">
        <v>0</v>
      </c>
      <c r="K5" t="s">
        <v>48</v>
      </c>
      <c r="L5" t="s">
        <v>32</v>
      </c>
      <c r="M5" t="s">
        <v>33</v>
      </c>
      <c r="N5" t="s">
        <v>29</v>
      </c>
      <c r="O5" t="s">
        <v>35</v>
      </c>
      <c r="P5" t="s">
        <v>36</v>
      </c>
      <c r="Q5" t="s">
        <v>35</v>
      </c>
      <c r="R5" t="s">
        <v>36</v>
      </c>
      <c r="S5" t="s">
        <v>29</v>
      </c>
      <c r="T5" t="s">
        <v>29</v>
      </c>
      <c r="U5" t="s">
        <v>29</v>
      </c>
      <c r="V5" t="s">
        <v>37</v>
      </c>
      <c r="W5" t="s">
        <v>29</v>
      </c>
      <c r="X5" t="s">
        <v>52</v>
      </c>
      <c r="Y5" t="str">
        <f t="shared" si="0"/>
        <v>Live</v>
      </c>
      <c r="Z5" s="3" t="s">
        <v>29</v>
      </c>
    </row>
    <row r="6" spans="1:26" x14ac:dyDescent="0.3">
      <c r="A6" t="s">
        <v>53</v>
      </c>
      <c r="B6">
        <v>1</v>
      </c>
      <c r="C6" t="s">
        <v>27</v>
      </c>
      <c r="D6" t="s">
        <v>53</v>
      </c>
      <c r="E6" t="s">
        <v>29</v>
      </c>
      <c r="F6" t="s">
        <v>29</v>
      </c>
      <c r="G6" s="3" t="s">
        <v>54</v>
      </c>
      <c r="H6" t="s">
        <v>55</v>
      </c>
      <c r="I6">
        <v>1</v>
      </c>
      <c r="J6">
        <v>3</v>
      </c>
      <c r="K6" t="s">
        <v>53</v>
      </c>
      <c r="L6" t="s">
        <v>32</v>
      </c>
      <c r="M6" t="s">
        <v>33</v>
      </c>
      <c r="N6" t="s">
        <v>29</v>
      </c>
      <c r="O6" t="s">
        <v>56</v>
      </c>
      <c r="P6" t="s">
        <v>36</v>
      </c>
      <c r="Q6" t="s">
        <v>29</v>
      </c>
      <c r="R6" t="s">
        <v>29</v>
      </c>
      <c r="S6" t="s">
        <v>29</v>
      </c>
      <c r="T6" t="s">
        <v>29</v>
      </c>
      <c r="U6" t="s">
        <v>29</v>
      </c>
      <c r="V6" t="s">
        <v>37</v>
      </c>
      <c r="W6" t="s">
        <v>29</v>
      </c>
      <c r="X6" t="s">
        <v>57</v>
      </c>
      <c r="Y6" t="str">
        <f t="shared" si="0"/>
        <v>Live</v>
      </c>
      <c r="Z6" s="3" t="s">
        <v>29</v>
      </c>
    </row>
    <row r="7" spans="1:26" x14ac:dyDescent="0.3">
      <c r="A7" t="s">
        <v>58</v>
      </c>
      <c r="B7">
        <v>2</v>
      </c>
      <c r="C7" t="s">
        <v>27</v>
      </c>
      <c r="D7" t="s">
        <v>49</v>
      </c>
      <c r="E7" t="s">
        <v>29</v>
      </c>
      <c r="F7" t="s">
        <v>29</v>
      </c>
      <c r="G7" s="3" t="s">
        <v>59</v>
      </c>
      <c r="H7" t="s">
        <v>31</v>
      </c>
      <c r="I7">
        <v>0</v>
      </c>
      <c r="J7">
        <v>0</v>
      </c>
      <c r="K7" t="s">
        <v>58</v>
      </c>
      <c r="L7" t="s">
        <v>32</v>
      </c>
      <c r="M7" t="s">
        <v>33</v>
      </c>
      <c r="N7" t="s">
        <v>29</v>
      </c>
      <c r="O7" t="s">
        <v>35</v>
      </c>
      <c r="P7" t="s">
        <v>60</v>
      </c>
      <c r="Q7" t="s">
        <v>29</v>
      </c>
      <c r="R7" t="s">
        <v>29</v>
      </c>
      <c r="S7" t="s">
        <v>29</v>
      </c>
      <c r="T7" t="s">
        <v>29</v>
      </c>
      <c r="U7" t="s">
        <v>29</v>
      </c>
      <c r="V7" t="s">
        <v>37</v>
      </c>
      <c r="W7" t="s">
        <v>29</v>
      </c>
      <c r="X7" t="s">
        <v>61</v>
      </c>
      <c r="Y7" t="str">
        <f t="shared" si="0"/>
        <v>Live</v>
      </c>
      <c r="Z7" s="3" t="s">
        <v>29</v>
      </c>
    </row>
    <row r="8" spans="1:26" x14ac:dyDescent="0.3">
      <c r="A8" t="s">
        <v>62</v>
      </c>
      <c r="B8">
        <v>1</v>
      </c>
      <c r="C8" t="s">
        <v>27</v>
      </c>
      <c r="D8" t="s">
        <v>63</v>
      </c>
      <c r="E8" t="s">
        <v>29</v>
      </c>
      <c r="F8" t="s">
        <v>29</v>
      </c>
      <c r="G8" s="3" t="s">
        <v>64</v>
      </c>
      <c r="H8" t="s">
        <v>31</v>
      </c>
      <c r="I8">
        <v>0</v>
      </c>
      <c r="J8">
        <v>0</v>
      </c>
      <c r="K8" t="s">
        <v>62</v>
      </c>
      <c r="L8" t="s">
        <v>32</v>
      </c>
      <c r="M8" t="s">
        <v>65</v>
      </c>
      <c r="N8" t="s">
        <v>29</v>
      </c>
      <c r="O8" t="s">
        <v>56</v>
      </c>
      <c r="P8" t="s">
        <v>36</v>
      </c>
      <c r="Q8" t="s">
        <v>29</v>
      </c>
      <c r="R8" t="s">
        <v>29</v>
      </c>
      <c r="S8" t="s">
        <v>29</v>
      </c>
      <c r="T8" t="s">
        <v>29</v>
      </c>
      <c r="U8" t="s">
        <v>29</v>
      </c>
      <c r="V8" t="s">
        <v>37</v>
      </c>
      <c r="W8" t="s">
        <v>29</v>
      </c>
      <c r="X8" t="s">
        <v>66</v>
      </c>
      <c r="Y8" t="str">
        <f t="shared" si="0"/>
        <v>Live</v>
      </c>
      <c r="Z8" s="3" t="s">
        <v>29</v>
      </c>
    </row>
    <row r="9" spans="1:26" x14ac:dyDescent="0.3">
      <c r="A9" t="s">
        <v>67</v>
      </c>
      <c r="B9">
        <v>2</v>
      </c>
      <c r="C9" t="s">
        <v>27</v>
      </c>
      <c r="D9" t="s">
        <v>68</v>
      </c>
      <c r="E9" t="s">
        <v>29</v>
      </c>
      <c r="F9" t="s">
        <v>29</v>
      </c>
      <c r="G9" s="3" t="s">
        <v>69</v>
      </c>
      <c r="H9" t="s">
        <v>31</v>
      </c>
      <c r="I9">
        <v>0</v>
      </c>
      <c r="J9">
        <v>0</v>
      </c>
      <c r="K9" t="s">
        <v>67</v>
      </c>
      <c r="L9" t="s">
        <v>32</v>
      </c>
      <c r="M9" t="s">
        <v>65</v>
      </c>
      <c r="N9" t="s">
        <v>29</v>
      </c>
      <c r="O9" t="s">
        <v>56</v>
      </c>
      <c r="P9" t="s">
        <v>36</v>
      </c>
      <c r="Q9" t="s">
        <v>29</v>
      </c>
      <c r="R9" t="s">
        <v>29</v>
      </c>
      <c r="S9" t="s">
        <v>29</v>
      </c>
      <c r="T9" t="s">
        <v>29</v>
      </c>
      <c r="U9" t="s">
        <v>29</v>
      </c>
      <c r="V9" t="s">
        <v>37</v>
      </c>
      <c r="W9" t="s">
        <v>29</v>
      </c>
      <c r="X9" t="s">
        <v>70</v>
      </c>
      <c r="Y9" t="str">
        <f t="shared" si="0"/>
        <v>Live</v>
      </c>
      <c r="Z9" s="3" t="s">
        <v>29</v>
      </c>
    </row>
    <row r="10" spans="1:26" x14ac:dyDescent="0.3">
      <c r="A10" t="s">
        <v>71</v>
      </c>
      <c r="B10">
        <v>1</v>
      </c>
      <c r="C10" t="s">
        <v>27</v>
      </c>
      <c r="D10" t="s">
        <v>72</v>
      </c>
      <c r="E10" t="s">
        <v>29</v>
      </c>
      <c r="F10" t="s">
        <v>29</v>
      </c>
      <c r="G10" s="3" t="s">
        <v>73</v>
      </c>
      <c r="H10" t="s">
        <v>31</v>
      </c>
      <c r="I10">
        <v>0</v>
      </c>
      <c r="J10">
        <v>0</v>
      </c>
      <c r="K10" t="s">
        <v>71</v>
      </c>
      <c r="L10" t="s">
        <v>32</v>
      </c>
      <c r="M10" t="s">
        <v>74</v>
      </c>
      <c r="N10" t="s">
        <v>29</v>
      </c>
      <c r="O10" t="s">
        <v>35</v>
      </c>
      <c r="P10" t="s">
        <v>36</v>
      </c>
      <c r="Q10" t="s">
        <v>29</v>
      </c>
      <c r="R10" t="s">
        <v>29</v>
      </c>
      <c r="S10" t="s">
        <v>29</v>
      </c>
      <c r="T10" t="s">
        <v>29</v>
      </c>
      <c r="U10" t="s">
        <v>29</v>
      </c>
      <c r="V10" t="s">
        <v>37</v>
      </c>
      <c r="W10" t="s">
        <v>29</v>
      </c>
      <c r="X10" t="s">
        <v>75</v>
      </c>
      <c r="Y10" t="str">
        <f t="shared" si="0"/>
        <v>Live</v>
      </c>
      <c r="Z10" s="3" t="s">
        <v>29</v>
      </c>
    </row>
    <row r="11" spans="1:26" x14ac:dyDescent="0.3">
      <c r="A11" t="s">
        <v>76</v>
      </c>
      <c r="B11">
        <v>1</v>
      </c>
      <c r="C11" t="s">
        <v>27</v>
      </c>
      <c r="D11" t="s">
        <v>77</v>
      </c>
      <c r="E11" t="s">
        <v>49</v>
      </c>
      <c r="F11" t="s">
        <v>29</v>
      </c>
      <c r="G11" s="3" t="s">
        <v>78</v>
      </c>
      <c r="H11" t="s">
        <v>55</v>
      </c>
      <c r="I11">
        <v>1</v>
      </c>
      <c r="J11">
        <v>1</v>
      </c>
      <c r="K11" t="s">
        <v>76</v>
      </c>
      <c r="L11" t="s">
        <v>32</v>
      </c>
      <c r="M11" t="s">
        <v>79</v>
      </c>
      <c r="N11" t="s">
        <v>29</v>
      </c>
      <c r="O11" t="s">
        <v>56</v>
      </c>
      <c r="P11" t="s">
        <v>36</v>
      </c>
      <c r="Q11" t="s">
        <v>35</v>
      </c>
      <c r="R11" t="s">
        <v>36</v>
      </c>
      <c r="S11" t="s">
        <v>29</v>
      </c>
      <c r="T11" t="s">
        <v>29</v>
      </c>
      <c r="U11" t="s">
        <v>29</v>
      </c>
      <c r="V11" t="s">
        <v>37</v>
      </c>
      <c r="W11" t="s">
        <v>29</v>
      </c>
      <c r="X11" t="s">
        <v>80</v>
      </c>
      <c r="Y11" t="str">
        <f t="shared" si="0"/>
        <v>Live</v>
      </c>
      <c r="Z11" s="3" t="s">
        <v>29</v>
      </c>
    </row>
    <row r="12" spans="1:26" x14ac:dyDescent="0.3">
      <c r="A12" t="s">
        <v>81</v>
      </c>
      <c r="B12">
        <v>1</v>
      </c>
      <c r="C12" t="s">
        <v>27</v>
      </c>
      <c r="D12" t="s">
        <v>77</v>
      </c>
      <c r="E12" t="s">
        <v>29</v>
      </c>
      <c r="F12" t="s">
        <v>29</v>
      </c>
      <c r="G12" s="3" t="s">
        <v>82</v>
      </c>
      <c r="H12" t="s">
        <v>83</v>
      </c>
      <c r="I12">
        <v>1</v>
      </c>
      <c r="J12">
        <v>1</v>
      </c>
      <c r="K12" t="s">
        <v>81</v>
      </c>
      <c r="L12" t="s">
        <v>32</v>
      </c>
      <c r="M12" t="s">
        <v>79</v>
      </c>
      <c r="N12" t="s">
        <v>29</v>
      </c>
      <c r="O12" t="s">
        <v>56</v>
      </c>
      <c r="P12" s="1" t="s">
        <v>84</v>
      </c>
      <c r="Q12" t="s">
        <v>29</v>
      </c>
      <c r="R12" t="s">
        <v>29</v>
      </c>
      <c r="S12" t="s">
        <v>29</v>
      </c>
      <c r="T12" t="s">
        <v>29</v>
      </c>
      <c r="U12" t="s">
        <v>29</v>
      </c>
      <c r="V12" t="s">
        <v>37</v>
      </c>
      <c r="W12" t="s">
        <v>29</v>
      </c>
      <c r="X12" t="s">
        <v>85</v>
      </c>
      <c r="Y12" t="str">
        <f t="shared" si="0"/>
        <v>Live</v>
      </c>
      <c r="Z12" s="3" t="s">
        <v>29</v>
      </c>
    </row>
    <row r="13" spans="1:26" x14ac:dyDescent="0.3">
      <c r="A13" t="s">
        <v>86</v>
      </c>
      <c r="B13">
        <v>1</v>
      </c>
      <c r="C13" t="s">
        <v>44</v>
      </c>
      <c r="D13" t="s">
        <v>87</v>
      </c>
      <c r="E13" t="s">
        <v>29</v>
      </c>
      <c r="F13" t="s">
        <v>29</v>
      </c>
      <c r="G13" s="3" t="s">
        <v>88</v>
      </c>
      <c r="H13" t="s">
        <v>55</v>
      </c>
      <c r="I13">
        <v>1</v>
      </c>
      <c r="J13">
        <v>1</v>
      </c>
      <c r="K13" t="s">
        <v>86</v>
      </c>
      <c r="L13" t="s">
        <v>32</v>
      </c>
      <c r="M13" t="s">
        <v>79</v>
      </c>
      <c r="N13" t="s">
        <v>29</v>
      </c>
      <c r="O13" t="s">
        <v>56</v>
      </c>
      <c r="P13" t="s">
        <v>36</v>
      </c>
      <c r="Q13" t="s">
        <v>29</v>
      </c>
      <c r="R13" t="s">
        <v>29</v>
      </c>
      <c r="S13" t="s">
        <v>29</v>
      </c>
      <c r="T13" t="s">
        <v>29</v>
      </c>
      <c r="U13" t="s">
        <v>29</v>
      </c>
      <c r="V13" t="s">
        <v>37</v>
      </c>
      <c r="W13" t="s">
        <v>29</v>
      </c>
      <c r="X13" t="s">
        <v>89</v>
      </c>
      <c r="Y13" t="str">
        <f t="shared" si="0"/>
        <v>Live</v>
      </c>
      <c r="Z13" s="3" t="s">
        <v>29</v>
      </c>
    </row>
    <row r="14" spans="1:26" x14ac:dyDescent="0.3">
      <c r="A14" t="s">
        <v>90</v>
      </c>
      <c r="B14">
        <v>1</v>
      </c>
      <c r="C14" t="s">
        <v>91</v>
      </c>
      <c r="D14" t="s">
        <v>87</v>
      </c>
      <c r="E14" t="s">
        <v>29</v>
      </c>
      <c r="F14" t="s">
        <v>29</v>
      </c>
      <c r="G14" s="3" t="s">
        <v>92</v>
      </c>
      <c r="H14" t="s">
        <v>55</v>
      </c>
      <c r="I14">
        <v>1</v>
      </c>
      <c r="J14">
        <v>1</v>
      </c>
      <c r="K14" t="s">
        <v>90</v>
      </c>
      <c r="L14" t="s">
        <v>32</v>
      </c>
      <c r="M14" t="s">
        <v>79</v>
      </c>
      <c r="N14" t="s">
        <v>29</v>
      </c>
      <c r="O14" t="s">
        <v>56</v>
      </c>
      <c r="P14" t="s">
        <v>36</v>
      </c>
      <c r="Q14" t="s">
        <v>29</v>
      </c>
      <c r="R14" t="s">
        <v>29</v>
      </c>
      <c r="S14" t="s">
        <v>29</v>
      </c>
      <c r="T14" t="s">
        <v>29</v>
      </c>
      <c r="U14" t="s">
        <v>29</v>
      </c>
      <c r="V14" t="s">
        <v>37</v>
      </c>
      <c r="W14" t="s">
        <v>29</v>
      </c>
      <c r="X14" t="s">
        <v>93</v>
      </c>
      <c r="Y14" t="str">
        <f t="shared" si="0"/>
        <v>Live</v>
      </c>
      <c r="Z14" s="3" t="s">
        <v>29</v>
      </c>
    </row>
    <row r="15" spans="1:26" x14ac:dyDescent="0.3">
      <c r="A15" t="s">
        <v>94</v>
      </c>
      <c r="B15">
        <v>1</v>
      </c>
      <c r="C15" t="s">
        <v>27</v>
      </c>
      <c r="D15" t="s">
        <v>77</v>
      </c>
      <c r="E15" t="s">
        <v>95</v>
      </c>
      <c r="F15" t="s">
        <v>29</v>
      </c>
      <c r="G15" s="3" t="s">
        <v>96</v>
      </c>
      <c r="H15" t="s">
        <v>55</v>
      </c>
      <c r="I15">
        <v>1</v>
      </c>
      <c r="J15">
        <v>1</v>
      </c>
      <c r="K15" t="s">
        <v>94</v>
      </c>
      <c r="L15" t="s">
        <v>32</v>
      </c>
      <c r="M15" t="s">
        <v>79</v>
      </c>
      <c r="N15" t="s">
        <v>29</v>
      </c>
      <c r="O15" t="s">
        <v>56</v>
      </c>
      <c r="P15" t="s">
        <v>36</v>
      </c>
      <c r="Q15" t="s">
        <v>56</v>
      </c>
      <c r="R15" t="s">
        <v>36</v>
      </c>
      <c r="S15" t="s">
        <v>29</v>
      </c>
      <c r="T15" t="s">
        <v>29</v>
      </c>
      <c r="U15" t="s">
        <v>29</v>
      </c>
      <c r="V15" t="s">
        <v>37</v>
      </c>
      <c r="W15" t="s">
        <v>29</v>
      </c>
      <c r="X15" t="s">
        <v>97</v>
      </c>
      <c r="Y15" t="str">
        <f t="shared" si="0"/>
        <v>Live</v>
      </c>
      <c r="Z15" s="3" t="s">
        <v>29</v>
      </c>
    </row>
    <row r="16" spans="1:26" x14ac:dyDescent="0.3">
      <c r="A16" t="s">
        <v>98</v>
      </c>
      <c r="B16">
        <v>1</v>
      </c>
      <c r="C16" t="s">
        <v>99</v>
      </c>
      <c r="D16" t="s">
        <v>100</v>
      </c>
      <c r="E16" t="s">
        <v>29</v>
      </c>
      <c r="F16" t="s">
        <v>29</v>
      </c>
      <c r="G16" s="3" t="s">
        <v>101</v>
      </c>
      <c r="H16" t="s">
        <v>31</v>
      </c>
      <c r="I16">
        <v>0</v>
      </c>
      <c r="J16">
        <v>0</v>
      </c>
      <c r="K16" t="s">
        <v>98</v>
      </c>
      <c r="L16" t="s">
        <v>32</v>
      </c>
      <c r="M16" t="s">
        <v>79</v>
      </c>
      <c r="N16" t="s">
        <v>29</v>
      </c>
      <c r="O16" t="s">
        <v>35</v>
      </c>
      <c r="P16" t="s">
        <v>102</v>
      </c>
      <c r="Q16" t="s">
        <v>29</v>
      </c>
      <c r="R16" t="s">
        <v>29</v>
      </c>
      <c r="S16" t="s">
        <v>29</v>
      </c>
      <c r="T16" t="s">
        <v>29</v>
      </c>
      <c r="U16" t="s">
        <v>29</v>
      </c>
      <c r="V16" t="s">
        <v>37</v>
      </c>
      <c r="W16" t="s">
        <v>29</v>
      </c>
      <c r="X16" t="s">
        <v>103</v>
      </c>
      <c r="Y16" t="str">
        <f t="shared" si="0"/>
        <v>Live</v>
      </c>
      <c r="Z16" s="3" t="s">
        <v>29</v>
      </c>
    </row>
    <row r="17" spans="1:26" x14ac:dyDescent="0.3">
      <c r="A17" t="s">
        <v>104</v>
      </c>
      <c r="B17">
        <v>2</v>
      </c>
      <c r="C17" t="s">
        <v>27</v>
      </c>
      <c r="D17" t="s">
        <v>105</v>
      </c>
      <c r="E17" t="s">
        <v>29</v>
      </c>
      <c r="F17" t="s">
        <v>29</v>
      </c>
      <c r="G17" s="3" t="s">
        <v>106</v>
      </c>
      <c r="H17" t="s">
        <v>55</v>
      </c>
      <c r="I17">
        <v>1</v>
      </c>
      <c r="J17">
        <v>3</v>
      </c>
      <c r="K17" t="s">
        <v>104</v>
      </c>
      <c r="L17" t="s">
        <v>32</v>
      </c>
      <c r="M17" t="s">
        <v>107</v>
      </c>
      <c r="N17" t="s">
        <v>29</v>
      </c>
      <c r="O17" t="s">
        <v>56</v>
      </c>
      <c r="P17" t="s">
        <v>36</v>
      </c>
      <c r="Q17" t="s">
        <v>29</v>
      </c>
      <c r="R17" t="s">
        <v>29</v>
      </c>
      <c r="S17" t="s">
        <v>29</v>
      </c>
      <c r="T17" t="s">
        <v>29</v>
      </c>
      <c r="U17" t="s">
        <v>29</v>
      </c>
      <c r="V17" t="s">
        <v>37</v>
      </c>
      <c r="W17" t="s">
        <v>29</v>
      </c>
      <c r="X17" t="s">
        <v>108</v>
      </c>
      <c r="Y17" t="str">
        <f t="shared" si="0"/>
        <v>Live</v>
      </c>
      <c r="Z17" s="3" t="s">
        <v>29</v>
      </c>
    </row>
    <row r="18" spans="1:26" x14ac:dyDescent="0.3">
      <c r="A18" t="s">
        <v>109</v>
      </c>
      <c r="B18">
        <v>2</v>
      </c>
      <c r="C18" t="s">
        <v>27</v>
      </c>
      <c r="D18" t="s">
        <v>110</v>
      </c>
      <c r="E18" t="s">
        <v>29</v>
      </c>
      <c r="F18" t="s">
        <v>29</v>
      </c>
      <c r="G18" s="3" t="s">
        <v>111</v>
      </c>
      <c r="H18" t="s">
        <v>55</v>
      </c>
      <c r="I18">
        <v>1</v>
      </c>
      <c r="J18">
        <v>3</v>
      </c>
      <c r="K18" t="s">
        <v>109</v>
      </c>
      <c r="L18" t="s">
        <v>32</v>
      </c>
      <c r="M18" t="s">
        <v>107</v>
      </c>
      <c r="N18" t="s">
        <v>29</v>
      </c>
      <c r="O18" t="s">
        <v>56</v>
      </c>
      <c r="P18" t="s">
        <v>36</v>
      </c>
      <c r="Q18" t="s">
        <v>29</v>
      </c>
      <c r="R18" t="s">
        <v>29</v>
      </c>
      <c r="S18" t="s">
        <v>29</v>
      </c>
      <c r="T18" t="s">
        <v>29</v>
      </c>
      <c r="U18" t="s">
        <v>29</v>
      </c>
      <c r="V18" t="s">
        <v>37</v>
      </c>
      <c r="W18" t="s">
        <v>29</v>
      </c>
      <c r="X18" t="s">
        <v>112</v>
      </c>
      <c r="Y18" t="str">
        <f t="shared" si="0"/>
        <v>Live</v>
      </c>
      <c r="Z18" s="3" t="s">
        <v>29</v>
      </c>
    </row>
    <row r="19" spans="1:26" x14ac:dyDescent="0.3">
      <c r="A19" t="s">
        <v>113</v>
      </c>
      <c r="B19">
        <v>2</v>
      </c>
      <c r="C19" t="s">
        <v>27</v>
      </c>
      <c r="D19" t="s">
        <v>114</v>
      </c>
      <c r="E19" t="s">
        <v>29</v>
      </c>
      <c r="F19" t="s">
        <v>29</v>
      </c>
      <c r="G19" s="3" t="s">
        <v>115</v>
      </c>
      <c r="H19" t="s">
        <v>55</v>
      </c>
      <c r="I19">
        <v>1</v>
      </c>
      <c r="J19">
        <v>3</v>
      </c>
      <c r="K19" t="s">
        <v>113</v>
      </c>
      <c r="L19" t="s">
        <v>32</v>
      </c>
      <c r="M19" t="s">
        <v>107</v>
      </c>
      <c r="N19" t="s">
        <v>29</v>
      </c>
      <c r="O19" t="s">
        <v>56</v>
      </c>
      <c r="P19" t="s">
        <v>36</v>
      </c>
      <c r="Q19" t="s">
        <v>29</v>
      </c>
      <c r="R19" t="s">
        <v>29</v>
      </c>
      <c r="S19" t="s">
        <v>29</v>
      </c>
      <c r="T19" t="s">
        <v>29</v>
      </c>
      <c r="U19" t="s">
        <v>29</v>
      </c>
      <c r="V19" t="s">
        <v>37</v>
      </c>
      <c r="W19" t="s">
        <v>29</v>
      </c>
      <c r="X19" t="s">
        <v>116</v>
      </c>
      <c r="Y19" t="str">
        <f t="shared" si="0"/>
        <v>Live</v>
      </c>
      <c r="Z19" s="3" t="s">
        <v>29</v>
      </c>
    </row>
    <row r="20" spans="1:26" x14ac:dyDescent="0.3">
      <c r="A20" t="s">
        <v>117</v>
      </c>
      <c r="B20">
        <v>2</v>
      </c>
      <c r="C20" t="s">
        <v>27</v>
      </c>
      <c r="D20" t="s">
        <v>118</v>
      </c>
      <c r="E20" t="s">
        <v>29</v>
      </c>
      <c r="F20" t="s">
        <v>29</v>
      </c>
      <c r="G20" s="3" t="s">
        <v>119</v>
      </c>
      <c r="H20" t="s">
        <v>55</v>
      </c>
      <c r="I20">
        <v>1</v>
      </c>
      <c r="J20">
        <v>3</v>
      </c>
      <c r="K20" t="s">
        <v>117</v>
      </c>
      <c r="L20" t="s">
        <v>32</v>
      </c>
      <c r="M20" t="s">
        <v>107</v>
      </c>
      <c r="N20" t="s">
        <v>29</v>
      </c>
      <c r="O20" t="s">
        <v>56</v>
      </c>
      <c r="P20" t="s">
        <v>36</v>
      </c>
      <c r="Q20" t="s">
        <v>29</v>
      </c>
      <c r="R20" t="s">
        <v>29</v>
      </c>
      <c r="S20" t="s">
        <v>29</v>
      </c>
      <c r="T20" t="s">
        <v>29</v>
      </c>
      <c r="U20" t="s">
        <v>29</v>
      </c>
      <c r="V20" t="s">
        <v>37</v>
      </c>
      <c r="W20" t="s">
        <v>29</v>
      </c>
      <c r="X20" t="s">
        <v>120</v>
      </c>
      <c r="Y20" t="str">
        <f t="shared" si="0"/>
        <v>Live</v>
      </c>
      <c r="Z20" s="3" t="s">
        <v>29</v>
      </c>
    </row>
    <row r="21" spans="1:26" x14ac:dyDescent="0.3">
      <c r="A21" t="s">
        <v>121</v>
      </c>
      <c r="B21">
        <v>3</v>
      </c>
      <c r="C21" t="s">
        <v>99</v>
      </c>
      <c r="D21" t="s">
        <v>122</v>
      </c>
      <c r="E21" t="s">
        <v>29</v>
      </c>
      <c r="F21" t="s">
        <v>29</v>
      </c>
      <c r="G21" s="3" t="s">
        <v>123</v>
      </c>
      <c r="H21" t="s">
        <v>55</v>
      </c>
      <c r="I21">
        <v>1</v>
      </c>
      <c r="J21">
        <v>3</v>
      </c>
      <c r="K21" t="s">
        <v>121</v>
      </c>
      <c r="L21" t="s">
        <v>32</v>
      </c>
      <c r="M21" t="s">
        <v>107</v>
      </c>
      <c r="N21" t="s">
        <v>29</v>
      </c>
      <c r="O21" t="s">
        <v>56</v>
      </c>
      <c r="P21" t="s">
        <v>36</v>
      </c>
      <c r="Q21" t="s">
        <v>29</v>
      </c>
      <c r="R21" t="s">
        <v>29</v>
      </c>
      <c r="S21" t="s">
        <v>29</v>
      </c>
      <c r="T21" t="s">
        <v>29</v>
      </c>
      <c r="U21" t="s">
        <v>29</v>
      </c>
      <c r="V21" t="s">
        <v>37</v>
      </c>
      <c r="W21" t="s">
        <v>29</v>
      </c>
      <c r="X21" t="s">
        <v>124</v>
      </c>
      <c r="Y21" t="str">
        <f t="shared" si="0"/>
        <v>Live</v>
      </c>
      <c r="Z21" s="3" t="s">
        <v>29</v>
      </c>
    </row>
    <row r="22" spans="1:26" x14ac:dyDescent="0.3">
      <c r="A22" t="s">
        <v>125</v>
      </c>
      <c r="B22">
        <v>3</v>
      </c>
      <c r="C22" t="s">
        <v>99</v>
      </c>
      <c r="D22" t="s">
        <v>126</v>
      </c>
      <c r="E22" t="s">
        <v>29</v>
      </c>
      <c r="F22" t="s">
        <v>29</v>
      </c>
      <c r="G22" s="3" t="s">
        <v>127</v>
      </c>
      <c r="H22" t="s">
        <v>55</v>
      </c>
      <c r="I22">
        <v>1</v>
      </c>
      <c r="J22">
        <v>1</v>
      </c>
      <c r="K22" t="s">
        <v>126</v>
      </c>
      <c r="L22" t="s">
        <v>32</v>
      </c>
      <c r="M22" t="s">
        <v>107</v>
      </c>
      <c r="N22" t="s">
        <v>29</v>
      </c>
      <c r="O22" t="s">
        <v>56</v>
      </c>
      <c r="P22" t="s">
        <v>36</v>
      </c>
      <c r="Q22" t="s">
        <v>29</v>
      </c>
      <c r="R22" t="s">
        <v>29</v>
      </c>
      <c r="S22" t="s">
        <v>29</v>
      </c>
      <c r="T22" t="s">
        <v>29</v>
      </c>
      <c r="U22" t="s">
        <v>29</v>
      </c>
      <c r="V22" t="s">
        <v>37</v>
      </c>
      <c r="W22" t="s">
        <v>29</v>
      </c>
      <c r="X22" t="s">
        <v>128</v>
      </c>
      <c r="Y22" t="str">
        <f t="shared" si="0"/>
        <v>Live</v>
      </c>
      <c r="Z22" s="3" t="s">
        <v>29</v>
      </c>
    </row>
    <row r="23" spans="1:26" x14ac:dyDescent="0.3">
      <c r="A23" t="s">
        <v>129</v>
      </c>
      <c r="B23">
        <v>3</v>
      </c>
      <c r="C23" t="s">
        <v>99</v>
      </c>
      <c r="D23" t="s">
        <v>130</v>
      </c>
      <c r="E23" t="s">
        <v>29</v>
      </c>
      <c r="F23" t="s">
        <v>29</v>
      </c>
      <c r="G23" s="3" t="s">
        <v>131</v>
      </c>
      <c r="H23" t="s">
        <v>55</v>
      </c>
      <c r="I23">
        <v>1</v>
      </c>
      <c r="J23">
        <v>3</v>
      </c>
      <c r="K23" t="s">
        <v>129</v>
      </c>
      <c r="L23" t="s">
        <v>32</v>
      </c>
      <c r="M23" t="s">
        <v>107</v>
      </c>
      <c r="N23" t="s">
        <v>29</v>
      </c>
      <c r="O23" t="s">
        <v>56</v>
      </c>
      <c r="P23" t="s">
        <v>36</v>
      </c>
      <c r="Q23" t="s">
        <v>29</v>
      </c>
      <c r="R23" t="s">
        <v>29</v>
      </c>
      <c r="S23" t="s">
        <v>29</v>
      </c>
      <c r="T23" t="s">
        <v>29</v>
      </c>
      <c r="U23" t="s">
        <v>29</v>
      </c>
      <c r="V23" t="s">
        <v>37</v>
      </c>
      <c r="W23" t="s">
        <v>29</v>
      </c>
      <c r="X23" t="s">
        <v>132</v>
      </c>
      <c r="Y23" t="str">
        <f t="shared" si="0"/>
        <v>Live</v>
      </c>
      <c r="Z23" s="3" t="s">
        <v>29</v>
      </c>
    </row>
    <row r="24" spans="1:26" x14ac:dyDescent="0.3">
      <c r="A24" t="s">
        <v>133</v>
      </c>
      <c r="B24">
        <v>0</v>
      </c>
      <c r="C24" t="s">
        <v>99</v>
      </c>
      <c r="D24" t="s">
        <v>134</v>
      </c>
      <c r="E24" t="s">
        <v>135</v>
      </c>
      <c r="F24" t="s">
        <v>29</v>
      </c>
      <c r="G24" s="3" t="s">
        <v>136</v>
      </c>
      <c r="H24" t="s">
        <v>31</v>
      </c>
      <c r="I24">
        <v>0</v>
      </c>
      <c r="J24">
        <v>0</v>
      </c>
      <c r="K24" t="s">
        <v>133</v>
      </c>
      <c r="L24" t="s">
        <v>32</v>
      </c>
      <c r="M24" t="s">
        <v>137</v>
      </c>
      <c r="N24" t="s">
        <v>29</v>
      </c>
      <c r="O24" t="s">
        <v>35</v>
      </c>
      <c r="P24" t="s">
        <v>36</v>
      </c>
      <c r="Q24" t="s">
        <v>35</v>
      </c>
      <c r="R24" t="s">
        <v>36</v>
      </c>
      <c r="S24" t="s">
        <v>29</v>
      </c>
      <c r="T24" t="s">
        <v>29</v>
      </c>
      <c r="U24" t="s">
        <v>29</v>
      </c>
      <c r="V24" t="s">
        <v>37</v>
      </c>
      <c r="W24" t="s">
        <v>29</v>
      </c>
      <c r="X24" t="s">
        <v>138</v>
      </c>
      <c r="Y24" t="str">
        <f t="shared" si="0"/>
        <v>Live</v>
      </c>
      <c r="Z24" s="3" t="s">
        <v>29</v>
      </c>
    </row>
    <row r="25" spans="1:26" x14ac:dyDescent="0.3">
      <c r="A25" t="s">
        <v>139</v>
      </c>
      <c r="B25">
        <v>0</v>
      </c>
      <c r="C25" t="s">
        <v>99</v>
      </c>
      <c r="D25" t="s">
        <v>50</v>
      </c>
      <c r="E25" t="s">
        <v>135</v>
      </c>
      <c r="F25" t="s">
        <v>29</v>
      </c>
      <c r="G25" s="3" t="s">
        <v>140</v>
      </c>
      <c r="H25" t="s">
        <v>31</v>
      </c>
      <c r="I25">
        <v>0</v>
      </c>
      <c r="J25">
        <v>0</v>
      </c>
      <c r="K25" t="s">
        <v>139</v>
      </c>
      <c r="L25" t="s">
        <v>32</v>
      </c>
      <c r="M25" t="s">
        <v>137</v>
      </c>
      <c r="N25" t="s">
        <v>29</v>
      </c>
      <c r="O25" t="s">
        <v>35</v>
      </c>
      <c r="P25" t="s">
        <v>36</v>
      </c>
      <c r="Q25" t="s">
        <v>35</v>
      </c>
      <c r="R25" t="s">
        <v>36</v>
      </c>
      <c r="S25" t="s">
        <v>29</v>
      </c>
      <c r="T25" t="s">
        <v>29</v>
      </c>
      <c r="U25" t="s">
        <v>29</v>
      </c>
      <c r="V25" t="s">
        <v>37</v>
      </c>
      <c r="W25" t="s">
        <v>29</v>
      </c>
      <c r="X25" t="s">
        <v>141</v>
      </c>
      <c r="Y25" t="str">
        <f t="shared" si="0"/>
        <v>Live</v>
      </c>
      <c r="Z25" s="3" t="s">
        <v>29</v>
      </c>
    </row>
  </sheetData>
  <autoFilter ref="A1:Z25" xr:uid="{00000000-0009-0000-0000-000001000000}"/>
  <conditionalFormatting sqref="Y2:Y25">
    <cfRule type="cellIs" dxfId="13" priority="1" operator="equal">
      <formula>"NEW"</formula>
    </cfRule>
  </conditionalFormatting>
  <dataValidations count="7">
    <dataValidation type="list" allowBlank="1" sqref="L2:L225" xr:uid="{00000000-0002-0000-0100-000000000000}">
      <formula1>list_Class</formula1>
    </dataValidation>
    <dataValidation type="list" allowBlank="1" sqref="M2:M225" xr:uid="{00000000-0002-0000-0100-000001000000}">
      <formula1>list_Folder</formula1>
    </dataValidation>
    <dataValidation type="list" allowBlank="1" sqref="C2:C225" xr:uid="{00000000-0002-0000-0100-000002000000}">
      <formula1>list_Rarity</formula1>
    </dataValidation>
    <dataValidation type="list" allowBlank="1" sqref="H2:H225" xr:uid="{00000000-0002-0000-0100-000003000000}">
      <formula1>list_Shape</formula1>
    </dataValidation>
    <dataValidation type="list" allowBlank="1" sqref="O2:O225 S2:S225 Q2:Q225" xr:uid="{00000000-0002-0000-0100-000004000000}">
      <formula1>list_Aim</formula1>
    </dataValidation>
    <dataValidation type="list" allowBlank="1" sqref="D2:F225" xr:uid="{00000000-0002-0000-0100-000007000000}">
      <formula1>list_Effect</formula1>
    </dataValidation>
    <dataValidation type="list" allowBlank="1" sqref="V2:V225" xr:uid="{00000000-0002-0000-0100-00000A000000}">
      <formula1>list_Bool</formula1>
    </dataValidation>
  </dataValidations>
  <hyperlinks>
    <hyperlink ref="P12"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6"/>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7.33203125" customWidth="1"/>
    <col min="2" max="2" width="9.109375" customWidth="1"/>
    <col min="3" max="3" width="11.6640625" customWidth="1"/>
    <col min="4" max="4" width="22.6640625" customWidth="1"/>
    <col min="5" max="5" width="9.44140625" customWidth="1"/>
    <col min="6" max="6" width="9.109375" customWidth="1"/>
    <col min="7" max="7" width="52" style="3" customWidth="1"/>
    <col min="8" max="8" width="12.6640625" customWidth="1"/>
    <col min="9" max="9" width="10.77734375" customWidth="1"/>
    <col min="10" max="10" width="11.109375" customWidth="1"/>
    <col min="11" max="11" width="19.6640625" customWidth="1"/>
    <col min="12" max="12" width="9.109375" customWidth="1"/>
    <col min="13" max="13" width="15.44140625" customWidth="1"/>
    <col min="14" max="14" width="9.21875" customWidth="1"/>
    <col min="15" max="15" width="9.109375" customWidth="1"/>
    <col min="16" max="16" width="16.88671875" customWidth="1"/>
    <col min="17" max="20" width="9.109375" customWidth="1"/>
    <col min="21" max="21" width="10" customWidth="1"/>
    <col min="22" max="22" width="11.109375" customWidth="1"/>
    <col min="23" max="23" width="10.5546875" customWidth="1"/>
    <col min="24" max="24" width="36.1093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142</v>
      </c>
      <c r="B2">
        <v>1</v>
      </c>
      <c r="C2" t="s">
        <v>27</v>
      </c>
      <c r="D2" t="s">
        <v>143</v>
      </c>
      <c r="E2" t="s">
        <v>29</v>
      </c>
      <c r="F2" t="s">
        <v>29</v>
      </c>
      <c r="G2" s="3" t="s">
        <v>144</v>
      </c>
      <c r="H2" t="s">
        <v>55</v>
      </c>
      <c r="I2">
        <v>0</v>
      </c>
      <c r="J2">
        <v>4</v>
      </c>
      <c r="K2" t="s">
        <v>142</v>
      </c>
      <c r="L2" t="s">
        <v>145</v>
      </c>
      <c r="M2" t="s">
        <v>33</v>
      </c>
      <c r="N2" t="s">
        <v>34</v>
      </c>
      <c r="O2" t="s">
        <v>56</v>
      </c>
      <c r="P2" t="s">
        <v>36</v>
      </c>
      <c r="Q2" t="s">
        <v>29</v>
      </c>
      <c r="R2" t="s">
        <v>29</v>
      </c>
      <c r="S2" t="s">
        <v>29</v>
      </c>
      <c r="T2" t="s">
        <v>29</v>
      </c>
      <c r="U2" t="s">
        <v>29</v>
      </c>
      <c r="V2" t="s">
        <v>37</v>
      </c>
      <c r="W2" t="s">
        <v>29</v>
      </c>
      <c r="X2" t="s">
        <v>146</v>
      </c>
      <c r="Y2" t="str">
        <f t="shared" ref="Y2:Y26" si="0">IF($X2="","NEW","Live")</f>
        <v>Live</v>
      </c>
      <c r="Z2" s="3" t="s">
        <v>29</v>
      </c>
    </row>
    <row r="3" spans="1:26" x14ac:dyDescent="0.3">
      <c r="A3" t="s">
        <v>147</v>
      </c>
      <c r="B3">
        <v>1</v>
      </c>
      <c r="C3" t="s">
        <v>44</v>
      </c>
      <c r="D3" t="s">
        <v>148</v>
      </c>
      <c r="E3" t="s">
        <v>29</v>
      </c>
      <c r="F3" t="s">
        <v>29</v>
      </c>
      <c r="G3" s="3" t="s">
        <v>149</v>
      </c>
      <c r="H3" t="s">
        <v>55</v>
      </c>
      <c r="I3">
        <v>1</v>
      </c>
      <c r="J3">
        <v>4</v>
      </c>
      <c r="K3" t="s">
        <v>147</v>
      </c>
      <c r="L3" t="s">
        <v>145</v>
      </c>
      <c r="M3" t="s">
        <v>150</v>
      </c>
      <c r="N3" t="s">
        <v>34</v>
      </c>
      <c r="O3" t="s">
        <v>56</v>
      </c>
      <c r="P3" t="s">
        <v>36</v>
      </c>
      <c r="Q3" t="s">
        <v>29</v>
      </c>
      <c r="R3" t="s">
        <v>29</v>
      </c>
      <c r="S3" t="s">
        <v>29</v>
      </c>
      <c r="T3" t="s">
        <v>29</v>
      </c>
      <c r="U3" t="s">
        <v>29</v>
      </c>
      <c r="V3" t="s">
        <v>37</v>
      </c>
      <c r="W3" t="s">
        <v>151</v>
      </c>
      <c r="X3" t="s">
        <v>152</v>
      </c>
      <c r="Y3" t="str">
        <f t="shared" si="0"/>
        <v>Live</v>
      </c>
      <c r="Z3" s="3" t="s">
        <v>29</v>
      </c>
    </row>
    <row r="4" spans="1:26" x14ac:dyDescent="0.3">
      <c r="A4" t="s">
        <v>153</v>
      </c>
      <c r="B4">
        <v>1</v>
      </c>
      <c r="C4" t="s">
        <v>27</v>
      </c>
      <c r="D4" t="s">
        <v>154</v>
      </c>
      <c r="E4" t="s">
        <v>29</v>
      </c>
      <c r="F4" t="s">
        <v>29</v>
      </c>
      <c r="G4" s="3" t="s">
        <v>155</v>
      </c>
      <c r="H4" t="s">
        <v>55</v>
      </c>
      <c r="I4">
        <v>1</v>
      </c>
      <c r="J4">
        <v>4</v>
      </c>
      <c r="K4" t="s">
        <v>153</v>
      </c>
      <c r="L4" t="s">
        <v>145</v>
      </c>
      <c r="M4" t="s">
        <v>150</v>
      </c>
      <c r="N4" t="s">
        <v>29</v>
      </c>
      <c r="O4" t="s">
        <v>56</v>
      </c>
      <c r="P4" t="s">
        <v>36</v>
      </c>
      <c r="Q4" t="s">
        <v>29</v>
      </c>
      <c r="R4" t="s">
        <v>29</v>
      </c>
      <c r="S4" t="s">
        <v>29</v>
      </c>
      <c r="T4" t="s">
        <v>29</v>
      </c>
      <c r="U4" t="s">
        <v>29</v>
      </c>
      <c r="V4" t="s">
        <v>37</v>
      </c>
      <c r="W4" t="s">
        <v>151</v>
      </c>
      <c r="X4" t="s">
        <v>156</v>
      </c>
      <c r="Y4" t="str">
        <f t="shared" si="0"/>
        <v>Live</v>
      </c>
      <c r="Z4" s="3" t="s">
        <v>29</v>
      </c>
    </row>
    <row r="5" spans="1:26" x14ac:dyDescent="0.3">
      <c r="A5" t="s">
        <v>157</v>
      </c>
      <c r="B5">
        <v>1</v>
      </c>
      <c r="C5" t="s">
        <v>99</v>
      </c>
      <c r="D5" t="s">
        <v>157</v>
      </c>
      <c r="E5" t="s">
        <v>29</v>
      </c>
      <c r="F5" t="s">
        <v>29</v>
      </c>
      <c r="G5" s="3" t="s">
        <v>158</v>
      </c>
      <c r="H5" t="s">
        <v>55</v>
      </c>
      <c r="I5">
        <v>1</v>
      </c>
      <c r="J5">
        <v>4</v>
      </c>
      <c r="K5" t="s">
        <v>157</v>
      </c>
      <c r="L5" t="s">
        <v>145</v>
      </c>
      <c r="M5" t="s">
        <v>150</v>
      </c>
      <c r="N5" t="s">
        <v>29</v>
      </c>
      <c r="O5" t="s">
        <v>56</v>
      </c>
      <c r="P5" t="s">
        <v>36</v>
      </c>
      <c r="Q5" t="s">
        <v>29</v>
      </c>
      <c r="R5" t="s">
        <v>29</v>
      </c>
      <c r="S5" t="s">
        <v>29</v>
      </c>
      <c r="T5" t="s">
        <v>29</v>
      </c>
      <c r="U5" t="s">
        <v>29</v>
      </c>
      <c r="V5" t="s">
        <v>37</v>
      </c>
      <c r="W5" t="s">
        <v>157</v>
      </c>
      <c r="X5" t="s">
        <v>159</v>
      </c>
      <c r="Y5" t="str">
        <f t="shared" si="0"/>
        <v>Live</v>
      </c>
      <c r="Z5" s="3" t="s">
        <v>29</v>
      </c>
    </row>
    <row r="6" spans="1:26" x14ac:dyDescent="0.3">
      <c r="A6" t="s">
        <v>160</v>
      </c>
      <c r="B6">
        <v>1</v>
      </c>
      <c r="C6" t="s">
        <v>44</v>
      </c>
      <c r="D6" t="s">
        <v>95</v>
      </c>
      <c r="E6" t="s">
        <v>29</v>
      </c>
      <c r="F6" t="s">
        <v>29</v>
      </c>
      <c r="G6" s="3" t="s">
        <v>161</v>
      </c>
      <c r="H6" t="s">
        <v>55</v>
      </c>
      <c r="I6">
        <v>1</v>
      </c>
      <c r="J6">
        <v>4</v>
      </c>
      <c r="K6" t="s">
        <v>160</v>
      </c>
      <c r="L6" t="s">
        <v>145</v>
      </c>
      <c r="M6" t="s">
        <v>150</v>
      </c>
      <c r="N6" t="s">
        <v>29</v>
      </c>
      <c r="O6" t="s">
        <v>56</v>
      </c>
      <c r="P6" t="s">
        <v>36</v>
      </c>
      <c r="Q6" t="s">
        <v>29</v>
      </c>
      <c r="R6" t="s">
        <v>29</v>
      </c>
      <c r="S6" t="s">
        <v>29</v>
      </c>
      <c r="T6" t="s">
        <v>29</v>
      </c>
      <c r="U6" t="s">
        <v>29</v>
      </c>
      <c r="V6" t="s">
        <v>37</v>
      </c>
      <c r="W6" t="s">
        <v>29</v>
      </c>
      <c r="X6" t="s">
        <v>162</v>
      </c>
      <c r="Y6" t="str">
        <f t="shared" si="0"/>
        <v>Live</v>
      </c>
      <c r="Z6" s="3" t="s">
        <v>29</v>
      </c>
    </row>
    <row r="7" spans="1:26" x14ac:dyDescent="0.3">
      <c r="A7" t="s">
        <v>163</v>
      </c>
      <c r="B7">
        <v>1</v>
      </c>
      <c r="C7" t="s">
        <v>44</v>
      </c>
      <c r="D7" t="s">
        <v>164</v>
      </c>
      <c r="E7" t="s">
        <v>29</v>
      </c>
      <c r="F7" t="s">
        <v>29</v>
      </c>
      <c r="G7" s="3" t="s">
        <v>165</v>
      </c>
      <c r="H7" t="s">
        <v>55</v>
      </c>
      <c r="I7">
        <v>1</v>
      </c>
      <c r="J7">
        <v>4</v>
      </c>
      <c r="K7" t="s">
        <v>166</v>
      </c>
      <c r="L7" t="s">
        <v>145</v>
      </c>
      <c r="M7" t="s">
        <v>74</v>
      </c>
      <c r="N7" t="s">
        <v>167</v>
      </c>
      <c r="O7" t="s">
        <v>56</v>
      </c>
      <c r="P7" t="s">
        <v>36</v>
      </c>
      <c r="Q7" t="s">
        <v>29</v>
      </c>
      <c r="R7" t="s">
        <v>29</v>
      </c>
      <c r="S7" t="s">
        <v>29</v>
      </c>
      <c r="T7" t="s">
        <v>29</v>
      </c>
      <c r="U7" t="s">
        <v>29</v>
      </c>
      <c r="V7" t="s">
        <v>37</v>
      </c>
      <c r="W7" t="s">
        <v>29</v>
      </c>
      <c r="X7" t="s">
        <v>168</v>
      </c>
      <c r="Y7" t="str">
        <f t="shared" si="0"/>
        <v>Live</v>
      </c>
      <c r="Z7" s="3" t="s">
        <v>29</v>
      </c>
    </row>
    <row r="8" spans="1:26" x14ac:dyDescent="0.3">
      <c r="A8" t="s">
        <v>169</v>
      </c>
      <c r="B8">
        <v>1</v>
      </c>
      <c r="C8" t="s">
        <v>44</v>
      </c>
      <c r="D8" t="s">
        <v>72</v>
      </c>
      <c r="E8" t="s">
        <v>29</v>
      </c>
      <c r="F8" t="s">
        <v>29</v>
      </c>
      <c r="G8" s="3" t="s">
        <v>170</v>
      </c>
      <c r="H8" t="s">
        <v>55</v>
      </c>
      <c r="I8">
        <v>1</v>
      </c>
      <c r="J8">
        <v>4</v>
      </c>
      <c r="K8" t="s">
        <v>169</v>
      </c>
      <c r="L8" t="s">
        <v>145</v>
      </c>
      <c r="M8" t="s">
        <v>74</v>
      </c>
      <c r="N8" t="s">
        <v>167</v>
      </c>
      <c r="O8" t="s">
        <v>56</v>
      </c>
      <c r="P8" t="s">
        <v>36</v>
      </c>
      <c r="Q8" t="s">
        <v>29</v>
      </c>
      <c r="R8" t="s">
        <v>29</v>
      </c>
      <c r="S8" t="s">
        <v>29</v>
      </c>
      <c r="T8" t="s">
        <v>29</v>
      </c>
      <c r="U8" t="s">
        <v>29</v>
      </c>
      <c r="V8" t="s">
        <v>37</v>
      </c>
      <c r="W8" t="s">
        <v>29</v>
      </c>
      <c r="X8" t="s">
        <v>171</v>
      </c>
      <c r="Y8" t="str">
        <f t="shared" si="0"/>
        <v>Live</v>
      </c>
      <c r="Z8" s="3" t="s">
        <v>29</v>
      </c>
    </row>
    <row r="9" spans="1:26" x14ac:dyDescent="0.3">
      <c r="A9" t="s">
        <v>172</v>
      </c>
      <c r="B9">
        <v>1</v>
      </c>
      <c r="C9" t="s">
        <v>44</v>
      </c>
      <c r="D9" t="s">
        <v>173</v>
      </c>
      <c r="E9" t="s">
        <v>29</v>
      </c>
      <c r="F9" t="s">
        <v>29</v>
      </c>
      <c r="G9" s="3" t="s">
        <v>174</v>
      </c>
      <c r="H9" t="s">
        <v>175</v>
      </c>
      <c r="I9">
        <v>0</v>
      </c>
      <c r="J9">
        <v>0</v>
      </c>
      <c r="K9" t="s">
        <v>172</v>
      </c>
      <c r="L9" t="s">
        <v>145</v>
      </c>
      <c r="M9" t="s">
        <v>176</v>
      </c>
      <c r="N9" t="s">
        <v>29</v>
      </c>
      <c r="O9" t="s">
        <v>56</v>
      </c>
      <c r="P9" t="s">
        <v>36</v>
      </c>
      <c r="Q9" t="s">
        <v>29</v>
      </c>
      <c r="R9" t="s">
        <v>29</v>
      </c>
      <c r="S9" t="s">
        <v>29</v>
      </c>
      <c r="T9" t="s">
        <v>29</v>
      </c>
      <c r="U9" t="s">
        <v>29</v>
      </c>
      <c r="V9" t="s">
        <v>37</v>
      </c>
      <c r="W9" t="s">
        <v>29</v>
      </c>
      <c r="X9" t="s">
        <v>177</v>
      </c>
      <c r="Y9" t="str">
        <f t="shared" si="0"/>
        <v>Live</v>
      </c>
      <c r="Z9" s="3" t="s">
        <v>29</v>
      </c>
    </row>
    <row r="10" spans="1:26" x14ac:dyDescent="0.3">
      <c r="A10" t="s">
        <v>178</v>
      </c>
      <c r="B10">
        <v>1</v>
      </c>
      <c r="C10" t="s">
        <v>99</v>
      </c>
      <c r="D10" t="s">
        <v>77</v>
      </c>
      <c r="E10" t="s">
        <v>29</v>
      </c>
      <c r="F10" t="s">
        <v>29</v>
      </c>
      <c r="G10" s="3" t="s">
        <v>179</v>
      </c>
      <c r="H10" t="s">
        <v>55</v>
      </c>
      <c r="I10">
        <v>1</v>
      </c>
      <c r="J10">
        <v>4</v>
      </c>
      <c r="K10" t="s">
        <v>178</v>
      </c>
      <c r="L10" t="s">
        <v>145</v>
      </c>
      <c r="M10" t="s">
        <v>180</v>
      </c>
      <c r="N10" t="s">
        <v>29</v>
      </c>
      <c r="O10" t="s">
        <v>56</v>
      </c>
      <c r="P10" t="s">
        <v>102</v>
      </c>
      <c r="Q10" t="s">
        <v>29</v>
      </c>
      <c r="R10" t="s">
        <v>29</v>
      </c>
      <c r="S10" t="s">
        <v>29</v>
      </c>
      <c r="T10" t="s">
        <v>29</v>
      </c>
      <c r="U10" t="s">
        <v>29</v>
      </c>
      <c r="V10" t="s">
        <v>37</v>
      </c>
      <c r="W10" t="s">
        <v>29</v>
      </c>
      <c r="X10" t="s">
        <v>181</v>
      </c>
      <c r="Y10" t="str">
        <f t="shared" si="0"/>
        <v>Live</v>
      </c>
      <c r="Z10" s="3" t="s">
        <v>29</v>
      </c>
    </row>
    <row r="11" spans="1:26" x14ac:dyDescent="0.3">
      <c r="A11" t="s">
        <v>182</v>
      </c>
      <c r="B11">
        <v>1</v>
      </c>
      <c r="C11" t="s">
        <v>44</v>
      </c>
      <c r="D11" t="s">
        <v>77</v>
      </c>
      <c r="E11" t="s">
        <v>29</v>
      </c>
      <c r="F11" t="s">
        <v>29</v>
      </c>
      <c r="G11" s="3" t="s">
        <v>179</v>
      </c>
      <c r="H11" t="s">
        <v>55</v>
      </c>
      <c r="I11">
        <v>1</v>
      </c>
      <c r="J11">
        <v>5</v>
      </c>
      <c r="K11" t="s">
        <v>182</v>
      </c>
      <c r="L11" t="s">
        <v>145</v>
      </c>
      <c r="M11" t="s">
        <v>180</v>
      </c>
      <c r="N11" t="s">
        <v>29</v>
      </c>
      <c r="O11" t="s">
        <v>56</v>
      </c>
      <c r="P11" t="s">
        <v>36</v>
      </c>
      <c r="Q11" t="s">
        <v>29</v>
      </c>
      <c r="R11" t="s">
        <v>29</v>
      </c>
      <c r="S11" t="s">
        <v>29</v>
      </c>
      <c r="T11" t="s">
        <v>29</v>
      </c>
      <c r="U11" t="s">
        <v>29</v>
      </c>
      <c r="V11" t="s">
        <v>37</v>
      </c>
      <c r="W11" t="s">
        <v>178</v>
      </c>
      <c r="X11" t="s">
        <v>183</v>
      </c>
      <c r="Y11" t="str">
        <f t="shared" si="0"/>
        <v>Live</v>
      </c>
      <c r="Z11" s="3" t="s">
        <v>29</v>
      </c>
    </row>
    <row r="12" spans="1:26" x14ac:dyDescent="0.3">
      <c r="A12" t="s">
        <v>184</v>
      </c>
      <c r="B12">
        <v>1</v>
      </c>
      <c r="C12" t="s">
        <v>99</v>
      </c>
      <c r="D12" t="s">
        <v>100</v>
      </c>
      <c r="E12" t="s">
        <v>29</v>
      </c>
      <c r="F12" t="s">
        <v>29</v>
      </c>
      <c r="G12" s="3" t="s">
        <v>101</v>
      </c>
      <c r="H12" t="s">
        <v>55</v>
      </c>
      <c r="I12">
        <v>1</v>
      </c>
      <c r="J12">
        <v>1</v>
      </c>
      <c r="K12" t="s">
        <v>184</v>
      </c>
      <c r="L12" t="s">
        <v>145</v>
      </c>
      <c r="M12" t="s">
        <v>180</v>
      </c>
      <c r="N12" t="s">
        <v>29</v>
      </c>
      <c r="O12" t="s">
        <v>56</v>
      </c>
      <c r="P12" s="1" t="s">
        <v>185</v>
      </c>
      <c r="Q12" t="s">
        <v>29</v>
      </c>
      <c r="R12" t="s">
        <v>29</v>
      </c>
      <c r="S12" t="s">
        <v>29</v>
      </c>
      <c r="T12" t="s">
        <v>29</v>
      </c>
      <c r="U12" t="s">
        <v>29</v>
      </c>
      <c r="V12" t="s">
        <v>37</v>
      </c>
      <c r="W12" t="s">
        <v>29</v>
      </c>
      <c r="X12" t="s">
        <v>186</v>
      </c>
      <c r="Y12" t="str">
        <f t="shared" si="0"/>
        <v>Live</v>
      </c>
      <c r="Z12" s="3" t="s">
        <v>29</v>
      </c>
    </row>
    <row r="13" spans="1:26" x14ac:dyDescent="0.3">
      <c r="A13" t="s">
        <v>187</v>
      </c>
      <c r="B13">
        <v>1</v>
      </c>
      <c r="C13" t="s">
        <v>99</v>
      </c>
      <c r="D13" t="s">
        <v>77</v>
      </c>
      <c r="E13" t="s">
        <v>157</v>
      </c>
      <c r="F13" t="s">
        <v>29</v>
      </c>
      <c r="G13" s="3" t="s">
        <v>188</v>
      </c>
      <c r="H13" t="s">
        <v>55</v>
      </c>
      <c r="I13">
        <v>1</v>
      </c>
      <c r="J13">
        <v>4</v>
      </c>
      <c r="K13" t="s">
        <v>187</v>
      </c>
      <c r="L13" t="s">
        <v>145</v>
      </c>
      <c r="M13" t="s">
        <v>180</v>
      </c>
      <c r="N13" t="s">
        <v>29</v>
      </c>
      <c r="O13" t="s">
        <v>56</v>
      </c>
      <c r="P13" t="s">
        <v>36</v>
      </c>
      <c r="Q13" t="s">
        <v>56</v>
      </c>
      <c r="R13" t="s">
        <v>36</v>
      </c>
      <c r="S13" t="s">
        <v>29</v>
      </c>
      <c r="T13" t="s">
        <v>29</v>
      </c>
      <c r="U13" t="s">
        <v>29</v>
      </c>
      <c r="V13" t="s">
        <v>37</v>
      </c>
      <c r="W13" t="s">
        <v>29</v>
      </c>
      <c r="X13" t="s">
        <v>189</v>
      </c>
      <c r="Y13" t="str">
        <f t="shared" si="0"/>
        <v>Live</v>
      </c>
      <c r="Z13" s="3" t="s">
        <v>29</v>
      </c>
    </row>
    <row r="14" spans="1:26" x14ac:dyDescent="0.3">
      <c r="A14" t="s">
        <v>190</v>
      </c>
      <c r="B14">
        <v>1</v>
      </c>
      <c r="C14" t="s">
        <v>99</v>
      </c>
      <c r="D14" t="s">
        <v>77</v>
      </c>
      <c r="E14" t="s">
        <v>29</v>
      </c>
      <c r="F14" t="s">
        <v>29</v>
      </c>
      <c r="G14" s="3" t="s">
        <v>179</v>
      </c>
      <c r="H14" t="s">
        <v>55</v>
      </c>
      <c r="I14">
        <v>1</v>
      </c>
      <c r="J14">
        <v>4</v>
      </c>
      <c r="K14" t="s">
        <v>190</v>
      </c>
      <c r="L14" t="s">
        <v>145</v>
      </c>
      <c r="M14" t="s">
        <v>180</v>
      </c>
      <c r="N14" t="s">
        <v>29</v>
      </c>
      <c r="O14" t="s">
        <v>56</v>
      </c>
      <c r="P14" s="1" t="s">
        <v>191</v>
      </c>
      <c r="Q14" t="s">
        <v>29</v>
      </c>
      <c r="R14" t="s">
        <v>29</v>
      </c>
      <c r="S14" t="s">
        <v>29</v>
      </c>
      <c r="T14" t="s">
        <v>29</v>
      </c>
      <c r="U14" t="s">
        <v>29</v>
      </c>
      <c r="V14" t="s">
        <v>37</v>
      </c>
      <c r="W14" t="s">
        <v>29</v>
      </c>
      <c r="X14" t="s">
        <v>192</v>
      </c>
      <c r="Y14" t="str">
        <f t="shared" si="0"/>
        <v>Live</v>
      </c>
      <c r="Z14" s="3" t="s">
        <v>29</v>
      </c>
    </row>
    <row r="15" spans="1:26" x14ac:dyDescent="0.3">
      <c r="A15" t="s">
        <v>193</v>
      </c>
      <c r="B15">
        <v>2</v>
      </c>
      <c r="C15" t="s">
        <v>27</v>
      </c>
      <c r="D15" t="s">
        <v>194</v>
      </c>
      <c r="E15" t="s">
        <v>29</v>
      </c>
      <c r="F15" t="s">
        <v>29</v>
      </c>
      <c r="G15" s="3" t="s">
        <v>195</v>
      </c>
      <c r="H15" t="s">
        <v>55</v>
      </c>
      <c r="I15">
        <v>1</v>
      </c>
      <c r="J15">
        <v>3</v>
      </c>
      <c r="K15" t="s">
        <v>193</v>
      </c>
      <c r="L15" t="s">
        <v>145</v>
      </c>
      <c r="M15" t="s">
        <v>107</v>
      </c>
      <c r="N15" t="s">
        <v>29</v>
      </c>
      <c r="O15" t="s">
        <v>56</v>
      </c>
      <c r="P15" t="s">
        <v>36</v>
      </c>
      <c r="Q15" t="s">
        <v>29</v>
      </c>
      <c r="R15" t="s">
        <v>29</v>
      </c>
      <c r="S15" t="s">
        <v>29</v>
      </c>
      <c r="T15" t="s">
        <v>29</v>
      </c>
      <c r="U15" t="s">
        <v>29</v>
      </c>
      <c r="V15" t="s">
        <v>37</v>
      </c>
      <c r="W15" t="s">
        <v>29</v>
      </c>
      <c r="X15" t="s">
        <v>196</v>
      </c>
      <c r="Y15" t="str">
        <f t="shared" si="0"/>
        <v>Live</v>
      </c>
      <c r="Z15" s="3" t="s">
        <v>29</v>
      </c>
    </row>
    <row r="16" spans="1:26" x14ac:dyDescent="0.3">
      <c r="A16" t="s">
        <v>197</v>
      </c>
      <c r="B16">
        <v>2</v>
      </c>
      <c r="C16" t="s">
        <v>27</v>
      </c>
      <c r="D16" t="s">
        <v>198</v>
      </c>
      <c r="E16" t="s">
        <v>29</v>
      </c>
      <c r="F16" t="s">
        <v>29</v>
      </c>
      <c r="G16" s="3" t="s">
        <v>199</v>
      </c>
      <c r="H16" t="s">
        <v>55</v>
      </c>
      <c r="I16">
        <v>1</v>
      </c>
      <c r="J16">
        <v>3</v>
      </c>
      <c r="K16" t="s">
        <v>197</v>
      </c>
      <c r="L16" t="s">
        <v>145</v>
      </c>
      <c r="M16" t="s">
        <v>107</v>
      </c>
      <c r="N16" t="s">
        <v>29</v>
      </c>
      <c r="O16" t="s">
        <v>56</v>
      </c>
      <c r="P16" t="s">
        <v>36</v>
      </c>
      <c r="Q16" t="s">
        <v>29</v>
      </c>
      <c r="R16" t="s">
        <v>29</v>
      </c>
      <c r="S16" t="s">
        <v>29</v>
      </c>
      <c r="T16" t="s">
        <v>29</v>
      </c>
      <c r="U16" t="s">
        <v>29</v>
      </c>
      <c r="V16" t="s">
        <v>37</v>
      </c>
      <c r="W16" t="s">
        <v>29</v>
      </c>
      <c r="X16" t="s">
        <v>200</v>
      </c>
      <c r="Y16" t="str">
        <f t="shared" si="0"/>
        <v>Live</v>
      </c>
      <c r="Z16" s="3" t="s">
        <v>29</v>
      </c>
    </row>
    <row r="17" spans="1:26" x14ac:dyDescent="0.3">
      <c r="A17" t="s">
        <v>201</v>
      </c>
      <c r="B17">
        <v>2</v>
      </c>
      <c r="C17" t="s">
        <v>27</v>
      </c>
      <c r="D17" t="s">
        <v>202</v>
      </c>
      <c r="E17" t="s">
        <v>29</v>
      </c>
      <c r="F17" t="s">
        <v>29</v>
      </c>
      <c r="G17" s="3" t="s">
        <v>203</v>
      </c>
      <c r="H17" t="s">
        <v>55</v>
      </c>
      <c r="I17">
        <v>1</v>
      </c>
      <c r="J17">
        <v>3</v>
      </c>
      <c r="K17" t="s">
        <v>201</v>
      </c>
      <c r="L17" t="s">
        <v>145</v>
      </c>
      <c r="M17" t="s">
        <v>107</v>
      </c>
      <c r="N17" t="s">
        <v>29</v>
      </c>
      <c r="O17" t="s">
        <v>56</v>
      </c>
      <c r="P17" t="s">
        <v>36</v>
      </c>
      <c r="Q17" t="s">
        <v>29</v>
      </c>
      <c r="R17" t="s">
        <v>29</v>
      </c>
      <c r="S17" t="s">
        <v>29</v>
      </c>
      <c r="T17" t="s">
        <v>29</v>
      </c>
      <c r="U17" t="s">
        <v>29</v>
      </c>
      <c r="V17" t="s">
        <v>37</v>
      </c>
      <c r="W17" t="s">
        <v>29</v>
      </c>
      <c r="X17" t="s">
        <v>204</v>
      </c>
      <c r="Y17" t="str">
        <f t="shared" si="0"/>
        <v>Live</v>
      </c>
      <c r="Z17" s="3" t="s">
        <v>29</v>
      </c>
    </row>
    <row r="18" spans="1:26" x14ac:dyDescent="0.3">
      <c r="A18" t="s">
        <v>205</v>
      </c>
      <c r="B18">
        <v>2</v>
      </c>
      <c r="C18" t="s">
        <v>27</v>
      </c>
      <c r="D18" t="s">
        <v>206</v>
      </c>
      <c r="E18" t="s">
        <v>29</v>
      </c>
      <c r="F18" t="s">
        <v>29</v>
      </c>
      <c r="G18" s="3" t="s">
        <v>207</v>
      </c>
      <c r="H18" t="s">
        <v>55</v>
      </c>
      <c r="I18">
        <v>1</v>
      </c>
      <c r="J18">
        <v>3</v>
      </c>
      <c r="K18" t="s">
        <v>205</v>
      </c>
      <c r="L18" t="s">
        <v>145</v>
      </c>
      <c r="M18" t="s">
        <v>107</v>
      </c>
      <c r="N18" t="s">
        <v>29</v>
      </c>
      <c r="O18" t="s">
        <v>56</v>
      </c>
      <c r="P18" t="s">
        <v>36</v>
      </c>
      <c r="Q18" t="s">
        <v>29</v>
      </c>
      <c r="R18" t="s">
        <v>29</v>
      </c>
      <c r="S18" t="s">
        <v>29</v>
      </c>
      <c r="T18" t="s">
        <v>29</v>
      </c>
      <c r="U18" t="s">
        <v>29</v>
      </c>
      <c r="V18" t="s">
        <v>37</v>
      </c>
      <c r="W18" t="s">
        <v>29</v>
      </c>
      <c r="X18" t="s">
        <v>208</v>
      </c>
      <c r="Y18" t="str">
        <f t="shared" si="0"/>
        <v>Live</v>
      </c>
      <c r="Z18" s="3" t="s">
        <v>29</v>
      </c>
    </row>
    <row r="19" spans="1:26" x14ac:dyDescent="0.3">
      <c r="A19" t="s">
        <v>209</v>
      </c>
      <c r="B19">
        <v>2</v>
      </c>
      <c r="C19" t="s">
        <v>27</v>
      </c>
      <c r="D19" t="s">
        <v>29</v>
      </c>
      <c r="E19" t="s">
        <v>29</v>
      </c>
      <c r="F19" t="s">
        <v>29</v>
      </c>
      <c r="G19" s="3" t="s">
        <v>210</v>
      </c>
      <c r="H19" t="s">
        <v>55</v>
      </c>
      <c r="I19">
        <v>1</v>
      </c>
      <c r="J19">
        <v>3</v>
      </c>
      <c r="K19" t="s">
        <v>211</v>
      </c>
      <c r="L19" t="s">
        <v>145</v>
      </c>
      <c r="M19" t="s">
        <v>107</v>
      </c>
      <c r="N19" t="s">
        <v>29</v>
      </c>
      <c r="O19" t="s">
        <v>29</v>
      </c>
      <c r="P19" t="s">
        <v>29</v>
      </c>
      <c r="Q19" t="s">
        <v>29</v>
      </c>
      <c r="R19" t="s">
        <v>29</v>
      </c>
      <c r="S19" t="s">
        <v>29</v>
      </c>
      <c r="T19" t="s">
        <v>29</v>
      </c>
      <c r="U19" t="s">
        <v>29</v>
      </c>
      <c r="V19" t="s">
        <v>37</v>
      </c>
      <c r="W19" t="s">
        <v>29</v>
      </c>
      <c r="X19" t="s">
        <v>212</v>
      </c>
      <c r="Y19" t="str">
        <f t="shared" si="0"/>
        <v>Live</v>
      </c>
      <c r="Z19" s="3" t="s">
        <v>29</v>
      </c>
    </row>
    <row r="20" spans="1:26" ht="28.8" x14ac:dyDescent="0.3">
      <c r="A20" t="s">
        <v>213</v>
      </c>
      <c r="B20">
        <v>2</v>
      </c>
      <c r="C20" t="s">
        <v>99</v>
      </c>
      <c r="D20" t="s">
        <v>213</v>
      </c>
      <c r="E20" t="s">
        <v>29</v>
      </c>
      <c r="F20" t="s">
        <v>29</v>
      </c>
      <c r="G20" s="3" t="s">
        <v>214</v>
      </c>
      <c r="H20" t="s">
        <v>55</v>
      </c>
      <c r="I20">
        <v>1</v>
      </c>
      <c r="J20">
        <v>3</v>
      </c>
      <c r="K20" t="s">
        <v>215</v>
      </c>
      <c r="L20" t="s">
        <v>145</v>
      </c>
      <c r="M20" t="s">
        <v>107</v>
      </c>
      <c r="N20" t="s">
        <v>216</v>
      </c>
      <c r="O20" t="s">
        <v>56</v>
      </c>
      <c r="P20" s="1" t="s">
        <v>84</v>
      </c>
      <c r="Q20" t="s">
        <v>29</v>
      </c>
      <c r="R20" t="s">
        <v>29</v>
      </c>
      <c r="S20" t="s">
        <v>29</v>
      </c>
      <c r="T20" t="s">
        <v>29</v>
      </c>
      <c r="U20" t="s">
        <v>29</v>
      </c>
      <c r="V20" t="s">
        <v>37</v>
      </c>
      <c r="W20" t="s">
        <v>29</v>
      </c>
      <c r="X20" t="s">
        <v>217</v>
      </c>
      <c r="Y20" t="str">
        <f t="shared" si="0"/>
        <v>Live</v>
      </c>
      <c r="Z20" s="3" t="s">
        <v>29</v>
      </c>
    </row>
    <row r="21" spans="1:26" ht="28.8" x14ac:dyDescent="0.3">
      <c r="A21" t="s">
        <v>218</v>
      </c>
      <c r="B21">
        <v>2</v>
      </c>
      <c r="C21" t="s">
        <v>99</v>
      </c>
      <c r="D21" t="s">
        <v>218</v>
      </c>
      <c r="E21" t="s">
        <v>29</v>
      </c>
      <c r="F21" t="s">
        <v>29</v>
      </c>
      <c r="G21" s="3" t="s">
        <v>219</v>
      </c>
      <c r="H21" t="s">
        <v>55</v>
      </c>
      <c r="I21">
        <v>1</v>
      </c>
      <c r="J21">
        <v>3</v>
      </c>
      <c r="K21" t="s">
        <v>220</v>
      </c>
      <c r="L21" t="s">
        <v>145</v>
      </c>
      <c r="M21" t="s">
        <v>107</v>
      </c>
      <c r="N21" t="s">
        <v>34</v>
      </c>
      <c r="O21" t="s">
        <v>56</v>
      </c>
      <c r="P21" s="1" t="s">
        <v>84</v>
      </c>
      <c r="Q21" t="s">
        <v>29</v>
      </c>
      <c r="R21" t="s">
        <v>29</v>
      </c>
      <c r="S21" t="s">
        <v>29</v>
      </c>
      <c r="T21" t="s">
        <v>29</v>
      </c>
      <c r="U21" t="s">
        <v>29</v>
      </c>
      <c r="V21" t="s">
        <v>37</v>
      </c>
      <c r="W21" t="s">
        <v>29</v>
      </c>
      <c r="X21" t="s">
        <v>221</v>
      </c>
      <c r="Y21" t="str">
        <f t="shared" si="0"/>
        <v>Live</v>
      </c>
      <c r="Z21" s="3" t="s">
        <v>29</v>
      </c>
    </row>
    <row r="22" spans="1:26" x14ac:dyDescent="0.3">
      <c r="A22" t="s">
        <v>222</v>
      </c>
      <c r="B22">
        <v>2</v>
      </c>
      <c r="C22" t="s">
        <v>99</v>
      </c>
      <c r="D22" t="s">
        <v>223</v>
      </c>
      <c r="E22" t="s">
        <v>29</v>
      </c>
      <c r="F22" t="s">
        <v>29</v>
      </c>
      <c r="G22" s="3" t="s">
        <v>224</v>
      </c>
      <c r="H22" t="s">
        <v>55</v>
      </c>
      <c r="I22">
        <v>1</v>
      </c>
      <c r="J22">
        <v>3</v>
      </c>
      <c r="K22" t="s">
        <v>225</v>
      </c>
      <c r="L22" t="s">
        <v>145</v>
      </c>
      <c r="M22" t="s">
        <v>107</v>
      </c>
      <c r="N22" t="s">
        <v>107</v>
      </c>
      <c r="O22" t="s">
        <v>56</v>
      </c>
      <c r="P22" t="s">
        <v>36</v>
      </c>
      <c r="Q22" t="s">
        <v>29</v>
      </c>
      <c r="R22" t="s">
        <v>29</v>
      </c>
      <c r="S22" t="s">
        <v>29</v>
      </c>
      <c r="T22" t="s">
        <v>29</v>
      </c>
      <c r="U22" t="s">
        <v>29</v>
      </c>
      <c r="V22" t="s">
        <v>37</v>
      </c>
      <c r="W22" t="s">
        <v>29</v>
      </c>
      <c r="X22" t="s">
        <v>226</v>
      </c>
      <c r="Y22" t="str">
        <f t="shared" si="0"/>
        <v>Live</v>
      </c>
      <c r="Z22" s="3" t="s">
        <v>29</v>
      </c>
    </row>
    <row r="23" spans="1:26" x14ac:dyDescent="0.3">
      <c r="A23" t="s">
        <v>227</v>
      </c>
      <c r="B23">
        <v>3</v>
      </c>
      <c r="C23" t="s">
        <v>99</v>
      </c>
      <c r="D23" t="s">
        <v>228</v>
      </c>
      <c r="E23" t="s">
        <v>29</v>
      </c>
      <c r="F23" t="s">
        <v>29</v>
      </c>
      <c r="G23" s="3" t="s">
        <v>229</v>
      </c>
      <c r="H23" t="s">
        <v>55</v>
      </c>
      <c r="I23">
        <v>1</v>
      </c>
      <c r="J23">
        <v>3</v>
      </c>
      <c r="K23" t="s">
        <v>227</v>
      </c>
      <c r="L23" t="s">
        <v>145</v>
      </c>
      <c r="M23" t="s">
        <v>107</v>
      </c>
      <c r="N23" t="s">
        <v>29</v>
      </c>
      <c r="O23" t="s">
        <v>56</v>
      </c>
      <c r="P23" t="s">
        <v>36</v>
      </c>
      <c r="Q23" t="s">
        <v>29</v>
      </c>
      <c r="R23" t="s">
        <v>29</v>
      </c>
      <c r="S23" t="s">
        <v>29</v>
      </c>
      <c r="T23" t="s">
        <v>29</v>
      </c>
      <c r="U23" t="s">
        <v>29</v>
      </c>
      <c r="V23" t="s">
        <v>37</v>
      </c>
      <c r="W23" t="s">
        <v>29</v>
      </c>
      <c r="X23" t="s">
        <v>230</v>
      </c>
      <c r="Y23" t="str">
        <f t="shared" si="0"/>
        <v>Live</v>
      </c>
      <c r="Z23" s="3" t="s">
        <v>29</v>
      </c>
    </row>
    <row r="24" spans="1:26" x14ac:dyDescent="0.3">
      <c r="A24" t="s">
        <v>231</v>
      </c>
      <c r="B24">
        <v>3</v>
      </c>
      <c r="C24" t="s">
        <v>99</v>
      </c>
      <c r="D24" t="s">
        <v>232</v>
      </c>
      <c r="E24" t="s">
        <v>29</v>
      </c>
      <c r="F24" t="s">
        <v>29</v>
      </c>
      <c r="G24" s="3" t="s">
        <v>233</v>
      </c>
      <c r="H24" t="s">
        <v>55</v>
      </c>
      <c r="I24">
        <v>1</v>
      </c>
      <c r="J24">
        <v>3</v>
      </c>
      <c r="K24" t="s">
        <v>231</v>
      </c>
      <c r="L24" t="s">
        <v>145</v>
      </c>
      <c r="M24" t="s">
        <v>107</v>
      </c>
      <c r="N24" t="s">
        <v>29</v>
      </c>
      <c r="O24" t="s">
        <v>56</v>
      </c>
      <c r="P24" t="s">
        <v>36</v>
      </c>
      <c r="Q24" t="s">
        <v>29</v>
      </c>
      <c r="R24" t="s">
        <v>29</v>
      </c>
      <c r="S24" t="s">
        <v>29</v>
      </c>
      <c r="T24" t="s">
        <v>29</v>
      </c>
      <c r="U24" t="s">
        <v>29</v>
      </c>
      <c r="V24" t="s">
        <v>37</v>
      </c>
      <c r="W24" t="s">
        <v>29</v>
      </c>
      <c r="X24" t="s">
        <v>234</v>
      </c>
      <c r="Y24" t="str">
        <f t="shared" si="0"/>
        <v>Live</v>
      </c>
      <c r="Z24" s="3" t="s">
        <v>29</v>
      </c>
    </row>
    <row r="25" spans="1:26" x14ac:dyDescent="0.3">
      <c r="A25" t="s">
        <v>235</v>
      </c>
      <c r="B25">
        <v>3</v>
      </c>
      <c r="C25" t="s">
        <v>99</v>
      </c>
      <c r="D25" t="s">
        <v>236</v>
      </c>
      <c r="E25" t="s">
        <v>29</v>
      </c>
      <c r="F25" t="s">
        <v>29</v>
      </c>
      <c r="G25" s="3" t="s">
        <v>237</v>
      </c>
      <c r="H25" t="s">
        <v>55</v>
      </c>
      <c r="I25">
        <v>1</v>
      </c>
      <c r="J25">
        <v>3</v>
      </c>
      <c r="K25" t="s">
        <v>238</v>
      </c>
      <c r="L25" t="s">
        <v>145</v>
      </c>
      <c r="M25" t="s">
        <v>107</v>
      </c>
      <c r="N25" t="s">
        <v>107</v>
      </c>
      <c r="O25" t="s">
        <v>56</v>
      </c>
      <c r="P25" t="s">
        <v>36</v>
      </c>
      <c r="Q25" t="s">
        <v>29</v>
      </c>
      <c r="R25" t="s">
        <v>29</v>
      </c>
      <c r="S25" t="s">
        <v>29</v>
      </c>
      <c r="T25" t="s">
        <v>29</v>
      </c>
      <c r="U25" t="s">
        <v>29</v>
      </c>
      <c r="V25" t="s">
        <v>37</v>
      </c>
      <c r="W25" t="s">
        <v>29</v>
      </c>
      <c r="X25" t="s">
        <v>239</v>
      </c>
      <c r="Y25" t="str">
        <f t="shared" si="0"/>
        <v>Live</v>
      </c>
      <c r="Z25" s="3" t="s">
        <v>29</v>
      </c>
    </row>
    <row r="26" spans="1:26" x14ac:dyDescent="0.3">
      <c r="A26" t="s">
        <v>240</v>
      </c>
      <c r="B26">
        <v>0</v>
      </c>
      <c r="C26" t="s">
        <v>27</v>
      </c>
      <c r="D26" t="s">
        <v>50</v>
      </c>
      <c r="E26" t="s">
        <v>241</v>
      </c>
      <c r="F26" t="s">
        <v>29</v>
      </c>
      <c r="G26" s="3" t="s">
        <v>242</v>
      </c>
      <c r="H26" t="s">
        <v>31</v>
      </c>
      <c r="I26">
        <v>0</v>
      </c>
      <c r="J26">
        <v>0</v>
      </c>
      <c r="K26" t="s">
        <v>240</v>
      </c>
      <c r="L26" t="s">
        <v>145</v>
      </c>
      <c r="M26" t="s">
        <v>137</v>
      </c>
      <c r="N26" t="s">
        <v>29</v>
      </c>
      <c r="O26" t="s">
        <v>35</v>
      </c>
      <c r="P26" t="s">
        <v>36</v>
      </c>
      <c r="Q26" t="s">
        <v>35</v>
      </c>
      <c r="R26" t="s">
        <v>36</v>
      </c>
      <c r="S26" t="s">
        <v>29</v>
      </c>
      <c r="T26" t="s">
        <v>29</v>
      </c>
      <c r="U26" t="s">
        <v>29</v>
      </c>
      <c r="V26" t="s">
        <v>37</v>
      </c>
      <c r="W26" t="s">
        <v>29</v>
      </c>
      <c r="X26" t="s">
        <v>243</v>
      </c>
      <c r="Y26" t="str">
        <f t="shared" si="0"/>
        <v>Live</v>
      </c>
      <c r="Z26" s="3" t="s">
        <v>29</v>
      </c>
    </row>
  </sheetData>
  <autoFilter ref="A1:Z26" xr:uid="{00000000-0009-0000-0000-000002000000}"/>
  <conditionalFormatting sqref="Y2:Y26">
    <cfRule type="cellIs" dxfId="12" priority="1" operator="equal">
      <formula>"NEW"</formula>
    </cfRule>
  </conditionalFormatting>
  <dataValidations count="7">
    <dataValidation type="list" allowBlank="1" sqref="L2:L226" xr:uid="{00000000-0002-0000-0200-000000000000}">
      <formula1>list_Class</formula1>
    </dataValidation>
    <dataValidation type="list" allowBlank="1" sqref="M2:M226" xr:uid="{00000000-0002-0000-0200-000001000000}">
      <formula1>list_Folder</formula1>
    </dataValidation>
    <dataValidation type="list" allowBlank="1" sqref="C2:C226" xr:uid="{00000000-0002-0000-0200-000002000000}">
      <formula1>list_Rarity</formula1>
    </dataValidation>
    <dataValidation type="list" allowBlank="1" sqref="H2:H226" xr:uid="{00000000-0002-0000-0200-000003000000}">
      <formula1>list_Shape</formula1>
    </dataValidation>
    <dataValidation type="list" allowBlank="1" sqref="O2:O226 S2:S226 Q2:Q226" xr:uid="{00000000-0002-0000-0200-000004000000}">
      <formula1>list_Aim</formula1>
    </dataValidation>
    <dataValidation type="list" allowBlank="1" sqref="D2:F226" xr:uid="{00000000-0002-0000-0200-000007000000}">
      <formula1>list_Effect</formula1>
    </dataValidation>
    <dataValidation type="list" allowBlank="1" sqref="V2:V226" xr:uid="{00000000-0002-0000-0200-00000A000000}">
      <formula1>list_Bool</formula1>
    </dataValidation>
  </dataValidations>
  <hyperlinks>
    <hyperlink ref="P12" r:id="rId1" xr:uid="{00000000-0004-0000-0200-000000000000}"/>
    <hyperlink ref="P14" r:id="rId2" xr:uid="{00000000-0004-0000-0200-000001000000}"/>
    <hyperlink ref="P20" r:id="rId3" xr:uid="{00000000-0004-0000-0200-000002000000}"/>
    <hyperlink ref="P21" r:id="rId4" xr:uid="{00000000-0004-0000-0200-000003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4" customWidth="1"/>
    <col min="2" max="2" width="9.109375" customWidth="1"/>
    <col min="3" max="3" width="11.6640625" customWidth="1"/>
    <col min="4" max="4" width="21.21875" customWidth="1"/>
    <col min="5" max="6" width="9.109375" customWidth="1"/>
    <col min="7" max="7" width="52" style="3" customWidth="1"/>
    <col min="8" max="8" width="12.6640625" customWidth="1"/>
    <col min="9" max="9" width="10.77734375" customWidth="1"/>
    <col min="10" max="10" width="11.109375" customWidth="1"/>
    <col min="11" max="11" width="14" customWidth="1"/>
    <col min="12" max="12" width="9.109375" customWidth="1"/>
    <col min="13" max="13" width="15.44140625" customWidth="1"/>
    <col min="14" max="14" width="19.33203125" customWidth="1"/>
    <col min="15" max="20" width="9.109375" customWidth="1"/>
    <col min="21" max="21" width="10" customWidth="1"/>
    <col min="22" max="22" width="11.109375" customWidth="1"/>
    <col min="23" max="23" width="10.5546875" customWidth="1"/>
    <col min="24" max="24" width="36.1093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244</v>
      </c>
      <c r="B2">
        <v>1</v>
      </c>
      <c r="C2" t="s">
        <v>27</v>
      </c>
      <c r="D2" t="s">
        <v>244</v>
      </c>
      <c r="E2" t="s">
        <v>29</v>
      </c>
      <c r="F2" t="s">
        <v>29</v>
      </c>
      <c r="G2" s="3" t="s">
        <v>245</v>
      </c>
      <c r="H2" t="s">
        <v>31</v>
      </c>
      <c r="I2">
        <v>0</v>
      </c>
      <c r="J2">
        <v>0</v>
      </c>
      <c r="K2" t="s">
        <v>244</v>
      </c>
      <c r="L2" t="s">
        <v>246</v>
      </c>
      <c r="M2" t="s">
        <v>33</v>
      </c>
      <c r="N2" t="s">
        <v>247</v>
      </c>
      <c r="O2" t="s">
        <v>56</v>
      </c>
      <c r="P2" t="s">
        <v>36</v>
      </c>
      <c r="Q2" t="s">
        <v>29</v>
      </c>
      <c r="R2" t="s">
        <v>29</v>
      </c>
      <c r="S2" t="s">
        <v>29</v>
      </c>
      <c r="T2" t="s">
        <v>29</v>
      </c>
      <c r="U2" t="s">
        <v>29</v>
      </c>
      <c r="V2" t="s">
        <v>37</v>
      </c>
      <c r="W2" t="s">
        <v>29</v>
      </c>
      <c r="X2" t="s">
        <v>248</v>
      </c>
      <c r="Y2" t="str">
        <f t="shared" ref="Y2:Y11" si="0">IF($X2="","NEW","Live")</f>
        <v>Live</v>
      </c>
      <c r="Z2" s="3" t="s">
        <v>29</v>
      </c>
    </row>
    <row r="3" spans="1:26" x14ac:dyDescent="0.3">
      <c r="A3" t="s">
        <v>249</v>
      </c>
      <c r="B3">
        <v>1</v>
      </c>
      <c r="C3" t="s">
        <v>27</v>
      </c>
      <c r="D3" t="s">
        <v>143</v>
      </c>
      <c r="E3" t="s">
        <v>29</v>
      </c>
      <c r="F3" t="s">
        <v>29</v>
      </c>
      <c r="G3" s="3" t="s">
        <v>250</v>
      </c>
      <c r="H3" t="s">
        <v>31</v>
      </c>
      <c r="I3">
        <v>0</v>
      </c>
      <c r="J3">
        <v>0</v>
      </c>
      <c r="K3" t="s">
        <v>249</v>
      </c>
      <c r="L3" t="s">
        <v>246</v>
      </c>
      <c r="M3" t="s">
        <v>33</v>
      </c>
      <c r="N3" t="s">
        <v>34</v>
      </c>
      <c r="O3" t="s">
        <v>35</v>
      </c>
      <c r="P3" t="s">
        <v>36</v>
      </c>
      <c r="Q3" t="s">
        <v>29</v>
      </c>
      <c r="R3" t="s">
        <v>29</v>
      </c>
      <c r="S3" t="s">
        <v>29</v>
      </c>
      <c r="T3" t="s">
        <v>29</v>
      </c>
      <c r="U3" t="s">
        <v>29</v>
      </c>
      <c r="V3" t="s">
        <v>37</v>
      </c>
      <c r="W3" t="s">
        <v>29</v>
      </c>
      <c r="X3" t="s">
        <v>251</v>
      </c>
      <c r="Y3" t="str">
        <f t="shared" si="0"/>
        <v>Live</v>
      </c>
      <c r="Z3" s="3" t="s">
        <v>29</v>
      </c>
    </row>
    <row r="4" spans="1:26" x14ac:dyDescent="0.3">
      <c r="A4" t="s">
        <v>252</v>
      </c>
      <c r="B4">
        <v>1</v>
      </c>
      <c r="C4" t="s">
        <v>99</v>
      </c>
      <c r="D4" t="s">
        <v>253</v>
      </c>
      <c r="E4" t="s">
        <v>29</v>
      </c>
      <c r="F4" t="s">
        <v>29</v>
      </c>
      <c r="G4" s="3" t="s">
        <v>254</v>
      </c>
      <c r="H4" t="s">
        <v>31</v>
      </c>
      <c r="I4">
        <v>0</v>
      </c>
      <c r="J4">
        <v>0</v>
      </c>
      <c r="K4" t="s">
        <v>252</v>
      </c>
      <c r="L4" t="s">
        <v>246</v>
      </c>
      <c r="M4" t="s">
        <v>33</v>
      </c>
      <c r="N4" t="s">
        <v>34</v>
      </c>
      <c r="O4" t="s">
        <v>35</v>
      </c>
      <c r="P4" t="s">
        <v>36</v>
      </c>
      <c r="Q4" t="s">
        <v>29</v>
      </c>
      <c r="R4" t="s">
        <v>29</v>
      </c>
      <c r="S4" t="s">
        <v>29</v>
      </c>
      <c r="T4" t="s">
        <v>29</v>
      </c>
      <c r="U4" t="s">
        <v>29</v>
      </c>
      <c r="V4" t="s">
        <v>37</v>
      </c>
      <c r="W4" t="s">
        <v>29</v>
      </c>
      <c r="X4" t="s">
        <v>255</v>
      </c>
      <c r="Y4" t="str">
        <f t="shared" si="0"/>
        <v>Live</v>
      </c>
      <c r="Z4" s="3" t="s">
        <v>29</v>
      </c>
    </row>
    <row r="5" spans="1:26" x14ac:dyDescent="0.3">
      <c r="A5" t="s">
        <v>256</v>
      </c>
      <c r="B5">
        <v>1</v>
      </c>
      <c r="C5" t="s">
        <v>27</v>
      </c>
      <c r="D5" t="s">
        <v>257</v>
      </c>
      <c r="E5" t="s">
        <v>29</v>
      </c>
      <c r="F5" t="s">
        <v>29</v>
      </c>
      <c r="G5" s="3" t="s">
        <v>258</v>
      </c>
      <c r="H5" t="s">
        <v>31</v>
      </c>
      <c r="I5">
        <v>0</v>
      </c>
      <c r="J5">
        <v>0</v>
      </c>
      <c r="K5" t="s">
        <v>256</v>
      </c>
      <c r="L5" t="s">
        <v>246</v>
      </c>
      <c r="M5" t="s">
        <v>65</v>
      </c>
      <c r="N5" t="s">
        <v>259</v>
      </c>
      <c r="O5" t="s">
        <v>35</v>
      </c>
      <c r="P5" t="s">
        <v>36</v>
      </c>
      <c r="Q5" t="s">
        <v>29</v>
      </c>
      <c r="R5" t="s">
        <v>29</v>
      </c>
      <c r="S5" t="s">
        <v>29</v>
      </c>
      <c r="T5" t="s">
        <v>29</v>
      </c>
      <c r="U5" t="s">
        <v>29</v>
      </c>
      <c r="V5" t="s">
        <v>37</v>
      </c>
      <c r="W5" t="s">
        <v>29</v>
      </c>
      <c r="X5" t="s">
        <v>260</v>
      </c>
      <c r="Y5" t="str">
        <f t="shared" si="0"/>
        <v>Live</v>
      </c>
      <c r="Z5" s="3" t="s">
        <v>29</v>
      </c>
    </row>
    <row r="6" spans="1:26" x14ac:dyDescent="0.3">
      <c r="A6" t="s">
        <v>261</v>
      </c>
      <c r="B6">
        <v>1</v>
      </c>
      <c r="C6" t="s">
        <v>27</v>
      </c>
      <c r="D6" t="s">
        <v>262</v>
      </c>
      <c r="E6" t="s">
        <v>29</v>
      </c>
      <c r="F6" t="s">
        <v>29</v>
      </c>
      <c r="G6" s="3" t="s">
        <v>263</v>
      </c>
      <c r="H6" t="s">
        <v>55</v>
      </c>
      <c r="I6">
        <v>1</v>
      </c>
      <c r="J6">
        <v>4</v>
      </c>
      <c r="K6" t="s">
        <v>261</v>
      </c>
      <c r="L6" t="s">
        <v>246</v>
      </c>
      <c r="M6" t="s">
        <v>150</v>
      </c>
      <c r="N6" t="s">
        <v>29</v>
      </c>
      <c r="O6" t="s">
        <v>56</v>
      </c>
      <c r="P6" t="s">
        <v>36</v>
      </c>
      <c r="Q6" t="s">
        <v>29</v>
      </c>
      <c r="R6" t="s">
        <v>29</v>
      </c>
      <c r="S6" t="s">
        <v>29</v>
      </c>
      <c r="T6" t="s">
        <v>29</v>
      </c>
      <c r="U6" t="s">
        <v>29</v>
      </c>
      <c r="V6" t="s">
        <v>37</v>
      </c>
      <c r="W6" t="s">
        <v>29</v>
      </c>
      <c r="X6" t="s">
        <v>264</v>
      </c>
      <c r="Y6" t="str">
        <f t="shared" si="0"/>
        <v>Live</v>
      </c>
      <c r="Z6" s="3" t="s">
        <v>29</v>
      </c>
    </row>
    <row r="7" spans="1:26" x14ac:dyDescent="0.3">
      <c r="A7" t="s">
        <v>265</v>
      </c>
      <c r="B7">
        <v>0</v>
      </c>
      <c r="C7" t="s">
        <v>27</v>
      </c>
      <c r="D7" t="s">
        <v>266</v>
      </c>
      <c r="E7" t="s">
        <v>29</v>
      </c>
      <c r="F7" t="s">
        <v>29</v>
      </c>
      <c r="G7" s="3" t="s">
        <v>267</v>
      </c>
      <c r="H7" t="s">
        <v>55</v>
      </c>
      <c r="I7">
        <v>1</v>
      </c>
      <c r="J7">
        <v>1</v>
      </c>
      <c r="K7" t="s">
        <v>265</v>
      </c>
      <c r="L7" t="s">
        <v>246</v>
      </c>
      <c r="M7" t="s">
        <v>79</v>
      </c>
      <c r="N7" t="s">
        <v>29</v>
      </c>
      <c r="O7" t="s">
        <v>56</v>
      </c>
      <c r="P7" t="s">
        <v>36</v>
      </c>
      <c r="Q7" t="s">
        <v>29</v>
      </c>
      <c r="R7" t="s">
        <v>29</v>
      </c>
      <c r="S7" t="s">
        <v>29</v>
      </c>
      <c r="T7" t="s">
        <v>29</v>
      </c>
      <c r="U7" t="s">
        <v>29</v>
      </c>
      <c r="V7" t="s">
        <v>37</v>
      </c>
      <c r="W7" t="s">
        <v>29</v>
      </c>
      <c r="X7" t="s">
        <v>268</v>
      </c>
      <c r="Y7" t="str">
        <f t="shared" si="0"/>
        <v>Live</v>
      </c>
      <c r="Z7" s="3" t="s">
        <v>29</v>
      </c>
    </row>
    <row r="8" spans="1:26" x14ac:dyDescent="0.3">
      <c r="A8" t="s">
        <v>269</v>
      </c>
      <c r="B8">
        <v>1</v>
      </c>
      <c r="C8" t="s">
        <v>27</v>
      </c>
      <c r="D8" t="s">
        <v>100</v>
      </c>
      <c r="E8" t="s">
        <v>270</v>
      </c>
      <c r="F8" t="s">
        <v>29</v>
      </c>
      <c r="G8" s="3" t="s">
        <v>271</v>
      </c>
      <c r="H8" t="s">
        <v>55</v>
      </c>
      <c r="I8">
        <v>1</v>
      </c>
      <c r="J8">
        <v>1</v>
      </c>
      <c r="K8" t="s">
        <v>269</v>
      </c>
      <c r="L8" t="s">
        <v>272</v>
      </c>
      <c r="M8" t="s">
        <v>79</v>
      </c>
      <c r="N8" t="s">
        <v>29</v>
      </c>
      <c r="O8" t="s">
        <v>56</v>
      </c>
      <c r="P8" t="s">
        <v>36</v>
      </c>
      <c r="Q8" t="s">
        <v>56</v>
      </c>
      <c r="R8" t="s">
        <v>36</v>
      </c>
      <c r="S8" t="s">
        <v>29</v>
      </c>
      <c r="T8" t="s">
        <v>29</v>
      </c>
      <c r="U8" t="s">
        <v>29</v>
      </c>
      <c r="V8" t="s">
        <v>37</v>
      </c>
      <c r="W8" t="s">
        <v>29</v>
      </c>
      <c r="X8" t="s">
        <v>273</v>
      </c>
      <c r="Y8" t="str">
        <f t="shared" si="0"/>
        <v>Live</v>
      </c>
      <c r="Z8" s="3" t="s">
        <v>29</v>
      </c>
    </row>
    <row r="9" spans="1:26" x14ac:dyDescent="0.3">
      <c r="A9" t="s">
        <v>274</v>
      </c>
      <c r="B9">
        <v>1</v>
      </c>
      <c r="C9" t="s">
        <v>99</v>
      </c>
      <c r="D9" t="s">
        <v>275</v>
      </c>
      <c r="E9" t="s">
        <v>29</v>
      </c>
      <c r="F9" t="s">
        <v>29</v>
      </c>
      <c r="G9" s="3" t="s">
        <v>276</v>
      </c>
      <c r="H9" t="s">
        <v>55</v>
      </c>
      <c r="I9">
        <v>1</v>
      </c>
      <c r="J9">
        <v>3</v>
      </c>
      <c r="K9" t="s">
        <v>274</v>
      </c>
      <c r="L9" t="s">
        <v>246</v>
      </c>
      <c r="M9" t="s">
        <v>176</v>
      </c>
      <c r="N9" t="s">
        <v>176</v>
      </c>
      <c r="O9" t="s">
        <v>56</v>
      </c>
      <c r="P9" t="s">
        <v>36</v>
      </c>
      <c r="Q9" t="s">
        <v>29</v>
      </c>
      <c r="R9" t="s">
        <v>29</v>
      </c>
      <c r="S9" t="s">
        <v>29</v>
      </c>
      <c r="T9" t="s">
        <v>29</v>
      </c>
      <c r="U9" t="s">
        <v>29</v>
      </c>
      <c r="V9" t="s">
        <v>37</v>
      </c>
      <c r="W9" t="s">
        <v>29</v>
      </c>
      <c r="X9" t="s">
        <v>277</v>
      </c>
      <c r="Y9" t="str">
        <f t="shared" si="0"/>
        <v>Live</v>
      </c>
      <c r="Z9" s="3" t="s">
        <v>29</v>
      </c>
    </row>
    <row r="10" spans="1:26" x14ac:dyDescent="0.3">
      <c r="A10" t="s">
        <v>278</v>
      </c>
      <c r="B10">
        <v>1</v>
      </c>
      <c r="C10" t="s">
        <v>44</v>
      </c>
      <c r="D10" t="s">
        <v>279</v>
      </c>
      <c r="E10" t="s">
        <v>29</v>
      </c>
      <c r="F10" t="s">
        <v>29</v>
      </c>
      <c r="G10" s="3" t="s">
        <v>280</v>
      </c>
      <c r="H10" t="s">
        <v>55</v>
      </c>
      <c r="I10">
        <v>1</v>
      </c>
      <c r="J10">
        <v>4</v>
      </c>
      <c r="K10" t="s">
        <v>278</v>
      </c>
      <c r="L10" t="s">
        <v>246</v>
      </c>
      <c r="M10" t="s">
        <v>180</v>
      </c>
      <c r="N10" t="s">
        <v>29</v>
      </c>
      <c r="O10" t="s">
        <v>56</v>
      </c>
      <c r="P10" t="s">
        <v>36</v>
      </c>
      <c r="Q10" t="s">
        <v>29</v>
      </c>
      <c r="R10" t="s">
        <v>29</v>
      </c>
      <c r="S10" t="s">
        <v>29</v>
      </c>
      <c r="T10" t="s">
        <v>29</v>
      </c>
      <c r="U10" t="s">
        <v>29</v>
      </c>
      <c r="V10" t="s">
        <v>37</v>
      </c>
      <c r="W10" t="s">
        <v>29</v>
      </c>
      <c r="X10" t="s">
        <v>281</v>
      </c>
      <c r="Y10" t="str">
        <f t="shared" si="0"/>
        <v>Live</v>
      </c>
      <c r="Z10" s="3" t="s">
        <v>29</v>
      </c>
    </row>
    <row r="11" spans="1:26" x14ac:dyDescent="0.3">
      <c r="A11" t="s">
        <v>282</v>
      </c>
      <c r="B11">
        <v>2</v>
      </c>
      <c r="C11" t="s">
        <v>99</v>
      </c>
      <c r="D11" t="s">
        <v>283</v>
      </c>
      <c r="E11" t="s">
        <v>29</v>
      </c>
      <c r="F11" t="s">
        <v>29</v>
      </c>
      <c r="G11" s="3" t="s">
        <v>284</v>
      </c>
      <c r="H11" t="s">
        <v>55</v>
      </c>
      <c r="I11">
        <v>1</v>
      </c>
      <c r="J11">
        <v>3</v>
      </c>
      <c r="K11" t="s">
        <v>285</v>
      </c>
      <c r="L11" t="s">
        <v>246</v>
      </c>
      <c r="M11" t="s">
        <v>107</v>
      </c>
      <c r="N11" t="s">
        <v>286</v>
      </c>
      <c r="O11" t="s">
        <v>56</v>
      </c>
      <c r="P11" t="s">
        <v>36</v>
      </c>
      <c r="Q11" t="s">
        <v>29</v>
      </c>
      <c r="R11" t="s">
        <v>29</v>
      </c>
      <c r="S11" t="s">
        <v>29</v>
      </c>
      <c r="T11" t="s">
        <v>29</v>
      </c>
      <c r="U11" t="s">
        <v>29</v>
      </c>
      <c r="V11" t="s">
        <v>37</v>
      </c>
      <c r="W11" t="s">
        <v>29</v>
      </c>
      <c r="X11" t="s">
        <v>287</v>
      </c>
      <c r="Y11" t="str">
        <f t="shared" si="0"/>
        <v>Live</v>
      </c>
      <c r="Z11" s="3" t="s">
        <v>29</v>
      </c>
    </row>
  </sheetData>
  <autoFilter ref="A1:Z11" xr:uid="{00000000-0009-0000-0000-000003000000}"/>
  <conditionalFormatting sqref="Y2:Y11">
    <cfRule type="cellIs" dxfId="11" priority="1" operator="equal">
      <formula>"NEW"</formula>
    </cfRule>
  </conditionalFormatting>
  <dataValidations count="7">
    <dataValidation type="list" allowBlank="1" sqref="L2:L211" xr:uid="{00000000-0002-0000-0300-000000000000}">
      <formula1>list_Class</formula1>
    </dataValidation>
    <dataValidation type="list" allowBlank="1" sqref="M2:M211" xr:uid="{00000000-0002-0000-0300-000001000000}">
      <formula1>list_Folder</formula1>
    </dataValidation>
    <dataValidation type="list" allowBlank="1" sqref="C2:C211" xr:uid="{00000000-0002-0000-0300-000002000000}">
      <formula1>list_Rarity</formula1>
    </dataValidation>
    <dataValidation type="list" allowBlank="1" sqref="H2:H211" xr:uid="{00000000-0002-0000-0300-000003000000}">
      <formula1>list_Shape</formula1>
    </dataValidation>
    <dataValidation type="list" allowBlank="1" sqref="O2:O211 S2:S211 Q2:Q211" xr:uid="{00000000-0002-0000-0300-000004000000}">
      <formula1>list_Aim</formula1>
    </dataValidation>
    <dataValidation type="list" allowBlank="1" sqref="D2:F211" xr:uid="{00000000-0002-0000-0300-000007000000}">
      <formula1>list_Effect</formula1>
    </dataValidation>
    <dataValidation type="list" allowBlank="1" sqref="V2:V211" xr:uid="{00000000-0002-0000-0300-00000A000000}">
      <formula1>list_Bool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7"/>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24.6640625" customWidth="1"/>
    <col min="2" max="2" width="9.109375" customWidth="1"/>
    <col min="3" max="3" width="11.44140625" customWidth="1"/>
    <col min="4" max="4" width="23.6640625" customWidth="1"/>
    <col min="5" max="6" width="9.109375" customWidth="1"/>
    <col min="7" max="7" width="52" style="3" customWidth="1"/>
    <col min="8" max="8" width="12.6640625" customWidth="1"/>
    <col min="9" max="9" width="10.77734375" customWidth="1"/>
    <col min="10" max="10" width="11.109375" customWidth="1"/>
    <col min="11" max="11" width="23.6640625" customWidth="1"/>
    <col min="12" max="20" width="9.109375" customWidth="1"/>
    <col min="21" max="21" width="22.33203125" customWidth="1"/>
    <col min="22" max="22" width="11.109375" customWidth="1"/>
    <col min="23" max="23" width="12.77734375" customWidth="1"/>
    <col min="24" max="24" width="36.218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288</v>
      </c>
      <c r="B2">
        <v>0</v>
      </c>
      <c r="C2" t="s">
        <v>91</v>
      </c>
      <c r="D2" t="s">
        <v>289</v>
      </c>
      <c r="E2" t="s">
        <v>29</v>
      </c>
      <c r="F2" t="s">
        <v>29</v>
      </c>
      <c r="G2" s="3" t="s">
        <v>290</v>
      </c>
      <c r="H2" t="s">
        <v>55</v>
      </c>
      <c r="I2">
        <v>3</v>
      </c>
      <c r="J2">
        <v>3</v>
      </c>
      <c r="K2" t="s">
        <v>291</v>
      </c>
      <c r="L2" t="s">
        <v>272</v>
      </c>
      <c r="M2" t="s">
        <v>29</v>
      </c>
      <c r="N2" t="s">
        <v>29</v>
      </c>
      <c r="O2" t="s">
        <v>56</v>
      </c>
      <c r="P2" t="s">
        <v>36</v>
      </c>
      <c r="Q2" t="s">
        <v>29</v>
      </c>
      <c r="R2" t="s">
        <v>29</v>
      </c>
      <c r="S2" t="s">
        <v>29</v>
      </c>
      <c r="T2" t="s">
        <v>29</v>
      </c>
      <c r="U2" t="s">
        <v>292</v>
      </c>
      <c r="V2" t="s">
        <v>37</v>
      </c>
      <c r="W2" t="s">
        <v>29</v>
      </c>
      <c r="X2" t="s">
        <v>293</v>
      </c>
      <c r="Y2" t="str">
        <f t="shared" ref="Y2:Y7" si="0">IF($X2="","NEW","Live")</f>
        <v>Live</v>
      </c>
      <c r="Z2" s="3" t="s">
        <v>29</v>
      </c>
    </row>
    <row r="3" spans="1:26" x14ac:dyDescent="0.3">
      <c r="A3" t="s">
        <v>294</v>
      </c>
      <c r="B3">
        <v>0</v>
      </c>
      <c r="C3" t="s">
        <v>91</v>
      </c>
      <c r="D3" t="s">
        <v>295</v>
      </c>
      <c r="E3" t="s">
        <v>29</v>
      </c>
      <c r="F3" t="s">
        <v>29</v>
      </c>
      <c r="G3" s="3" t="s">
        <v>296</v>
      </c>
      <c r="H3" t="s">
        <v>55</v>
      </c>
      <c r="I3">
        <v>1</v>
      </c>
      <c r="J3">
        <v>5</v>
      </c>
      <c r="K3" t="s">
        <v>295</v>
      </c>
      <c r="L3" t="s">
        <v>272</v>
      </c>
      <c r="M3" t="s">
        <v>29</v>
      </c>
      <c r="N3" t="s">
        <v>29</v>
      </c>
      <c r="O3" t="s">
        <v>56</v>
      </c>
      <c r="P3" t="s">
        <v>36</v>
      </c>
      <c r="Q3" t="s">
        <v>29</v>
      </c>
      <c r="R3" t="s">
        <v>29</v>
      </c>
      <c r="S3" t="s">
        <v>29</v>
      </c>
      <c r="T3" t="s">
        <v>29</v>
      </c>
      <c r="U3" t="s">
        <v>297</v>
      </c>
      <c r="V3" t="s">
        <v>37</v>
      </c>
      <c r="W3" t="s">
        <v>29</v>
      </c>
      <c r="X3" t="s">
        <v>298</v>
      </c>
      <c r="Y3" t="str">
        <f t="shared" si="0"/>
        <v>Live</v>
      </c>
      <c r="Z3" s="3" t="s">
        <v>29</v>
      </c>
    </row>
    <row r="4" spans="1:26" x14ac:dyDescent="0.3">
      <c r="A4" t="s">
        <v>299</v>
      </c>
      <c r="B4">
        <v>1</v>
      </c>
      <c r="C4" t="s">
        <v>91</v>
      </c>
      <c r="D4" t="s">
        <v>266</v>
      </c>
      <c r="E4" t="s">
        <v>29</v>
      </c>
      <c r="F4" t="s">
        <v>29</v>
      </c>
      <c r="G4" s="3" t="s">
        <v>300</v>
      </c>
      <c r="H4" t="s">
        <v>55</v>
      </c>
      <c r="I4">
        <v>1</v>
      </c>
      <c r="J4">
        <v>6</v>
      </c>
      <c r="K4" t="s">
        <v>299</v>
      </c>
      <c r="L4" t="s">
        <v>272</v>
      </c>
      <c r="M4" t="s">
        <v>29</v>
      </c>
      <c r="N4" t="s">
        <v>29</v>
      </c>
      <c r="O4" t="s">
        <v>56</v>
      </c>
      <c r="P4" t="s">
        <v>36</v>
      </c>
      <c r="Q4" t="s">
        <v>29</v>
      </c>
      <c r="R4" t="s">
        <v>29</v>
      </c>
      <c r="S4" t="s">
        <v>29</v>
      </c>
      <c r="T4" t="s">
        <v>29</v>
      </c>
      <c r="U4" t="s">
        <v>29</v>
      </c>
      <c r="V4" t="s">
        <v>37</v>
      </c>
      <c r="W4" t="s">
        <v>299</v>
      </c>
      <c r="X4" t="s">
        <v>301</v>
      </c>
      <c r="Y4" t="str">
        <f t="shared" si="0"/>
        <v>Live</v>
      </c>
      <c r="Z4" s="3" t="s">
        <v>29</v>
      </c>
    </row>
    <row r="5" spans="1:26" x14ac:dyDescent="0.3">
      <c r="A5" t="s">
        <v>29</v>
      </c>
      <c r="B5">
        <v>1</v>
      </c>
      <c r="C5" t="s">
        <v>91</v>
      </c>
      <c r="D5" t="s">
        <v>100</v>
      </c>
      <c r="E5" t="s">
        <v>29</v>
      </c>
      <c r="F5" t="s">
        <v>29</v>
      </c>
      <c r="G5" s="3" t="s">
        <v>101</v>
      </c>
      <c r="H5" t="s">
        <v>55</v>
      </c>
      <c r="I5">
        <v>1</v>
      </c>
      <c r="J5">
        <v>1</v>
      </c>
      <c r="K5" t="s">
        <v>302</v>
      </c>
      <c r="L5" t="s">
        <v>272</v>
      </c>
      <c r="M5" t="s">
        <v>29</v>
      </c>
      <c r="N5" t="s">
        <v>29</v>
      </c>
      <c r="O5" t="s">
        <v>56</v>
      </c>
      <c r="P5" t="s">
        <v>36</v>
      </c>
      <c r="Q5" t="s">
        <v>29</v>
      </c>
      <c r="R5" t="s">
        <v>29</v>
      </c>
      <c r="S5" t="s">
        <v>29</v>
      </c>
      <c r="T5" t="s">
        <v>29</v>
      </c>
      <c r="U5" t="s">
        <v>29</v>
      </c>
      <c r="V5" t="s">
        <v>37</v>
      </c>
      <c r="W5" t="s">
        <v>29</v>
      </c>
      <c r="X5" t="s">
        <v>303</v>
      </c>
      <c r="Y5" t="str">
        <f t="shared" si="0"/>
        <v>Live</v>
      </c>
      <c r="Z5" s="3" t="s">
        <v>29</v>
      </c>
    </row>
    <row r="6" spans="1:26" x14ac:dyDescent="0.3">
      <c r="A6" t="s">
        <v>304</v>
      </c>
      <c r="B6">
        <v>1</v>
      </c>
      <c r="C6" t="s">
        <v>44</v>
      </c>
      <c r="D6" t="s">
        <v>173</v>
      </c>
      <c r="E6" t="s">
        <v>29</v>
      </c>
      <c r="F6" t="s">
        <v>29</v>
      </c>
      <c r="G6" s="3" t="s">
        <v>305</v>
      </c>
      <c r="H6" t="s">
        <v>55</v>
      </c>
      <c r="I6">
        <v>1</v>
      </c>
      <c r="J6">
        <v>1</v>
      </c>
      <c r="K6" t="s">
        <v>173</v>
      </c>
      <c r="L6" t="s">
        <v>272</v>
      </c>
      <c r="M6" t="s">
        <v>29</v>
      </c>
      <c r="N6" t="s">
        <v>29</v>
      </c>
      <c r="O6" t="s">
        <v>56</v>
      </c>
      <c r="P6" t="s">
        <v>36</v>
      </c>
      <c r="Q6" t="s">
        <v>29</v>
      </c>
      <c r="R6" t="s">
        <v>29</v>
      </c>
      <c r="S6" t="s">
        <v>29</v>
      </c>
      <c r="T6" t="s">
        <v>29</v>
      </c>
      <c r="U6" t="s">
        <v>29</v>
      </c>
      <c r="V6" t="s">
        <v>306</v>
      </c>
      <c r="W6" t="s">
        <v>29</v>
      </c>
      <c r="X6" t="s">
        <v>307</v>
      </c>
      <c r="Y6" t="str">
        <f t="shared" si="0"/>
        <v>Live</v>
      </c>
      <c r="Z6" s="3" t="s">
        <v>29</v>
      </c>
    </row>
    <row r="7" spans="1:26" x14ac:dyDescent="0.3">
      <c r="A7" t="s">
        <v>304</v>
      </c>
      <c r="B7">
        <v>1</v>
      </c>
      <c r="C7" t="s">
        <v>91</v>
      </c>
      <c r="D7" t="s">
        <v>173</v>
      </c>
      <c r="E7" t="s">
        <v>29</v>
      </c>
      <c r="F7" t="s">
        <v>29</v>
      </c>
      <c r="G7" s="3" t="s">
        <v>305</v>
      </c>
      <c r="H7" t="s">
        <v>55</v>
      </c>
      <c r="I7">
        <v>1</v>
      </c>
      <c r="J7">
        <v>1</v>
      </c>
      <c r="K7" t="s">
        <v>308</v>
      </c>
      <c r="L7" t="s">
        <v>272</v>
      </c>
      <c r="M7" t="s">
        <v>29</v>
      </c>
      <c r="N7" t="s">
        <v>29</v>
      </c>
      <c r="O7" t="s">
        <v>56</v>
      </c>
      <c r="P7" t="s">
        <v>36</v>
      </c>
      <c r="Q7" t="s">
        <v>29</v>
      </c>
      <c r="R7" t="s">
        <v>29</v>
      </c>
      <c r="S7" t="s">
        <v>29</v>
      </c>
      <c r="T7" t="s">
        <v>29</v>
      </c>
      <c r="U7" t="s">
        <v>309</v>
      </c>
      <c r="V7" t="s">
        <v>37</v>
      </c>
      <c r="W7" t="s">
        <v>29</v>
      </c>
      <c r="X7" t="s">
        <v>310</v>
      </c>
      <c r="Y7" t="str">
        <f t="shared" si="0"/>
        <v>Live</v>
      </c>
      <c r="Z7" s="3" t="s">
        <v>29</v>
      </c>
    </row>
  </sheetData>
  <autoFilter ref="A1:Z7" xr:uid="{00000000-0009-0000-0000-000004000000}"/>
  <conditionalFormatting sqref="Y2:Y7">
    <cfRule type="cellIs" dxfId="10" priority="1" operator="equal">
      <formula>"NEW"</formula>
    </cfRule>
  </conditionalFormatting>
  <dataValidations count="7">
    <dataValidation type="list" allowBlank="1" sqref="L2:L207" xr:uid="{00000000-0002-0000-0400-000000000000}">
      <formula1>list_Class</formula1>
    </dataValidation>
    <dataValidation type="list" allowBlank="1" sqref="M2:M207" xr:uid="{00000000-0002-0000-0400-000001000000}">
      <formula1>list_Folder</formula1>
    </dataValidation>
    <dataValidation type="list" allowBlank="1" sqref="C2:C207" xr:uid="{00000000-0002-0000-0400-000002000000}">
      <formula1>list_Rarity</formula1>
    </dataValidation>
    <dataValidation type="list" allowBlank="1" sqref="H2:H207" xr:uid="{00000000-0002-0000-0400-000003000000}">
      <formula1>list_Shape</formula1>
    </dataValidation>
    <dataValidation type="list" allowBlank="1" sqref="O2:O207 S2:S207 Q2:Q207" xr:uid="{00000000-0002-0000-0400-000004000000}">
      <formula1>list_Aim</formula1>
    </dataValidation>
    <dataValidation type="list" allowBlank="1" sqref="D2:F207" xr:uid="{00000000-0002-0000-0400-000007000000}">
      <formula1>list_Effect</formula1>
    </dataValidation>
    <dataValidation type="list" allowBlank="1" sqref="V2:V207" xr:uid="{00000000-0002-0000-0400-00000A000000}">
      <formula1>list_Bool</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33203125" customWidth="1"/>
    <col min="2" max="2" width="9.109375" customWidth="1"/>
    <col min="3" max="3" width="11.6640625" customWidth="1"/>
    <col min="4" max="4" width="18.44140625" customWidth="1"/>
    <col min="5" max="6" width="13.5546875" customWidth="1"/>
    <col min="7" max="7" width="52" style="3" customWidth="1"/>
    <col min="8" max="8" width="12.6640625" customWidth="1"/>
    <col min="9" max="9" width="10.77734375" customWidth="1"/>
    <col min="10" max="10" width="11.109375" customWidth="1"/>
    <col min="11" max="11" width="17.77734375"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31.2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311</v>
      </c>
      <c r="AB1" s="4" t="s">
        <v>312</v>
      </c>
      <c r="AC1" s="2" t="s">
        <v>313</v>
      </c>
      <c r="AD1" s="2" t="s">
        <v>314</v>
      </c>
    </row>
    <row r="2" spans="1:30" x14ac:dyDescent="0.3">
      <c r="A2" t="s">
        <v>315</v>
      </c>
      <c r="B2">
        <v>1</v>
      </c>
      <c r="C2" t="s">
        <v>44</v>
      </c>
      <c r="D2" t="s">
        <v>77</v>
      </c>
      <c r="E2" t="s">
        <v>316</v>
      </c>
      <c r="F2" t="s">
        <v>29</v>
      </c>
      <c r="G2" s="3" t="s">
        <v>317</v>
      </c>
      <c r="H2" t="s">
        <v>55</v>
      </c>
      <c r="I2">
        <v>1</v>
      </c>
      <c r="J2">
        <v>1</v>
      </c>
      <c r="K2" t="s">
        <v>318</v>
      </c>
      <c r="L2" t="s">
        <v>32</v>
      </c>
      <c r="M2" t="s">
        <v>79</v>
      </c>
      <c r="N2" t="s">
        <v>319</v>
      </c>
      <c r="O2" t="s">
        <v>56</v>
      </c>
      <c r="P2" t="s">
        <v>36</v>
      </c>
      <c r="Q2" t="s">
        <v>35</v>
      </c>
      <c r="R2" t="s">
        <v>36</v>
      </c>
      <c r="S2" t="s">
        <v>29</v>
      </c>
      <c r="T2" t="s">
        <v>29</v>
      </c>
      <c r="U2" t="s">
        <v>29</v>
      </c>
      <c r="V2" t="s">
        <v>37</v>
      </c>
      <c r="W2" t="s">
        <v>29</v>
      </c>
      <c r="X2" t="s">
        <v>29</v>
      </c>
      <c r="Y2" t="str">
        <f t="shared" ref="Y2:Y33" si="0">IF($X2="","NEW","Live")</f>
        <v>NEW</v>
      </c>
      <c r="Z2" s="3" t="s">
        <v>29</v>
      </c>
      <c r="AA2" t="s">
        <v>320</v>
      </c>
      <c r="AB2" s="3" t="s">
        <v>29</v>
      </c>
      <c r="AC2" t="s">
        <v>321</v>
      </c>
      <c r="AD2" t="s">
        <v>322</v>
      </c>
    </row>
    <row r="3" spans="1:30" x14ac:dyDescent="0.3">
      <c r="A3" t="s">
        <v>81</v>
      </c>
      <c r="B3">
        <v>1</v>
      </c>
      <c r="C3" t="s">
        <v>27</v>
      </c>
      <c r="D3" t="s">
        <v>100</v>
      </c>
      <c r="E3" t="s">
        <v>29</v>
      </c>
      <c r="F3" t="s">
        <v>29</v>
      </c>
      <c r="G3" s="3" t="s">
        <v>323</v>
      </c>
      <c r="H3" t="s">
        <v>55</v>
      </c>
      <c r="I3">
        <v>1</v>
      </c>
      <c r="J3">
        <v>1</v>
      </c>
      <c r="K3" t="s">
        <v>81</v>
      </c>
      <c r="L3" t="s">
        <v>32</v>
      </c>
      <c r="M3" t="s">
        <v>79</v>
      </c>
      <c r="N3" t="s">
        <v>324</v>
      </c>
      <c r="O3" t="s">
        <v>56</v>
      </c>
      <c r="P3" t="s">
        <v>102</v>
      </c>
      <c r="Q3" t="s">
        <v>29</v>
      </c>
      <c r="R3" t="s">
        <v>29</v>
      </c>
      <c r="S3" t="s">
        <v>29</v>
      </c>
      <c r="T3" t="s">
        <v>29</v>
      </c>
      <c r="U3" t="s">
        <v>29</v>
      </c>
      <c r="V3" t="s">
        <v>37</v>
      </c>
      <c r="W3" t="s">
        <v>29</v>
      </c>
      <c r="X3" t="s">
        <v>29</v>
      </c>
      <c r="Y3" t="str">
        <f t="shared" si="0"/>
        <v>NEW</v>
      </c>
      <c r="Z3" s="3" t="s">
        <v>29</v>
      </c>
      <c r="AA3" t="s">
        <v>320</v>
      </c>
      <c r="AB3" s="3" t="s">
        <v>29</v>
      </c>
      <c r="AC3" t="s">
        <v>325</v>
      </c>
      <c r="AD3" t="s">
        <v>322</v>
      </c>
    </row>
    <row r="4" spans="1:30" x14ac:dyDescent="0.3">
      <c r="A4" t="s">
        <v>326</v>
      </c>
      <c r="B4">
        <v>2</v>
      </c>
      <c r="C4" t="s">
        <v>27</v>
      </c>
      <c r="D4" t="s">
        <v>45</v>
      </c>
      <c r="E4" t="s">
        <v>143</v>
      </c>
      <c r="F4" t="s">
        <v>29</v>
      </c>
      <c r="G4" s="3" t="s">
        <v>327</v>
      </c>
      <c r="H4" t="s">
        <v>31</v>
      </c>
      <c r="I4">
        <v>0</v>
      </c>
      <c r="J4">
        <v>0</v>
      </c>
      <c r="K4" t="s">
        <v>328</v>
      </c>
      <c r="L4" t="s">
        <v>32</v>
      </c>
      <c r="M4" t="s">
        <v>33</v>
      </c>
      <c r="N4" t="s">
        <v>34</v>
      </c>
      <c r="O4" t="s">
        <v>35</v>
      </c>
      <c r="P4" t="s">
        <v>36</v>
      </c>
      <c r="Q4" t="s">
        <v>35</v>
      </c>
      <c r="R4" t="s">
        <v>36</v>
      </c>
      <c r="S4" t="s">
        <v>29</v>
      </c>
      <c r="T4" t="s">
        <v>29</v>
      </c>
      <c r="U4" t="s">
        <v>29</v>
      </c>
      <c r="V4" t="s">
        <v>37</v>
      </c>
      <c r="W4" t="s">
        <v>29</v>
      </c>
      <c r="X4" t="s">
        <v>29</v>
      </c>
      <c r="Y4" t="str">
        <f t="shared" si="0"/>
        <v>NEW</v>
      </c>
      <c r="Z4" s="3" t="s">
        <v>29</v>
      </c>
      <c r="AA4" t="s">
        <v>320</v>
      </c>
      <c r="AB4" s="3" t="s">
        <v>29</v>
      </c>
      <c r="AC4" t="s">
        <v>329</v>
      </c>
      <c r="AD4" t="s">
        <v>330</v>
      </c>
    </row>
    <row r="5" spans="1:30" x14ac:dyDescent="0.3">
      <c r="A5" t="s">
        <v>331</v>
      </c>
      <c r="B5">
        <v>1</v>
      </c>
      <c r="C5" t="s">
        <v>44</v>
      </c>
      <c r="D5" t="s">
        <v>143</v>
      </c>
      <c r="E5" t="s">
        <v>29</v>
      </c>
      <c r="F5" t="s">
        <v>29</v>
      </c>
      <c r="G5" s="3" t="s">
        <v>332</v>
      </c>
      <c r="H5" t="s">
        <v>31</v>
      </c>
      <c r="I5">
        <v>0</v>
      </c>
      <c r="J5">
        <v>0</v>
      </c>
      <c r="K5" t="s">
        <v>331</v>
      </c>
      <c r="L5" t="s">
        <v>32</v>
      </c>
      <c r="M5" t="s">
        <v>33</v>
      </c>
      <c r="N5" t="s">
        <v>34</v>
      </c>
      <c r="O5" t="s">
        <v>35</v>
      </c>
      <c r="P5" t="s">
        <v>36</v>
      </c>
      <c r="Q5" t="s">
        <v>29</v>
      </c>
      <c r="R5" t="s">
        <v>29</v>
      </c>
      <c r="S5" t="s">
        <v>29</v>
      </c>
      <c r="T5" t="s">
        <v>29</v>
      </c>
      <c r="U5" t="s">
        <v>29</v>
      </c>
      <c r="V5" t="s">
        <v>37</v>
      </c>
      <c r="W5" t="s">
        <v>29</v>
      </c>
      <c r="X5" t="s">
        <v>29</v>
      </c>
      <c r="Y5" t="str">
        <f t="shared" si="0"/>
        <v>NEW</v>
      </c>
      <c r="Z5" s="3" t="s">
        <v>29</v>
      </c>
      <c r="AA5" t="s">
        <v>320</v>
      </c>
      <c r="AB5" s="3" t="s">
        <v>29</v>
      </c>
      <c r="AC5" t="s">
        <v>29</v>
      </c>
      <c r="AD5" t="s">
        <v>330</v>
      </c>
    </row>
    <row r="6" spans="1:30" x14ac:dyDescent="0.3">
      <c r="A6" t="s">
        <v>333</v>
      </c>
      <c r="B6">
        <v>2</v>
      </c>
      <c r="C6" t="s">
        <v>99</v>
      </c>
      <c r="D6" t="s">
        <v>40</v>
      </c>
      <c r="E6" t="s">
        <v>40</v>
      </c>
      <c r="F6" t="s">
        <v>29</v>
      </c>
      <c r="G6" s="3" t="s">
        <v>334</v>
      </c>
      <c r="H6" t="s">
        <v>31</v>
      </c>
      <c r="I6">
        <v>0</v>
      </c>
      <c r="J6">
        <v>0</v>
      </c>
      <c r="K6" t="s">
        <v>333</v>
      </c>
      <c r="L6" t="s">
        <v>32</v>
      </c>
      <c r="M6" t="s">
        <v>33</v>
      </c>
      <c r="N6" t="s">
        <v>34</v>
      </c>
      <c r="O6" t="s">
        <v>35</v>
      </c>
      <c r="P6" t="s">
        <v>36</v>
      </c>
      <c r="Q6" t="s">
        <v>35</v>
      </c>
      <c r="R6" t="s">
        <v>36</v>
      </c>
      <c r="S6" t="s">
        <v>29</v>
      </c>
      <c r="T6" t="s">
        <v>29</v>
      </c>
      <c r="U6" t="s">
        <v>29</v>
      </c>
      <c r="V6" t="s">
        <v>37</v>
      </c>
      <c r="W6" t="s">
        <v>29</v>
      </c>
      <c r="X6" t="s">
        <v>29</v>
      </c>
      <c r="Y6" t="str">
        <f t="shared" si="0"/>
        <v>NEW</v>
      </c>
      <c r="Z6" s="3" t="s">
        <v>29</v>
      </c>
      <c r="AA6" t="s">
        <v>320</v>
      </c>
      <c r="AB6" s="3" t="s">
        <v>29</v>
      </c>
      <c r="AC6" t="s">
        <v>335</v>
      </c>
      <c r="AD6" t="s">
        <v>330</v>
      </c>
    </row>
    <row r="7" spans="1:30" x14ac:dyDescent="0.3">
      <c r="A7" t="s">
        <v>336</v>
      </c>
      <c r="B7">
        <v>2</v>
      </c>
      <c r="C7" t="s">
        <v>44</v>
      </c>
      <c r="D7" t="s">
        <v>337</v>
      </c>
      <c r="E7" t="s">
        <v>29</v>
      </c>
      <c r="F7" t="s">
        <v>29</v>
      </c>
      <c r="G7" s="3" t="s">
        <v>338</v>
      </c>
      <c r="H7" t="s">
        <v>55</v>
      </c>
      <c r="I7">
        <v>1</v>
      </c>
      <c r="J7">
        <v>1</v>
      </c>
      <c r="K7" t="s">
        <v>339</v>
      </c>
      <c r="L7" t="s">
        <v>32</v>
      </c>
      <c r="M7" t="s">
        <v>79</v>
      </c>
      <c r="N7" t="s">
        <v>324</v>
      </c>
      <c r="O7" t="s">
        <v>56</v>
      </c>
      <c r="P7" t="s">
        <v>36</v>
      </c>
      <c r="Q7" t="s">
        <v>29</v>
      </c>
      <c r="R7" t="s">
        <v>29</v>
      </c>
      <c r="S7" t="s">
        <v>29</v>
      </c>
      <c r="T7" t="s">
        <v>29</v>
      </c>
      <c r="U7" t="s">
        <v>29</v>
      </c>
      <c r="V7" t="s">
        <v>37</v>
      </c>
      <c r="W7" t="s">
        <v>29</v>
      </c>
      <c r="X7" t="s">
        <v>29</v>
      </c>
      <c r="Y7" t="str">
        <f t="shared" si="0"/>
        <v>NEW</v>
      </c>
      <c r="Z7" s="3" t="s">
        <v>29</v>
      </c>
      <c r="AA7" t="s">
        <v>320</v>
      </c>
      <c r="AB7" s="3" t="s">
        <v>29</v>
      </c>
      <c r="AC7" t="s">
        <v>29</v>
      </c>
      <c r="AD7" t="s">
        <v>330</v>
      </c>
    </row>
    <row r="8" spans="1:30" x14ac:dyDescent="0.3">
      <c r="A8" t="s">
        <v>71</v>
      </c>
      <c r="B8">
        <v>1</v>
      </c>
      <c r="C8" t="s">
        <v>27</v>
      </c>
      <c r="D8" t="s">
        <v>72</v>
      </c>
      <c r="E8" t="s">
        <v>29</v>
      </c>
      <c r="F8" t="s">
        <v>29</v>
      </c>
      <c r="G8" s="3" t="s">
        <v>340</v>
      </c>
      <c r="H8" t="s">
        <v>31</v>
      </c>
      <c r="I8">
        <v>0</v>
      </c>
      <c r="J8">
        <v>0</v>
      </c>
      <c r="K8" t="s">
        <v>341</v>
      </c>
      <c r="L8" t="s">
        <v>32</v>
      </c>
      <c r="M8" t="s">
        <v>74</v>
      </c>
      <c r="N8" t="s">
        <v>167</v>
      </c>
      <c r="O8" t="s">
        <v>35</v>
      </c>
      <c r="P8" t="s">
        <v>36</v>
      </c>
      <c r="Q8" t="s">
        <v>29</v>
      </c>
      <c r="R8" t="s">
        <v>29</v>
      </c>
      <c r="S8" t="s">
        <v>29</v>
      </c>
      <c r="T8" t="s">
        <v>29</v>
      </c>
      <c r="U8" t="s">
        <v>29</v>
      </c>
      <c r="V8" t="s">
        <v>37</v>
      </c>
      <c r="W8" t="s">
        <v>29</v>
      </c>
      <c r="X8" t="s">
        <v>29</v>
      </c>
      <c r="Y8" t="str">
        <f t="shared" si="0"/>
        <v>NEW</v>
      </c>
      <c r="Z8" s="3" t="s">
        <v>342</v>
      </c>
      <c r="AA8" t="s">
        <v>320</v>
      </c>
      <c r="AB8" s="3" t="s">
        <v>29</v>
      </c>
      <c r="AC8" t="s">
        <v>343</v>
      </c>
      <c r="AD8" t="s">
        <v>322</v>
      </c>
    </row>
    <row r="9" spans="1:30" x14ac:dyDescent="0.3">
      <c r="A9" t="s">
        <v>344</v>
      </c>
      <c r="B9">
        <v>0</v>
      </c>
      <c r="C9" t="s">
        <v>44</v>
      </c>
      <c r="D9" t="s">
        <v>345</v>
      </c>
      <c r="E9" t="s">
        <v>316</v>
      </c>
      <c r="F9" t="s">
        <v>29</v>
      </c>
      <c r="G9" s="3" t="s">
        <v>346</v>
      </c>
      <c r="H9" t="s">
        <v>31</v>
      </c>
      <c r="I9">
        <v>0</v>
      </c>
      <c r="J9">
        <v>0</v>
      </c>
      <c r="K9" t="s">
        <v>347</v>
      </c>
      <c r="L9" t="s">
        <v>32</v>
      </c>
      <c r="M9" t="s">
        <v>33</v>
      </c>
      <c r="N9" t="s">
        <v>34</v>
      </c>
      <c r="O9" t="s">
        <v>35</v>
      </c>
      <c r="P9" t="s">
        <v>36</v>
      </c>
      <c r="Q9" t="s">
        <v>35</v>
      </c>
      <c r="R9" t="s">
        <v>36</v>
      </c>
      <c r="S9" t="s">
        <v>29</v>
      </c>
      <c r="T9" t="s">
        <v>29</v>
      </c>
      <c r="U9" t="s">
        <v>29</v>
      </c>
      <c r="V9" t="s">
        <v>37</v>
      </c>
      <c r="W9" t="s">
        <v>29</v>
      </c>
      <c r="X9" t="s">
        <v>29</v>
      </c>
      <c r="Y9" t="str">
        <f t="shared" si="0"/>
        <v>NEW</v>
      </c>
      <c r="Z9" s="3" t="s">
        <v>29</v>
      </c>
      <c r="AA9" t="s">
        <v>320</v>
      </c>
      <c r="AB9" s="3" t="s">
        <v>29</v>
      </c>
      <c r="AC9" t="s">
        <v>29</v>
      </c>
      <c r="AD9" t="s">
        <v>330</v>
      </c>
    </row>
    <row r="10" spans="1:30" x14ac:dyDescent="0.3">
      <c r="A10" t="s">
        <v>348</v>
      </c>
      <c r="B10">
        <v>2</v>
      </c>
      <c r="C10" t="s">
        <v>27</v>
      </c>
      <c r="D10" t="s">
        <v>77</v>
      </c>
      <c r="E10" t="s">
        <v>49</v>
      </c>
      <c r="F10" t="s">
        <v>29</v>
      </c>
      <c r="G10" s="3" t="s">
        <v>349</v>
      </c>
      <c r="H10" t="s">
        <v>55</v>
      </c>
      <c r="I10">
        <v>1</v>
      </c>
      <c r="J10">
        <v>1</v>
      </c>
      <c r="K10" t="s">
        <v>350</v>
      </c>
      <c r="L10" t="s">
        <v>32</v>
      </c>
      <c r="M10" t="s">
        <v>79</v>
      </c>
      <c r="N10" t="s">
        <v>319</v>
      </c>
      <c r="O10" t="s">
        <v>56</v>
      </c>
      <c r="P10" t="s">
        <v>36</v>
      </c>
      <c r="Q10" t="s">
        <v>35</v>
      </c>
      <c r="R10" t="s">
        <v>36</v>
      </c>
      <c r="S10" t="s">
        <v>29</v>
      </c>
      <c r="T10" t="s">
        <v>29</v>
      </c>
      <c r="U10" t="s">
        <v>29</v>
      </c>
      <c r="V10" t="s">
        <v>37</v>
      </c>
      <c r="W10" t="s">
        <v>29</v>
      </c>
      <c r="X10" t="s">
        <v>29</v>
      </c>
      <c r="Y10" t="str">
        <f t="shared" si="0"/>
        <v>NEW</v>
      </c>
      <c r="Z10" s="3" t="s">
        <v>29</v>
      </c>
      <c r="AA10" t="s">
        <v>320</v>
      </c>
      <c r="AB10" s="3" t="s">
        <v>29</v>
      </c>
      <c r="AC10" t="s">
        <v>351</v>
      </c>
      <c r="AD10" t="s">
        <v>330</v>
      </c>
    </row>
    <row r="11" spans="1:30" x14ac:dyDescent="0.3">
      <c r="A11" t="s">
        <v>352</v>
      </c>
      <c r="B11">
        <v>3</v>
      </c>
      <c r="C11" t="s">
        <v>99</v>
      </c>
      <c r="D11" t="s">
        <v>353</v>
      </c>
      <c r="E11" t="s">
        <v>28</v>
      </c>
      <c r="F11" t="s">
        <v>29</v>
      </c>
      <c r="G11" s="3" t="s">
        <v>354</v>
      </c>
      <c r="H11" t="s">
        <v>31</v>
      </c>
      <c r="I11">
        <v>0</v>
      </c>
      <c r="J11">
        <v>0</v>
      </c>
      <c r="K11" t="s">
        <v>355</v>
      </c>
      <c r="L11" t="s">
        <v>32</v>
      </c>
      <c r="M11" t="s">
        <v>33</v>
      </c>
      <c r="N11" t="s">
        <v>34</v>
      </c>
      <c r="O11" t="s">
        <v>35</v>
      </c>
      <c r="P11" t="s">
        <v>36</v>
      </c>
      <c r="Q11" t="s">
        <v>35</v>
      </c>
      <c r="R11" t="s">
        <v>36</v>
      </c>
      <c r="S11" t="s">
        <v>29</v>
      </c>
      <c r="T11" t="s">
        <v>29</v>
      </c>
      <c r="U11" t="s">
        <v>29</v>
      </c>
      <c r="V11" t="s">
        <v>37</v>
      </c>
      <c r="W11" t="s">
        <v>29</v>
      </c>
      <c r="X11" t="s">
        <v>29</v>
      </c>
      <c r="Y11" t="str">
        <f t="shared" si="0"/>
        <v>NEW</v>
      </c>
      <c r="Z11" s="3" t="s">
        <v>29</v>
      </c>
      <c r="AA11" t="s">
        <v>320</v>
      </c>
      <c r="AB11" s="3" t="s">
        <v>29</v>
      </c>
      <c r="AC11" t="s">
        <v>29</v>
      </c>
      <c r="AD11" t="s">
        <v>356</v>
      </c>
    </row>
    <row r="12" spans="1:30" ht="57.6" x14ac:dyDescent="0.3">
      <c r="A12" t="s">
        <v>357</v>
      </c>
      <c r="B12">
        <v>2</v>
      </c>
      <c r="C12" t="s">
        <v>27</v>
      </c>
      <c r="D12" t="s">
        <v>173</v>
      </c>
      <c r="E12" t="s">
        <v>77</v>
      </c>
      <c r="F12" t="s">
        <v>29</v>
      </c>
      <c r="G12" s="3" t="s">
        <v>358</v>
      </c>
      <c r="H12" t="s">
        <v>55</v>
      </c>
      <c r="I12">
        <v>1</v>
      </c>
      <c r="J12">
        <v>3</v>
      </c>
      <c r="K12" t="s">
        <v>359</v>
      </c>
      <c r="L12" t="s">
        <v>32</v>
      </c>
      <c r="M12" t="s">
        <v>79</v>
      </c>
      <c r="N12" t="s">
        <v>360</v>
      </c>
      <c r="O12" t="s">
        <v>56</v>
      </c>
      <c r="P12" t="s">
        <v>36</v>
      </c>
      <c r="Q12" t="s">
        <v>313</v>
      </c>
      <c r="R12" t="s">
        <v>102</v>
      </c>
      <c r="S12" t="s">
        <v>29</v>
      </c>
      <c r="T12" t="s">
        <v>29</v>
      </c>
      <c r="U12" t="s">
        <v>29</v>
      </c>
      <c r="V12" t="s">
        <v>37</v>
      </c>
      <c r="W12" t="s">
        <v>29</v>
      </c>
      <c r="X12" t="s">
        <v>29</v>
      </c>
      <c r="Y12" t="str">
        <f t="shared" si="0"/>
        <v>NEW</v>
      </c>
      <c r="Z12" s="3" t="s">
        <v>29</v>
      </c>
      <c r="AA12" t="s">
        <v>361</v>
      </c>
      <c r="AB12" s="3" t="s">
        <v>362</v>
      </c>
      <c r="AC12" t="s">
        <v>363</v>
      </c>
      <c r="AD12" t="s">
        <v>322</v>
      </c>
    </row>
    <row r="13" spans="1:30" ht="57.6" x14ac:dyDescent="0.3">
      <c r="A13" t="s">
        <v>364</v>
      </c>
      <c r="B13">
        <v>1</v>
      </c>
      <c r="C13" t="s">
        <v>27</v>
      </c>
      <c r="D13" t="s">
        <v>266</v>
      </c>
      <c r="E13" t="s">
        <v>29</v>
      </c>
      <c r="F13" t="s">
        <v>29</v>
      </c>
      <c r="G13" s="3" t="s">
        <v>365</v>
      </c>
      <c r="H13" t="s">
        <v>55</v>
      </c>
      <c r="I13">
        <v>1</v>
      </c>
      <c r="J13">
        <v>1</v>
      </c>
      <c r="K13" t="s">
        <v>366</v>
      </c>
      <c r="L13" t="s">
        <v>32</v>
      </c>
      <c r="M13" t="s">
        <v>79</v>
      </c>
      <c r="N13" t="s">
        <v>360</v>
      </c>
      <c r="O13" t="s">
        <v>56</v>
      </c>
      <c r="P13" t="s">
        <v>36</v>
      </c>
      <c r="Q13" t="s">
        <v>29</v>
      </c>
      <c r="R13" t="s">
        <v>29</v>
      </c>
      <c r="S13" t="s">
        <v>29</v>
      </c>
      <c r="T13" t="s">
        <v>29</v>
      </c>
      <c r="U13" t="s">
        <v>29</v>
      </c>
      <c r="V13" t="s">
        <v>37</v>
      </c>
      <c r="W13" t="s">
        <v>29</v>
      </c>
      <c r="X13" t="s">
        <v>29</v>
      </c>
      <c r="Y13" t="str">
        <f t="shared" si="0"/>
        <v>NEW</v>
      </c>
      <c r="Z13" s="3" t="s">
        <v>367</v>
      </c>
      <c r="AA13" t="s">
        <v>361</v>
      </c>
      <c r="AB13" s="3" t="s">
        <v>368</v>
      </c>
      <c r="AC13" t="s">
        <v>363</v>
      </c>
      <c r="AD13" t="s">
        <v>322</v>
      </c>
    </row>
    <row r="14" spans="1:30" ht="28.8" x14ac:dyDescent="0.3">
      <c r="A14" t="s">
        <v>369</v>
      </c>
      <c r="B14">
        <v>1</v>
      </c>
      <c r="C14" t="s">
        <v>44</v>
      </c>
      <c r="D14" t="s">
        <v>29</v>
      </c>
      <c r="E14" t="s">
        <v>29</v>
      </c>
      <c r="F14" t="s">
        <v>29</v>
      </c>
      <c r="G14" s="3" t="s">
        <v>370</v>
      </c>
      <c r="H14" t="s">
        <v>31</v>
      </c>
      <c r="I14">
        <v>0</v>
      </c>
      <c r="J14">
        <v>0</v>
      </c>
      <c r="K14" t="s">
        <v>369</v>
      </c>
      <c r="L14" t="s">
        <v>32</v>
      </c>
      <c r="M14" t="s">
        <v>33</v>
      </c>
      <c r="N14" t="s">
        <v>34</v>
      </c>
      <c r="O14" t="s">
        <v>29</v>
      </c>
      <c r="P14" t="s">
        <v>29</v>
      </c>
      <c r="Q14" t="s">
        <v>29</v>
      </c>
      <c r="R14" t="s">
        <v>29</v>
      </c>
      <c r="S14" t="s">
        <v>29</v>
      </c>
      <c r="T14" t="s">
        <v>29</v>
      </c>
      <c r="U14" t="s">
        <v>29</v>
      </c>
      <c r="V14" t="s">
        <v>37</v>
      </c>
      <c r="W14" t="s">
        <v>29</v>
      </c>
      <c r="X14" t="s">
        <v>29</v>
      </c>
      <c r="Y14" t="str">
        <f t="shared" si="0"/>
        <v>NEW</v>
      </c>
      <c r="Z14" s="3" t="s">
        <v>371</v>
      </c>
      <c r="AA14" t="s">
        <v>372</v>
      </c>
      <c r="AB14" s="3" t="s">
        <v>373</v>
      </c>
      <c r="AC14" t="s">
        <v>363</v>
      </c>
      <c r="AD14" t="s">
        <v>356</v>
      </c>
    </row>
    <row r="15" spans="1:30" ht="28.8" x14ac:dyDescent="0.3">
      <c r="A15" t="s">
        <v>374</v>
      </c>
      <c r="B15">
        <v>1</v>
      </c>
      <c r="C15" t="s">
        <v>27</v>
      </c>
      <c r="D15" t="s">
        <v>29</v>
      </c>
      <c r="E15" t="s">
        <v>29</v>
      </c>
      <c r="F15" t="s">
        <v>29</v>
      </c>
      <c r="G15" s="3" t="s">
        <v>375</v>
      </c>
      <c r="H15" t="s">
        <v>55</v>
      </c>
      <c r="I15">
        <v>1</v>
      </c>
      <c r="J15">
        <v>2</v>
      </c>
      <c r="K15" t="s">
        <v>374</v>
      </c>
      <c r="L15" t="s">
        <v>32</v>
      </c>
      <c r="M15" t="s">
        <v>79</v>
      </c>
      <c r="N15" t="s">
        <v>360</v>
      </c>
      <c r="O15" t="s">
        <v>29</v>
      </c>
      <c r="P15" t="s">
        <v>29</v>
      </c>
      <c r="Q15" t="s">
        <v>29</v>
      </c>
      <c r="R15" t="s">
        <v>29</v>
      </c>
      <c r="S15" t="s">
        <v>29</v>
      </c>
      <c r="T15" t="s">
        <v>29</v>
      </c>
      <c r="U15" t="s">
        <v>29</v>
      </c>
      <c r="V15" t="s">
        <v>37</v>
      </c>
      <c r="W15" t="s">
        <v>29</v>
      </c>
      <c r="X15" t="s">
        <v>29</v>
      </c>
      <c r="Y15" t="str">
        <f t="shared" si="0"/>
        <v>NEW</v>
      </c>
      <c r="Z15" s="3" t="s">
        <v>29</v>
      </c>
      <c r="AA15" t="s">
        <v>361</v>
      </c>
      <c r="AB15" s="3" t="s">
        <v>376</v>
      </c>
      <c r="AC15" t="s">
        <v>377</v>
      </c>
      <c r="AD15" t="s">
        <v>322</v>
      </c>
    </row>
    <row r="16" spans="1:30" ht="43.2" x14ac:dyDescent="0.3">
      <c r="A16" t="s">
        <v>378</v>
      </c>
      <c r="B16">
        <v>2</v>
      </c>
      <c r="C16" t="s">
        <v>99</v>
      </c>
      <c r="D16" t="s">
        <v>29</v>
      </c>
      <c r="E16" t="s">
        <v>29</v>
      </c>
      <c r="F16" t="s">
        <v>29</v>
      </c>
      <c r="G16" s="3" t="s">
        <v>379</v>
      </c>
      <c r="H16" t="s">
        <v>55</v>
      </c>
      <c r="I16">
        <v>1</v>
      </c>
      <c r="J16">
        <v>2</v>
      </c>
      <c r="K16" t="s">
        <v>380</v>
      </c>
      <c r="L16" t="s">
        <v>32</v>
      </c>
      <c r="M16" t="s">
        <v>107</v>
      </c>
      <c r="N16" t="s">
        <v>381</v>
      </c>
      <c r="O16" t="s">
        <v>29</v>
      </c>
      <c r="P16" t="s">
        <v>29</v>
      </c>
      <c r="Q16" t="s">
        <v>29</v>
      </c>
      <c r="R16" t="s">
        <v>29</v>
      </c>
      <c r="S16" t="s">
        <v>29</v>
      </c>
      <c r="T16" t="s">
        <v>29</v>
      </c>
      <c r="U16" t="s">
        <v>29</v>
      </c>
      <c r="V16" t="s">
        <v>37</v>
      </c>
      <c r="W16" t="s">
        <v>29</v>
      </c>
      <c r="X16" t="s">
        <v>29</v>
      </c>
      <c r="Y16" t="str">
        <f t="shared" si="0"/>
        <v>NEW</v>
      </c>
      <c r="Z16" s="3" t="s">
        <v>29</v>
      </c>
      <c r="AA16" t="s">
        <v>382</v>
      </c>
      <c r="AB16" s="3" t="s">
        <v>383</v>
      </c>
      <c r="AC16" t="s">
        <v>384</v>
      </c>
      <c r="AD16" t="s">
        <v>330</v>
      </c>
    </row>
    <row r="17" spans="1:30" x14ac:dyDescent="0.3">
      <c r="A17" t="s">
        <v>385</v>
      </c>
      <c r="B17">
        <v>2</v>
      </c>
      <c r="C17" t="s">
        <v>99</v>
      </c>
      <c r="D17" t="s">
        <v>143</v>
      </c>
      <c r="E17" t="s">
        <v>29</v>
      </c>
      <c r="F17" t="s">
        <v>29</v>
      </c>
      <c r="G17" s="3" t="s">
        <v>386</v>
      </c>
      <c r="H17" t="s">
        <v>31</v>
      </c>
      <c r="I17">
        <v>0</v>
      </c>
      <c r="J17">
        <v>0</v>
      </c>
      <c r="K17" t="s">
        <v>387</v>
      </c>
      <c r="L17" t="s">
        <v>32</v>
      </c>
      <c r="M17" t="s">
        <v>33</v>
      </c>
      <c r="N17" t="s">
        <v>34</v>
      </c>
      <c r="O17" t="s">
        <v>35</v>
      </c>
      <c r="P17" t="s">
        <v>388</v>
      </c>
      <c r="Q17" t="s">
        <v>29</v>
      </c>
      <c r="R17" t="s">
        <v>29</v>
      </c>
      <c r="S17" t="s">
        <v>29</v>
      </c>
      <c r="T17" t="s">
        <v>29</v>
      </c>
      <c r="U17" t="s">
        <v>29</v>
      </c>
      <c r="V17" t="s">
        <v>37</v>
      </c>
      <c r="W17" t="s">
        <v>29</v>
      </c>
      <c r="X17" t="s">
        <v>29</v>
      </c>
      <c r="Y17" t="str">
        <f t="shared" si="0"/>
        <v>NEW</v>
      </c>
      <c r="Z17" s="3" t="s">
        <v>29</v>
      </c>
      <c r="AA17" t="s">
        <v>320</v>
      </c>
      <c r="AB17" s="3" t="s">
        <v>29</v>
      </c>
      <c r="AC17" t="s">
        <v>389</v>
      </c>
      <c r="AD17" t="s">
        <v>322</v>
      </c>
    </row>
    <row r="18" spans="1:30" ht="43.2" x14ac:dyDescent="0.3">
      <c r="A18" t="s">
        <v>390</v>
      </c>
      <c r="B18">
        <v>1</v>
      </c>
      <c r="C18" t="s">
        <v>99</v>
      </c>
      <c r="D18" t="s">
        <v>29</v>
      </c>
      <c r="E18" t="s">
        <v>29</v>
      </c>
      <c r="F18" t="s">
        <v>29</v>
      </c>
      <c r="G18" s="3" t="s">
        <v>391</v>
      </c>
      <c r="H18" t="s">
        <v>55</v>
      </c>
      <c r="I18">
        <v>1</v>
      </c>
      <c r="J18">
        <v>1</v>
      </c>
      <c r="K18" t="s">
        <v>390</v>
      </c>
      <c r="L18" t="s">
        <v>32</v>
      </c>
      <c r="M18" t="s">
        <v>176</v>
      </c>
      <c r="N18" t="s">
        <v>392</v>
      </c>
      <c r="O18" t="s">
        <v>29</v>
      </c>
      <c r="P18" t="s">
        <v>29</v>
      </c>
      <c r="Q18" t="s">
        <v>29</v>
      </c>
      <c r="R18" t="s">
        <v>29</v>
      </c>
      <c r="S18" t="s">
        <v>29</v>
      </c>
      <c r="T18" t="s">
        <v>29</v>
      </c>
      <c r="U18" t="s">
        <v>29</v>
      </c>
      <c r="V18" t="s">
        <v>37</v>
      </c>
      <c r="W18" t="s">
        <v>29</v>
      </c>
      <c r="X18" t="s">
        <v>29</v>
      </c>
      <c r="Y18" t="str">
        <f t="shared" si="0"/>
        <v>NEW</v>
      </c>
      <c r="Z18" s="3" t="s">
        <v>29</v>
      </c>
      <c r="AA18" t="s">
        <v>361</v>
      </c>
      <c r="AB18" s="3" t="s">
        <v>393</v>
      </c>
      <c r="AC18" t="s">
        <v>394</v>
      </c>
      <c r="AD18" t="s">
        <v>330</v>
      </c>
    </row>
    <row r="19" spans="1:30" x14ac:dyDescent="0.3">
      <c r="A19" t="s">
        <v>395</v>
      </c>
      <c r="B19">
        <v>2</v>
      </c>
      <c r="C19" t="s">
        <v>27</v>
      </c>
      <c r="D19" t="s">
        <v>53</v>
      </c>
      <c r="E19" t="s">
        <v>143</v>
      </c>
      <c r="F19" t="s">
        <v>29</v>
      </c>
      <c r="G19" s="3" t="s">
        <v>396</v>
      </c>
      <c r="H19" t="s">
        <v>55</v>
      </c>
      <c r="I19">
        <v>1</v>
      </c>
      <c r="J19">
        <v>3</v>
      </c>
      <c r="K19" t="s">
        <v>397</v>
      </c>
      <c r="L19" t="s">
        <v>32</v>
      </c>
      <c r="M19" t="s">
        <v>33</v>
      </c>
      <c r="N19" t="s">
        <v>34</v>
      </c>
      <c r="O19" t="s">
        <v>56</v>
      </c>
      <c r="P19" t="s">
        <v>36</v>
      </c>
      <c r="Q19" t="s">
        <v>35</v>
      </c>
      <c r="R19" t="s">
        <v>36</v>
      </c>
      <c r="S19" t="s">
        <v>29</v>
      </c>
      <c r="T19" t="s">
        <v>29</v>
      </c>
      <c r="U19" t="s">
        <v>29</v>
      </c>
      <c r="V19" t="s">
        <v>37</v>
      </c>
      <c r="W19" t="s">
        <v>29</v>
      </c>
      <c r="X19" t="s">
        <v>29</v>
      </c>
      <c r="Y19" t="str">
        <f t="shared" si="0"/>
        <v>NEW</v>
      </c>
      <c r="Z19" s="3" t="s">
        <v>398</v>
      </c>
      <c r="AA19" t="s">
        <v>320</v>
      </c>
      <c r="AB19" s="3" t="s">
        <v>29</v>
      </c>
      <c r="AC19" t="s">
        <v>29</v>
      </c>
      <c r="AD19" t="s">
        <v>322</v>
      </c>
    </row>
    <row r="20" spans="1:30" ht="28.8" x14ac:dyDescent="0.3">
      <c r="A20" t="s">
        <v>399</v>
      </c>
      <c r="B20">
        <v>1</v>
      </c>
      <c r="C20" t="s">
        <v>44</v>
      </c>
      <c r="D20" t="s">
        <v>49</v>
      </c>
      <c r="E20" t="s">
        <v>154</v>
      </c>
      <c r="F20" t="s">
        <v>29</v>
      </c>
      <c r="G20" s="3" t="s">
        <v>400</v>
      </c>
      <c r="H20" t="s">
        <v>31</v>
      </c>
      <c r="I20">
        <v>0</v>
      </c>
      <c r="J20">
        <v>0</v>
      </c>
      <c r="K20" t="s">
        <v>401</v>
      </c>
      <c r="L20" t="s">
        <v>32</v>
      </c>
      <c r="M20" t="s">
        <v>33</v>
      </c>
      <c r="N20" t="s">
        <v>34</v>
      </c>
      <c r="O20" t="s">
        <v>35</v>
      </c>
      <c r="P20" t="s">
        <v>36</v>
      </c>
      <c r="Q20" t="s">
        <v>35</v>
      </c>
      <c r="R20" t="s">
        <v>36</v>
      </c>
      <c r="S20" t="s">
        <v>29</v>
      </c>
      <c r="T20" t="s">
        <v>29</v>
      </c>
      <c r="U20" t="s">
        <v>29</v>
      </c>
      <c r="V20" t="s">
        <v>37</v>
      </c>
      <c r="W20" t="s">
        <v>29</v>
      </c>
      <c r="X20" t="s">
        <v>29</v>
      </c>
      <c r="Y20" t="str">
        <f t="shared" si="0"/>
        <v>NEW</v>
      </c>
      <c r="Z20" s="3" t="s">
        <v>402</v>
      </c>
      <c r="AA20" t="s">
        <v>320</v>
      </c>
      <c r="AB20" s="3" t="s">
        <v>29</v>
      </c>
      <c r="AC20" t="s">
        <v>403</v>
      </c>
      <c r="AD20" t="s">
        <v>322</v>
      </c>
    </row>
    <row r="21" spans="1:30" ht="28.8" x14ac:dyDescent="0.3">
      <c r="A21" t="s">
        <v>404</v>
      </c>
      <c r="B21">
        <v>2</v>
      </c>
      <c r="C21" t="s">
        <v>99</v>
      </c>
      <c r="D21" t="s">
        <v>173</v>
      </c>
      <c r="E21" t="s">
        <v>29</v>
      </c>
      <c r="F21" t="s">
        <v>29</v>
      </c>
      <c r="G21" s="3" t="s">
        <v>405</v>
      </c>
      <c r="H21" t="s">
        <v>55</v>
      </c>
      <c r="I21">
        <v>1</v>
      </c>
      <c r="J21">
        <v>3</v>
      </c>
      <c r="K21" t="s">
        <v>404</v>
      </c>
      <c r="L21" t="s">
        <v>32</v>
      </c>
      <c r="M21" t="s">
        <v>176</v>
      </c>
      <c r="N21" t="s">
        <v>392</v>
      </c>
      <c r="O21" t="s">
        <v>56</v>
      </c>
      <c r="P21" t="s">
        <v>36</v>
      </c>
      <c r="Q21" t="s">
        <v>29</v>
      </c>
      <c r="R21" t="s">
        <v>29</v>
      </c>
      <c r="S21" t="s">
        <v>29</v>
      </c>
      <c r="T21" t="s">
        <v>29</v>
      </c>
      <c r="U21" t="s">
        <v>29</v>
      </c>
      <c r="V21" t="s">
        <v>37</v>
      </c>
      <c r="W21" t="s">
        <v>29</v>
      </c>
      <c r="X21" t="s">
        <v>29</v>
      </c>
      <c r="Y21" t="str">
        <f t="shared" si="0"/>
        <v>NEW</v>
      </c>
      <c r="Z21" s="3" t="s">
        <v>29</v>
      </c>
      <c r="AA21" t="s">
        <v>361</v>
      </c>
      <c r="AB21" s="3" t="s">
        <v>406</v>
      </c>
      <c r="AC21" t="s">
        <v>363</v>
      </c>
      <c r="AD21" t="s">
        <v>330</v>
      </c>
    </row>
    <row r="22" spans="1:30" x14ac:dyDescent="0.3">
      <c r="A22" t="s">
        <v>407</v>
      </c>
      <c r="B22">
        <v>2</v>
      </c>
      <c r="C22" t="s">
        <v>27</v>
      </c>
      <c r="D22" t="s">
        <v>408</v>
      </c>
      <c r="E22" t="s">
        <v>29</v>
      </c>
      <c r="F22" t="s">
        <v>29</v>
      </c>
      <c r="G22" s="3" t="s">
        <v>409</v>
      </c>
      <c r="H22" t="s">
        <v>31</v>
      </c>
      <c r="I22">
        <v>0</v>
      </c>
      <c r="J22">
        <v>0</v>
      </c>
      <c r="K22" t="s">
        <v>410</v>
      </c>
      <c r="L22" t="s">
        <v>32</v>
      </c>
      <c r="M22" t="s">
        <v>65</v>
      </c>
      <c r="N22" t="s">
        <v>324</v>
      </c>
      <c r="O22" t="s">
        <v>35</v>
      </c>
      <c r="P22" t="s">
        <v>60</v>
      </c>
      <c r="Q22" t="s">
        <v>29</v>
      </c>
      <c r="R22" t="s">
        <v>29</v>
      </c>
      <c r="S22" t="s">
        <v>29</v>
      </c>
      <c r="T22" t="s">
        <v>29</v>
      </c>
      <c r="U22" t="s">
        <v>29</v>
      </c>
      <c r="V22" t="s">
        <v>37</v>
      </c>
      <c r="W22" t="s">
        <v>29</v>
      </c>
      <c r="X22" t="s">
        <v>29</v>
      </c>
      <c r="Y22" t="str">
        <f t="shared" si="0"/>
        <v>NEW</v>
      </c>
      <c r="Z22" s="3" t="s">
        <v>29</v>
      </c>
      <c r="AA22" t="s">
        <v>320</v>
      </c>
      <c r="AB22" s="3" t="s">
        <v>29</v>
      </c>
      <c r="AC22" t="s">
        <v>411</v>
      </c>
      <c r="AD22" t="s">
        <v>322</v>
      </c>
    </row>
    <row r="23" spans="1:30" x14ac:dyDescent="0.3">
      <c r="A23" t="s">
        <v>412</v>
      </c>
      <c r="B23">
        <v>1</v>
      </c>
      <c r="C23" t="s">
        <v>44</v>
      </c>
      <c r="D23" t="s">
        <v>262</v>
      </c>
      <c r="E23" t="s">
        <v>29</v>
      </c>
      <c r="F23" t="s">
        <v>29</v>
      </c>
      <c r="G23" s="3" t="s">
        <v>413</v>
      </c>
      <c r="H23" t="s">
        <v>55</v>
      </c>
      <c r="I23">
        <v>1</v>
      </c>
      <c r="J23">
        <v>3</v>
      </c>
      <c r="K23" t="s">
        <v>412</v>
      </c>
      <c r="L23" t="s">
        <v>32</v>
      </c>
      <c r="M23" t="s">
        <v>150</v>
      </c>
      <c r="N23" t="s">
        <v>324</v>
      </c>
      <c r="O23" t="s">
        <v>56</v>
      </c>
      <c r="P23" t="s">
        <v>36</v>
      </c>
      <c r="Q23" t="s">
        <v>29</v>
      </c>
      <c r="R23" t="s">
        <v>29</v>
      </c>
      <c r="S23" t="s">
        <v>29</v>
      </c>
      <c r="T23" t="s">
        <v>29</v>
      </c>
      <c r="U23" t="s">
        <v>29</v>
      </c>
      <c r="V23" t="s">
        <v>37</v>
      </c>
      <c r="W23" t="s">
        <v>29</v>
      </c>
      <c r="X23" t="s">
        <v>29</v>
      </c>
      <c r="Y23" t="str">
        <f t="shared" si="0"/>
        <v>NEW</v>
      </c>
      <c r="Z23" s="3" t="s">
        <v>29</v>
      </c>
      <c r="AA23" t="s">
        <v>320</v>
      </c>
      <c r="AB23" s="3" t="s">
        <v>29</v>
      </c>
      <c r="AC23" t="s">
        <v>29</v>
      </c>
      <c r="AD23" t="s">
        <v>330</v>
      </c>
    </row>
    <row r="24" spans="1:30" x14ac:dyDescent="0.3">
      <c r="A24" t="s">
        <v>414</v>
      </c>
      <c r="B24">
        <v>2</v>
      </c>
      <c r="C24" t="s">
        <v>27</v>
      </c>
      <c r="D24" t="s">
        <v>77</v>
      </c>
      <c r="E24" t="s">
        <v>415</v>
      </c>
      <c r="F24" t="s">
        <v>29</v>
      </c>
      <c r="G24" s="3" t="s">
        <v>416</v>
      </c>
      <c r="H24" t="s">
        <v>55</v>
      </c>
      <c r="I24">
        <v>1</v>
      </c>
      <c r="J24">
        <v>1</v>
      </c>
      <c r="K24" t="s">
        <v>417</v>
      </c>
      <c r="L24" t="s">
        <v>32</v>
      </c>
      <c r="M24" t="s">
        <v>79</v>
      </c>
      <c r="N24" t="s">
        <v>324</v>
      </c>
      <c r="O24" t="s">
        <v>56</v>
      </c>
      <c r="P24" t="s">
        <v>36</v>
      </c>
      <c r="Q24" t="s">
        <v>56</v>
      </c>
      <c r="R24" t="s">
        <v>36</v>
      </c>
      <c r="S24" t="s">
        <v>29</v>
      </c>
      <c r="T24" t="s">
        <v>29</v>
      </c>
      <c r="U24" t="s">
        <v>29</v>
      </c>
      <c r="V24" t="s">
        <v>37</v>
      </c>
      <c r="W24" t="s">
        <v>29</v>
      </c>
      <c r="X24" t="s">
        <v>29</v>
      </c>
      <c r="Y24" t="str">
        <f t="shared" si="0"/>
        <v>NEW</v>
      </c>
      <c r="Z24" s="3" t="s">
        <v>29</v>
      </c>
      <c r="AA24" t="s">
        <v>320</v>
      </c>
      <c r="AB24" s="3" t="s">
        <v>29</v>
      </c>
      <c r="AC24" t="s">
        <v>29</v>
      </c>
      <c r="AD24" t="s">
        <v>330</v>
      </c>
    </row>
    <row r="25" spans="1:30" x14ac:dyDescent="0.3">
      <c r="A25" t="s">
        <v>418</v>
      </c>
      <c r="B25">
        <v>1</v>
      </c>
      <c r="C25" t="s">
        <v>44</v>
      </c>
      <c r="D25" t="s">
        <v>419</v>
      </c>
      <c r="E25" t="s">
        <v>29</v>
      </c>
      <c r="F25" t="s">
        <v>29</v>
      </c>
      <c r="G25" s="3" t="s">
        <v>420</v>
      </c>
      <c r="H25" t="s">
        <v>31</v>
      </c>
      <c r="I25">
        <v>0</v>
      </c>
      <c r="J25">
        <v>0</v>
      </c>
      <c r="K25" t="s">
        <v>421</v>
      </c>
      <c r="L25" t="s">
        <v>32</v>
      </c>
      <c r="M25" t="s">
        <v>33</v>
      </c>
      <c r="N25" t="s">
        <v>34</v>
      </c>
      <c r="O25" t="s">
        <v>35</v>
      </c>
      <c r="P25" t="s">
        <v>36</v>
      </c>
      <c r="Q25" t="s">
        <v>29</v>
      </c>
      <c r="R25" t="s">
        <v>29</v>
      </c>
      <c r="S25" t="s">
        <v>29</v>
      </c>
      <c r="T25" t="s">
        <v>29</v>
      </c>
      <c r="U25" t="s">
        <v>29</v>
      </c>
      <c r="V25" t="s">
        <v>37</v>
      </c>
      <c r="W25" t="s">
        <v>29</v>
      </c>
      <c r="X25" t="s">
        <v>29</v>
      </c>
      <c r="Y25" t="str">
        <f t="shared" si="0"/>
        <v>NEW</v>
      </c>
      <c r="Z25" s="3" t="s">
        <v>422</v>
      </c>
      <c r="AA25" t="s">
        <v>320</v>
      </c>
      <c r="AB25" s="3" t="s">
        <v>29</v>
      </c>
      <c r="AC25" t="s">
        <v>29</v>
      </c>
      <c r="AD25" t="s">
        <v>330</v>
      </c>
    </row>
    <row r="26" spans="1:30" x14ac:dyDescent="0.3">
      <c r="A26" t="s">
        <v>423</v>
      </c>
      <c r="B26">
        <v>2</v>
      </c>
      <c r="C26" t="s">
        <v>99</v>
      </c>
      <c r="D26" t="s">
        <v>28</v>
      </c>
      <c r="E26" t="s">
        <v>419</v>
      </c>
      <c r="F26" t="s">
        <v>29</v>
      </c>
      <c r="G26" s="3" t="s">
        <v>424</v>
      </c>
      <c r="H26" t="s">
        <v>31</v>
      </c>
      <c r="I26">
        <v>0</v>
      </c>
      <c r="J26">
        <v>0</v>
      </c>
      <c r="K26" t="s">
        <v>425</v>
      </c>
      <c r="L26" t="s">
        <v>32</v>
      </c>
      <c r="M26" t="s">
        <v>33</v>
      </c>
      <c r="N26" t="s">
        <v>34</v>
      </c>
      <c r="O26" t="s">
        <v>35</v>
      </c>
      <c r="P26" t="s">
        <v>36</v>
      </c>
      <c r="Q26" t="s">
        <v>35</v>
      </c>
      <c r="R26" t="s">
        <v>36</v>
      </c>
      <c r="S26" t="s">
        <v>29</v>
      </c>
      <c r="T26" t="s">
        <v>29</v>
      </c>
      <c r="U26" t="s">
        <v>29</v>
      </c>
      <c r="V26" t="s">
        <v>37</v>
      </c>
      <c r="W26" t="s">
        <v>29</v>
      </c>
      <c r="X26" t="s">
        <v>29</v>
      </c>
      <c r="Y26" t="str">
        <f t="shared" si="0"/>
        <v>NEW</v>
      </c>
      <c r="Z26" s="3" t="s">
        <v>29</v>
      </c>
      <c r="AA26" t="s">
        <v>320</v>
      </c>
      <c r="AB26" s="3" t="s">
        <v>29</v>
      </c>
      <c r="AC26" t="s">
        <v>29</v>
      </c>
      <c r="AD26" t="s">
        <v>330</v>
      </c>
    </row>
    <row r="27" spans="1:30" x14ac:dyDescent="0.3">
      <c r="A27" t="s">
        <v>426</v>
      </c>
      <c r="B27">
        <v>1</v>
      </c>
      <c r="C27" t="s">
        <v>27</v>
      </c>
      <c r="D27" t="s">
        <v>77</v>
      </c>
      <c r="E27" t="s">
        <v>154</v>
      </c>
      <c r="F27" t="s">
        <v>29</v>
      </c>
      <c r="G27" s="3" t="s">
        <v>427</v>
      </c>
      <c r="H27" t="s">
        <v>55</v>
      </c>
      <c r="I27">
        <v>1</v>
      </c>
      <c r="J27">
        <v>1</v>
      </c>
      <c r="K27" t="s">
        <v>426</v>
      </c>
      <c r="L27" t="s">
        <v>32</v>
      </c>
      <c r="M27" t="s">
        <v>79</v>
      </c>
      <c r="N27" t="s">
        <v>324</v>
      </c>
      <c r="O27" t="s">
        <v>56</v>
      </c>
      <c r="P27" t="s">
        <v>36</v>
      </c>
      <c r="Q27" t="s">
        <v>56</v>
      </c>
      <c r="R27" t="s">
        <v>36</v>
      </c>
      <c r="S27" t="s">
        <v>29</v>
      </c>
      <c r="T27" t="s">
        <v>29</v>
      </c>
      <c r="U27" t="s">
        <v>29</v>
      </c>
      <c r="V27" t="s">
        <v>37</v>
      </c>
      <c r="W27" t="s">
        <v>29</v>
      </c>
      <c r="X27" t="s">
        <v>29</v>
      </c>
      <c r="Y27" t="str">
        <f t="shared" si="0"/>
        <v>NEW</v>
      </c>
      <c r="Z27" s="3" t="s">
        <v>29</v>
      </c>
      <c r="AA27" t="s">
        <v>320</v>
      </c>
      <c r="AB27" s="3" t="s">
        <v>29</v>
      </c>
      <c r="AC27" t="s">
        <v>29</v>
      </c>
      <c r="AD27" t="s">
        <v>322</v>
      </c>
    </row>
    <row r="28" spans="1:30" x14ac:dyDescent="0.3">
      <c r="A28" t="s">
        <v>428</v>
      </c>
      <c r="B28">
        <v>1</v>
      </c>
      <c r="C28" t="s">
        <v>27</v>
      </c>
      <c r="D28" t="s">
        <v>68</v>
      </c>
      <c r="E28" t="s">
        <v>29</v>
      </c>
      <c r="F28" t="s">
        <v>29</v>
      </c>
      <c r="G28" s="3" t="s">
        <v>429</v>
      </c>
      <c r="H28" t="s">
        <v>31</v>
      </c>
      <c r="I28">
        <v>0</v>
      </c>
      <c r="J28">
        <v>0</v>
      </c>
      <c r="K28" t="s">
        <v>430</v>
      </c>
      <c r="L28" t="s">
        <v>32</v>
      </c>
      <c r="M28" t="s">
        <v>65</v>
      </c>
      <c r="N28" t="s">
        <v>324</v>
      </c>
      <c r="O28" t="s">
        <v>35</v>
      </c>
      <c r="P28" t="s">
        <v>36</v>
      </c>
      <c r="Q28" t="s">
        <v>29</v>
      </c>
      <c r="R28" t="s">
        <v>29</v>
      </c>
      <c r="S28" t="s">
        <v>29</v>
      </c>
      <c r="T28" t="s">
        <v>29</v>
      </c>
      <c r="U28" t="s">
        <v>29</v>
      </c>
      <c r="V28" t="s">
        <v>37</v>
      </c>
      <c r="W28" t="s">
        <v>29</v>
      </c>
      <c r="X28" t="s">
        <v>29</v>
      </c>
      <c r="Y28" t="str">
        <f t="shared" si="0"/>
        <v>NEW</v>
      </c>
      <c r="Z28" s="3" t="s">
        <v>29</v>
      </c>
      <c r="AA28" t="s">
        <v>320</v>
      </c>
      <c r="AB28" s="3" t="s">
        <v>29</v>
      </c>
      <c r="AC28" t="s">
        <v>29</v>
      </c>
      <c r="AD28" t="s">
        <v>330</v>
      </c>
    </row>
    <row r="29" spans="1:30" x14ac:dyDescent="0.3">
      <c r="A29" t="s">
        <v>431</v>
      </c>
      <c r="B29">
        <v>2</v>
      </c>
      <c r="C29" t="s">
        <v>99</v>
      </c>
      <c r="D29" t="s">
        <v>63</v>
      </c>
      <c r="E29" t="s">
        <v>50</v>
      </c>
      <c r="F29" t="s">
        <v>29</v>
      </c>
      <c r="G29" s="3" t="s">
        <v>432</v>
      </c>
      <c r="H29" t="s">
        <v>31</v>
      </c>
      <c r="I29">
        <v>0</v>
      </c>
      <c r="J29">
        <v>0</v>
      </c>
      <c r="K29" t="s">
        <v>431</v>
      </c>
      <c r="L29" t="s">
        <v>32</v>
      </c>
      <c r="M29" t="s">
        <v>65</v>
      </c>
      <c r="N29" t="s">
        <v>324</v>
      </c>
      <c r="O29" t="s">
        <v>35</v>
      </c>
      <c r="P29" t="s">
        <v>36</v>
      </c>
      <c r="Q29" t="s">
        <v>35</v>
      </c>
      <c r="R29" t="s">
        <v>36</v>
      </c>
      <c r="S29" t="s">
        <v>29</v>
      </c>
      <c r="T29" t="s">
        <v>29</v>
      </c>
      <c r="U29" t="s">
        <v>29</v>
      </c>
      <c r="V29" t="s">
        <v>37</v>
      </c>
      <c r="W29" t="s">
        <v>29</v>
      </c>
      <c r="X29" t="s">
        <v>29</v>
      </c>
      <c r="Y29" t="str">
        <f t="shared" si="0"/>
        <v>NEW</v>
      </c>
      <c r="Z29" s="3" t="s">
        <v>29</v>
      </c>
      <c r="AA29" t="s">
        <v>320</v>
      </c>
      <c r="AB29" s="3" t="s">
        <v>29</v>
      </c>
      <c r="AC29" t="s">
        <v>29</v>
      </c>
      <c r="AD29" t="s">
        <v>330</v>
      </c>
    </row>
    <row r="30" spans="1:30" x14ac:dyDescent="0.3">
      <c r="A30" t="s">
        <v>433</v>
      </c>
      <c r="B30">
        <v>1</v>
      </c>
      <c r="C30" t="s">
        <v>44</v>
      </c>
      <c r="D30" t="s">
        <v>49</v>
      </c>
      <c r="E30" t="s">
        <v>29</v>
      </c>
      <c r="F30" t="s">
        <v>29</v>
      </c>
      <c r="G30" s="3" t="s">
        <v>434</v>
      </c>
      <c r="H30" t="s">
        <v>83</v>
      </c>
      <c r="I30">
        <v>1</v>
      </c>
      <c r="J30">
        <v>2</v>
      </c>
      <c r="K30" t="s">
        <v>435</v>
      </c>
      <c r="L30" t="s">
        <v>32</v>
      </c>
      <c r="M30" t="s">
        <v>33</v>
      </c>
      <c r="N30" t="s">
        <v>34</v>
      </c>
      <c r="O30" t="s">
        <v>56</v>
      </c>
      <c r="P30" t="s">
        <v>36</v>
      </c>
      <c r="Q30" t="s">
        <v>29</v>
      </c>
      <c r="R30" t="s">
        <v>29</v>
      </c>
      <c r="S30" t="s">
        <v>29</v>
      </c>
      <c r="T30" t="s">
        <v>29</v>
      </c>
      <c r="U30" t="s">
        <v>29</v>
      </c>
      <c r="V30" t="s">
        <v>37</v>
      </c>
      <c r="W30" t="s">
        <v>29</v>
      </c>
      <c r="X30" t="s">
        <v>29</v>
      </c>
      <c r="Y30" t="str">
        <f t="shared" si="0"/>
        <v>NEW</v>
      </c>
      <c r="Z30" s="3" t="s">
        <v>29</v>
      </c>
      <c r="AA30" t="s">
        <v>320</v>
      </c>
      <c r="AB30" s="3" t="s">
        <v>29</v>
      </c>
      <c r="AC30" t="s">
        <v>436</v>
      </c>
      <c r="AD30" t="s">
        <v>330</v>
      </c>
    </row>
    <row r="31" spans="1:30" ht="28.8" x14ac:dyDescent="0.3">
      <c r="A31" t="s">
        <v>437</v>
      </c>
      <c r="B31">
        <v>3</v>
      </c>
      <c r="C31" t="s">
        <v>438</v>
      </c>
      <c r="D31" t="s">
        <v>439</v>
      </c>
      <c r="E31" t="s">
        <v>440</v>
      </c>
      <c r="F31" t="s">
        <v>419</v>
      </c>
      <c r="G31" s="3" t="s">
        <v>441</v>
      </c>
      <c r="H31" t="s">
        <v>31</v>
      </c>
      <c r="I31">
        <v>0</v>
      </c>
      <c r="J31">
        <v>0</v>
      </c>
      <c r="K31" t="s">
        <v>437</v>
      </c>
      <c r="L31" t="s">
        <v>32</v>
      </c>
      <c r="M31" t="s">
        <v>33</v>
      </c>
      <c r="N31" t="s">
        <v>34</v>
      </c>
      <c r="O31" t="s">
        <v>35</v>
      </c>
      <c r="P31" t="s">
        <v>36</v>
      </c>
      <c r="Q31" t="s">
        <v>35</v>
      </c>
      <c r="R31" t="s">
        <v>36</v>
      </c>
      <c r="S31" t="s">
        <v>35</v>
      </c>
      <c r="T31" t="s">
        <v>36</v>
      </c>
      <c r="U31" t="s">
        <v>29</v>
      </c>
      <c r="V31" t="s">
        <v>37</v>
      </c>
      <c r="W31" t="s">
        <v>29</v>
      </c>
      <c r="X31" t="s">
        <v>29</v>
      </c>
      <c r="Y31" t="str">
        <f t="shared" si="0"/>
        <v>NEW</v>
      </c>
      <c r="Z31" s="3" t="s">
        <v>29</v>
      </c>
      <c r="AA31" t="s">
        <v>320</v>
      </c>
      <c r="AB31" s="3" t="s">
        <v>29</v>
      </c>
      <c r="AC31" t="s">
        <v>29</v>
      </c>
      <c r="AD31" t="s">
        <v>356</v>
      </c>
    </row>
    <row r="32" spans="1:30" ht="57.6" x14ac:dyDescent="0.3">
      <c r="A32" t="s">
        <v>442</v>
      </c>
      <c r="B32">
        <v>2</v>
      </c>
      <c r="C32" t="s">
        <v>99</v>
      </c>
      <c r="D32" t="s">
        <v>29</v>
      </c>
      <c r="E32" t="s">
        <v>29</v>
      </c>
      <c r="F32" t="s">
        <v>29</v>
      </c>
      <c r="G32" s="3" t="s">
        <v>443</v>
      </c>
      <c r="H32" t="s">
        <v>31</v>
      </c>
      <c r="I32">
        <v>0</v>
      </c>
      <c r="J32">
        <v>0</v>
      </c>
      <c r="K32" t="s">
        <v>442</v>
      </c>
      <c r="L32" t="s">
        <v>32</v>
      </c>
      <c r="M32" t="s">
        <v>33</v>
      </c>
      <c r="N32" t="s">
        <v>34</v>
      </c>
      <c r="O32" t="s">
        <v>29</v>
      </c>
      <c r="P32" t="s">
        <v>29</v>
      </c>
      <c r="Q32" t="s">
        <v>29</v>
      </c>
      <c r="R32" t="s">
        <v>29</v>
      </c>
      <c r="S32" t="s">
        <v>29</v>
      </c>
      <c r="T32" t="s">
        <v>29</v>
      </c>
      <c r="U32" t="s">
        <v>29</v>
      </c>
      <c r="V32" t="s">
        <v>37</v>
      </c>
      <c r="W32" t="s">
        <v>29</v>
      </c>
      <c r="X32" t="s">
        <v>29</v>
      </c>
      <c r="Y32" t="str">
        <f t="shared" si="0"/>
        <v>NEW</v>
      </c>
      <c r="Z32" s="3" t="s">
        <v>444</v>
      </c>
      <c r="AA32" t="s">
        <v>372</v>
      </c>
      <c r="AB32" s="3" t="s">
        <v>445</v>
      </c>
      <c r="AC32" t="s">
        <v>446</v>
      </c>
      <c r="AD32" t="s">
        <v>322</v>
      </c>
    </row>
    <row r="33" spans="1:30" ht="28.8" x14ac:dyDescent="0.3">
      <c r="A33" t="s">
        <v>447</v>
      </c>
      <c r="B33">
        <v>2</v>
      </c>
      <c r="C33" t="s">
        <v>99</v>
      </c>
      <c r="D33" t="s">
        <v>29</v>
      </c>
      <c r="E33" t="s">
        <v>29</v>
      </c>
      <c r="F33" t="s">
        <v>29</v>
      </c>
      <c r="G33" s="3" t="s">
        <v>448</v>
      </c>
      <c r="H33" t="s">
        <v>31</v>
      </c>
      <c r="I33">
        <v>0</v>
      </c>
      <c r="J33">
        <v>0</v>
      </c>
      <c r="K33" t="s">
        <v>447</v>
      </c>
      <c r="L33" t="s">
        <v>32</v>
      </c>
      <c r="M33" t="s">
        <v>33</v>
      </c>
      <c r="N33" t="s">
        <v>34</v>
      </c>
      <c r="O33" t="s">
        <v>29</v>
      </c>
      <c r="P33" t="s">
        <v>29</v>
      </c>
      <c r="Q33" t="s">
        <v>29</v>
      </c>
      <c r="R33" t="s">
        <v>29</v>
      </c>
      <c r="S33" t="s">
        <v>29</v>
      </c>
      <c r="T33" t="s">
        <v>29</v>
      </c>
      <c r="U33" t="s">
        <v>29</v>
      </c>
      <c r="V33" t="s">
        <v>37</v>
      </c>
      <c r="W33" t="s">
        <v>29</v>
      </c>
      <c r="X33" t="s">
        <v>29</v>
      </c>
      <c r="Y33" t="str">
        <f t="shared" si="0"/>
        <v>NEW</v>
      </c>
      <c r="Z33" s="3" t="s">
        <v>449</v>
      </c>
      <c r="AA33" t="s">
        <v>372</v>
      </c>
      <c r="AB33" s="3" t="s">
        <v>450</v>
      </c>
      <c r="AC33" t="s">
        <v>329</v>
      </c>
      <c r="AD33" t="s">
        <v>322</v>
      </c>
    </row>
    <row r="34" spans="1:30" ht="28.8" x14ac:dyDescent="0.3">
      <c r="A34" t="s">
        <v>451</v>
      </c>
      <c r="B34">
        <v>1</v>
      </c>
      <c r="C34" t="s">
        <v>99</v>
      </c>
      <c r="D34" t="s">
        <v>29</v>
      </c>
      <c r="E34" t="s">
        <v>29</v>
      </c>
      <c r="F34" t="s">
        <v>29</v>
      </c>
      <c r="G34" s="3" t="s">
        <v>452</v>
      </c>
      <c r="H34" t="s">
        <v>31</v>
      </c>
      <c r="I34">
        <v>0</v>
      </c>
      <c r="J34">
        <v>0</v>
      </c>
      <c r="K34" t="s">
        <v>451</v>
      </c>
      <c r="L34" t="s">
        <v>32</v>
      </c>
      <c r="M34" t="s">
        <v>33</v>
      </c>
      <c r="N34" t="s">
        <v>319</v>
      </c>
      <c r="O34" t="s">
        <v>29</v>
      </c>
      <c r="P34" t="s">
        <v>29</v>
      </c>
      <c r="Q34" t="s">
        <v>29</v>
      </c>
      <c r="R34" t="s">
        <v>29</v>
      </c>
      <c r="S34" t="s">
        <v>29</v>
      </c>
      <c r="T34" t="s">
        <v>29</v>
      </c>
      <c r="U34" t="s">
        <v>29</v>
      </c>
      <c r="V34" t="s">
        <v>37</v>
      </c>
      <c r="W34" t="s">
        <v>29</v>
      </c>
      <c r="X34" t="s">
        <v>29</v>
      </c>
      <c r="Y34" t="str">
        <f t="shared" ref="Y34:Y51" si="1">IF($X34="","NEW","Live")</f>
        <v>NEW</v>
      </c>
      <c r="Z34" s="3" t="s">
        <v>29</v>
      </c>
      <c r="AA34" t="s">
        <v>453</v>
      </c>
      <c r="AB34" s="3" t="s">
        <v>454</v>
      </c>
      <c r="AC34" t="s">
        <v>455</v>
      </c>
      <c r="AD34" t="s">
        <v>330</v>
      </c>
    </row>
    <row r="35" spans="1:30" ht="43.2" x14ac:dyDescent="0.3">
      <c r="A35" t="s">
        <v>456</v>
      </c>
      <c r="B35">
        <v>1</v>
      </c>
      <c r="C35" t="s">
        <v>27</v>
      </c>
      <c r="D35" t="s">
        <v>29</v>
      </c>
      <c r="E35" t="s">
        <v>29</v>
      </c>
      <c r="F35" t="s">
        <v>29</v>
      </c>
      <c r="G35" s="3" t="s">
        <v>457</v>
      </c>
      <c r="H35" t="s">
        <v>55</v>
      </c>
      <c r="I35">
        <v>1</v>
      </c>
      <c r="J35">
        <v>1</v>
      </c>
      <c r="K35" t="s">
        <v>456</v>
      </c>
      <c r="L35" t="s">
        <v>32</v>
      </c>
      <c r="M35" t="s">
        <v>79</v>
      </c>
      <c r="N35" t="s">
        <v>324</v>
      </c>
      <c r="O35" t="s">
        <v>29</v>
      </c>
      <c r="P35" t="s">
        <v>29</v>
      </c>
      <c r="Q35" t="s">
        <v>29</v>
      </c>
      <c r="R35" t="s">
        <v>29</v>
      </c>
      <c r="S35" t="s">
        <v>29</v>
      </c>
      <c r="T35" t="s">
        <v>29</v>
      </c>
      <c r="U35" t="s">
        <v>29</v>
      </c>
      <c r="V35" t="s">
        <v>37</v>
      </c>
      <c r="W35" t="s">
        <v>29</v>
      </c>
      <c r="X35" t="s">
        <v>29</v>
      </c>
      <c r="Y35" t="str">
        <f t="shared" si="1"/>
        <v>NEW</v>
      </c>
      <c r="Z35" s="3" t="s">
        <v>458</v>
      </c>
      <c r="AA35" t="s">
        <v>382</v>
      </c>
      <c r="AB35" s="3" t="s">
        <v>459</v>
      </c>
      <c r="AC35" t="s">
        <v>460</v>
      </c>
      <c r="AD35" t="s">
        <v>322</v>
      </c>
    </row>
    <row r="36" spans="1:30" ht="43.2" x14ac:dyDescent="0.3">
      <c r="A36" t="s">
        <v>461</v>
      </c>
      <c r="B36">
        <v>2</v>
      </c>
      <c r="C36" t="s">
        <v>99</v>
      </c>
      <c r="D36" t="s">
        <v>29</v>
      </c>
      <c r="E36" t="s">
        <v>29</v>
      </c>
      <c r="F36" t="s">
        <v>29</v>
      </c>
      <c r="G36" s="3" t="s">
        <v>462</v>
      </c>
      <c r="H36" t="s">
        <v>83</v>
      </c>
      <c r="I36">
        <v>1</v>
      </c>
      <c r="J36">
        <v>2</v>
      </c>
      <c r="K36" t="s">
        <v>463</v>
      </c>
      <c r="L36" t="s">
        <v>32</v>
      </c>
      <c r="M36" t="s">
        <v>33</v>
      </c>
      <c r="N36" t="s">
        <v>34</v>
      </c>
      <c r="O36" t="s">
        <v>29</v>
      </c>
      <c r="P36" t="s">
        <v>29</v>
      </c>
      <c r="Q36" t="s">
        <v>29</v>
      </c>
      <c r="R36" t="s">
        <v>29</v>
      </c>
      <c r="S36" t="s">
        <v>29</v>
      </c>
      <c r="T36" t="s">
        <v>29</v>
      </c>
      <c r="U36" t="s">
        <v>29</v>
      </c>
      <c r="V36" t="s">
        <v>37</v>
      </c>
      <c r="W36" t="s">
        <v>29</v>
      </c>
      <c r="X36" t="s">
        <v>29</v>
      </c>
      <c r="Y36" t="str">
        <f t="shared" si="1"/>
        <v>NEW</v>
      </c>
      <c r="Z36" s="3" t="s">
        <v>29</v>
      </c>
      <c r="AA36" t="s">
        <v>372</v>
      </c>
      <c r="AB36" s="3" t="s">
        <v>464</v>
      </c>
      <c r="AC36" t="s">
        <v>465</v>
      </c>
      <c r="AD36" t="s">
        <v>330</v>
      </c>
    </row>
    <row r="37" spans="1:30" ht="43.2" x14ac:dyDescent="0.3">
      <c r="A37" t="s">
        <v>466</v>
      </c>
      <c r="B37">
        <v>1</v>
      </c>
      <c r="C37" t="s">
        <v>44</v>
      </c>
      <c r="D37" t="s">
        <v>467</v>
      </c>
      <c r="E37" t="s">
        <v>29</v>
      </c>
      <c r="F37" t="s">
        <v>29</v>
      </c>
      <c r="G37" s="3" t="s">
        <v>468</v>
      </c>
      <c r="H37" t="s">
        <v>55</v>
      </c>
      <c r="I37">
        <v>1</v>
      </c>
      <c r="J37">
        <v>1</v>
      </c>
      <c r="K37" t="s">
        <v>469</v>
      </c>
      <c r="L37" t="s">
        <v>32</v>
      </c>
      <c r="M37" t="s">
        <v>79</v>
      </c>
      <c r="N37" t="s">
        <v>324</v>
      </c>
      <c r="O37" t="s">
        <v>56</v>
      </c>
      <c r="P37" t="s">
        <v>36</v>
      </c>
      <c r="Q37" t="s">
        <v>29</v>
      </c>
      <c r="R37" t="s">
        <v>29</v>
      </c>
      <c r="S37" t="s">
        <v>29</v>
      </c>
      <c r="T37" t="s">
        <v>29</v>
      </c>
      <c r="U37" t="s">
        <v>29</v>
      </c>
      <c r="V37" t="s">
        <v>37</v>
      </c>
      <c r="W37" t="s">
        <v>29</v>
      </c>
      <c r="X37" t="s">
        <v>29</v>
      </c>
      <c r="Y37" t="str">
        <f t="shared" si="1"/>
        <v>NEW</v>
      </c>
      <c r="Z37" s="3" t="s">
        <v>470</v>
      </c>
      <c r="AA37" t="s">
        <v>382</v>
      </c>
      <c r="AB37" s="3" t="s">
        <v>471</v>
      </c>
      <c r="AC37" t="s">
        <v>321</v>
      </c>
      <c r="AD37" t="s">
        <v>322</v>
      </c>
    </row>
    <row r="38" spans="1:30" ht="43.2" x14ac:dyDescent="0.3">
      <c r="A38" t="s">
        <v>472</v>
      </c>
      <c r="B38">
        <v>2</v>
      </c>
      <c r="C38" t="s">
        <v>27</v>
      </c>
      <c r="D38" t="s">
        <v>29</v>
      </c>
      <c r="E38" t="s">
        <v>29</v>
      </c>
      <c r="F38" t="s">
        <v>29</v>
      </c>
      <c r="G38" s="3" t="s">
        <v>473</v>
      </c>
      <c r="H38" t="s">
        <v>55</v>
      </c>
      <c r="I38">
        <v>1</v>
      </c>
      <c r="J38">
        <v>3</v>
      </c>
      <c r="K38" t="s">
        <v>474</v>
      </c>
      <c r="L38" t="s">
        <v>32</v>
      </c>
      <c r="M38" t="s">
        <v>180</v>
      </c>
      <c r="N38" t="s">
        <v>324</v>
      </c>
      <c r="O38" t="s">
        <v>29</v>
      </c>
      <c r="P38" t="s">
        <v>29</v>
      </c>
      <c r="Q38" t="s">
        <v>29</v>
      </c>
      <c r="R38" t="s">
        <v>29</v>
      </c>
      <c r="S38" t="s">
        <v>29</v>
      </c>
      <c r="T38" t="s">
        <v>29</v>
      </c>
      <c r="U38" t="s">
        <v>29</v>
      </c>
      <c r="V38" t="s">
        <v>37</v>
      </c>
      <c r="W38" t="s">
        <v>29</v>
      </c>
      <c r="X38" t="s">
        <v>29</v>
      </c>
      <c r="Y38" t="str">
        <f t="shared" si="1"/>
        <v>NEW</v>
      </c>
      <c r="Z38" s="3" t="s">
        <v>475</v>
      </c>
      <c r="AA38" t="s">
        <v>361</v>
      </c>
      <c r="AB38" s="3" t="s">
        <v>476</v>
      </c>
      <c r="AC38" t="s">
        <v>477</v>
      </c>
      <c r="AD38" t="s">
        <v>322</v>
      </c>
    </row>
    <row r="39" spans="1:30" ht="43.2" x14ac:dyDescent="0.3">
      <c r="A39" t="s">
        <v>478</v>
      </c>
      <c r="B39">
        <v>3</v>
      </c>
      <c r="C39" t="s">
        <v>438</v>
      </c>
      <c r="D39" t="s">
        <v>29</v>
      </c>
      <c r="E39" t="s">
        <v>29</v>
      </c>
      <c r="F39" t="s">
        <v>29</v>
      </c>
      <c r="G39" s="3" t="s">
        <v>479</v>
      </c>
      <c r="H39" t="s">
        <v>55</v>
      </c>
      <c r="I39">
        <v>1</v>
      </c>
      <c r="J39">
        <v>1</v>
      </c>
      <c r="K39" t="s">
        <v>478</v>
      </c>
      <c r="L39" t="s">
        <v>32</v>
      </c>
      <c r="M39" t="s">
        <v>79</v>
      </c>
      <c r="N39" t="s">
        <v>324</v>
      </c>
      <c r="O39" t="s">
        <v>29</v>
      </c>
      <c r="P39" t="s">
        <v>29</v>
      </c>
      <c r="Q39" t="s">
        <v>29</v>
      </c>
      <c r="R39" t="s">
        <v>29</v>
      </c>
      <c r="S39" t="s">
        <v>29</v>
      </c>
      <c r="T39" t="s">
        <v>29</v>
      </c>
      <c r="U39" t="s">
        <v>29</v>
      </c>
      <c r="V39" t="s">
        <v>37</v>
      </c>
      <c r="W39" t="s">
        <v>29</v>
      </c>
      <c r="X39" t="s">
        <v>29</v>
      </c>
      <c r="Y39" t="str">
        <f t="shared" si="1"/>
        <v>NEW</v>
      </c>
      <c r="Z39" s="3" t="s">
        <v>480</v>
      </c>
      <c r="AA39" t="s">
        <v>361</v>
      </c>
      <c r="AB39" s="3" t="s">
        <v>481</v>
      </c>
      <c r="AC39" t="s">
        <v>482</v>
      </c>
      <c r="AD39" t="s">
        <v>322</v>
      </c>
    </row>
    <row r="40" spans="1:30" ht="28.8" x14ac:dyDescent="0.3">
      <c r="A40" t="s">
        <v>483</v>
      </c>
      <c r="B40">
        <v>3</v>
      </c>
      <c r="C40" t="s">
        <v>438</v>
      </c>
      <c r="D40" t="s">
        <v>29</v>
      </c>
      <c r="E40" t="s">
        <v>29</v>
      </c>
      <c r="F40" t="s">
        <v>29</v>
      </c>
      <c r="G40" s="3" t="s">
        <v>484</v>
      </c>
      <c r="H40" t="s">
        <v>31</v>
      </c>
      <c r="I40">
        <v>0</v>
      </c>
      <c r="J40">
        <v>0</v>
      </c>
      <c r="K40" t="s">
        <v>483</v>
      </c>
      <c r="L40" t="s">
        <v>32</v>
      </c>
      <c r="M40" t="s">
        <v>33</v>
      </c>
      <c r="N40" t="s">
        <v>34</v>
      </c>
      <c r="O40" t="s">
        <v>29</v>
      </c>
      <c r="P40" t="s">
        <v>29</v>
      </c>
      <c r="Q40" t="s">
        <v>29</v>
      </c>
      <c r="R40" t="s">
        <v>29</v>
      </c>
      <c r="S40" t="s">
        <v>29</v>
      </c>
      <c r="T40" t="s">
        <v>29</v>
      </c>
      <c r="U40" t="s">
        <v>29</v>
      </c>
      <c r="V40" t="s">
        <v>37</v>
      </c>
      <c r="W40" t="s">
        <v>29</v>
      </c>
      <c r="X40" t="s">
        <v>29</v>
      </c>
      <c r="Y40" t="str">
        <f t="shared" si="1"/>
        <v>NEW</v>
      </c>
      <c r="Z40" s="3" t="s">
        <v>29</v>
      </c>
      <c r="AA40" t="s">
        <v>361</v>
      </c>
      <c r="AB40" s="3" t="s">
        <v>485</v>
      </c>
      <c r="AC40" t="s">
        <v>486</v>
      </c>
      <c r="AD40" t="s">
        <v>356</v>
      </c>
    </row>
    <row r="41" spans="1:30" ht="28.8" x14ac:dyDescent="0.3">
      <c r="A41" t="s">
        <v>487</v>
      </c>
      <c r="B41">
        <v>2</v>
      </c>
      <c r="C41" t="s">
        <v>99</v>
      </c>
      <c r="D41" t="s">
        <v>29</v>
      </c>
      <c r="E41" t="s">
        <v>29</v>
      </c>
      <c r="F41" t="s">
        <v>29</v>
      </c>
      <c r="G41" s="3" t="s">
        <v>488</v>
      </c>
      <c r="H41" t="s">
        <v>55</v>
      </c>
      <c r="I41">
        <v>1</v>
      </c>
      <c r="J41">
        <v>1</v>
      </c>
      <c r="K41" t="s">
        <v>487</v>
      </c>
      <c r="L41" t="s">
        <v>32</v>
      </c>
      <c r="M41" t="s">
        <v>79</v>
      </c>
      <c r="N41" t="s">
        <v>324</v>
      </c>
      <c r="O41" t="s">
        <v>29</v>
      </c>
      <c r="P41" t="s">
        <v>29</v>
      </c>
      <c r="Q41" t="s">
        <v>29</v>
      </c>
      <c r="R41" t="s">
        <v>29</v>
      </c>
      <c r="S41" t="s">
        <v>29</v>
      </c>
      <c r="T41" t="s">
        <v>29</v>
      </c>
      <c r="U41" t="s">
        <v>29</v>
      </c>
      <c r="V41" t="s">
        <v>37</v>
      </c>
      <c r="W41" t="s">
        <v>29</v>
      </c>
      <c r="X41" t="s">
        <v>29</v>
      </c>
      <c r="Y41" t="str">
        <f t="shared" si="1"/>
        <v>NEW</v>
      </c>
      <c r="Z41" s="3" t="s">
        <v>29</v>
      </c>
      <c r="AA41" t="s">
        <v>382</v>
      </c>
      <c r="AB41" s="3" t="s">
        <v>489</v>
      </c>
      <c r="AC41" t="s">
        <v>403</v>
      </c>
      <c r="AD41" t="s">
        <v>356</v>
      </c>
    </row>
    <row r="42" spans="1:30" x14ac:dyDescent="0.3">
      <c r="A42" t="s">
        <v>490</v>
      </c>
      <c r="B42">
        <v>3</v>
      </c>
      <c r="C42" t="s">
        <v>438</v>
      </c>
      <c r="D42" t="s">
        <v>353</v>
      </c>
      <c r="E42" t="s">
        <v>63</v>
      </c>
      <c r="F42" t="s">
        <v>50</v>
      </c>
      <c r="G42" s="3" t="s">
        <v>491</v>
      </c>
      <c r="H42" t="s">
        <v>31</v>
      </c>
      <c r="I42">
        <v>0</v>
      </c>
      <c r="J42">
        <v>0</v>
      </c>
      <c r="K42" t="s">
        <v>492</v>
      </c>
      <c r="L42" t="s">
        <v>32</v>
      </c>
      <c r="M42" t="s">
        <v>33</v>
      </c>
      <c r="N42" t="s">
        <v>493</v>
      </c>
      <c r="O42" t="s">
        <v>35</v>
      </c>
      <c r="P42" t="s">
        <v>36</v>
      </c>
      <c r="Q42" t="s">
        <v>35</v>
      </c>
      <c r="R42" t="s">
        <v>36</v>
      </c>
      <c r="S42" t="s">
        <v>35</v>
      </c>
      <c r="T42" t="s">
        <v>36</v>
      </c>
      <c r="U42" t="s">
        <v>29</v>
      </c>
      <c r="V42" t="s">
        <v>37</v>
      </c>
      <c r="W42" t="s">
        <v>29</v>
      </c>
      <c r="X42" t="s">
        <v>29</v>
      </c>
      <c r="Y42" t="str">
        <f t="shared" si="1"/>
        <v>NEW</v>
      </c>
      <c r="Z42" s="3" t="s">
        <v>29</v>
      </c>
      <c r="AA42" t="s">
        <v>320</v>
      </c>
      <c r="AB42" s="3" t="s">
        <v>29</v>
      </c>
      <c r="AC42" t="s">
        <v>29</v>
      </c>
      <c r="AD42" t="s">
        <v>330</v>
      </c>
    </row>
    <row r="43" spans="1:30" x14ac:dyDescent="0.3">
      <c r="A43" t="s">
        <v>494</v>
      </c>
      <c r="B43">
        <v>3</v>
      </c>
      <c r="C43" t="s">
        <v>99</v>
      </c>
      <c r="D43" t="s">
        <v>495</v>
      </c>
      <c r="E43" t="s">
        <v>29</v>
      </c>
      <c r="F43" t="s">
        <v>29</v>
      </c>
      <c r="G43" s="3" t="s">
        <v>496</v>
      </c>
      <c r="H43" t="s">
        <v>55</v>
      </c>
      <c r="I43">
        <v>1</v>
      </c>
      <c r="J43">
        <v>2</v>
      </c>
      <c r="K43" t="s">
        <v>494</v>
      </c>
      <c r="L43" t="s">
        <v>32</v>
      </c>
      <c r="M43" t="s">
        <v>79</v>
      </c>
      <c r="N43" t="s">
        <v>324</v>
      </c>
      <c r="O43" t="s">
        <v>56</v>
      </c>
      <c r="P43" t="s">
        <v>102</v>
      </c>
      <c r="Q43" t="s">
        <v>29</v>
      </c>
      <c r="R43" t="s">
        <v>29</v>
      </c>
      <c r="S43" t="s">
        <v>29</v>
      </c>
      <c r="T43" t="s">
        <v>29</v>
      </c>
      <c r="U43" t="s">
        <v>29</v>
      </c>
      <c r="V43" t="s">
        <v>37</v>
      </c>
      <c r="W43" t="s">
        <v>29</v>
      </c>
      <c r="X43" t="s">
        <v>29</v>
      </c>
      <c r="Y43" t="str">
        <f t="shared" si="1"/>
        <v>NEW</v>
      </c>
      <c r="Z43" s="3" t="s">
        <v>29</v>
      </c>
      <c r="AA43" t="s">
        <v>320</v>
      </c>
      <c r="AB43" s="3" t="s">
        <v>29</v>
      </c>
      <c r="AC43" t="s">
        <v>497</v>
      </c>
      <c r="AD43" t="s">
        <v>330</v>
      </c>
    </row>
    <row r="44" spans="1:30" x14ac:dyDescent="0.3">
      <c r="A44" t="s">
        <v>98</v>
      </c>
      <c r="B44">
        <v>2</v>
      </c>
      <c r="C44" t="s">
        <v>99</v>
      </c>
      <c r="D44" t="s">
        <v>498</v>
      </c>
      <c r="E44" t="s">
        <v>29</v>
      </c>
      <c r="F44" t="s">
        <v>29</v>
      </c>
      <c r="G44" s="3" t="s">
        <v>499</v>
      </c>
      <c r="H44" t="s">
        <v>31</v>
      </c>
      <c r="I44">
        <v>0</v>
      </c>
      <c r="J44">
        <v>0</v>
      </c>
      <c r="K44" t="s">
        <v>98</v>
      </c>
      <c r="L44" t="s">
        <v>32</v>
      </c>
      <c r="M44" t="s">
        <v>79</v>
      </c>
      <c r="N44" t="s">
        <v>324</v>
      </c>
      <c r="O44" t="s">
        <v>35</v>
      </c>
      <c r="P44" t="s">
        <v>102</v>
      </c>
      <c r="Q44" t="s">
        <v>29</v>
      </c>
      <c r="R44" t="s">
        <v>29</v>
      </c>
      <c r="S44" t="s">
        <v>29</v>
      </c>
      <c r="T44" t="s">
        <v>29</v>
      </c>
      <c r="U44" t="s">
        <v>29</v>
      </c>
      <c r="V44" t="s">
        <v>37</v>
      </c>
      <c r="W44" t="s">
        <v>29</v>
      </c>
      <c r="X44" t="s">
        <v>29</v>
      </c>
      <c r="Y44" t="str">
        <f t="shared" si="1"/>
        <v>NEW</v>
      </c>
      <c r="Z44" s="3" t="s">
        <v>29</v>
      </c>
      <c r="AA44" t="s">
        <v>320</v>
      </c>
      <c r="AB44" s="3" t="s">
        <v>29</v>
      </c>
      <c r="AC44" t="s">
        <v>500</v>
      </c>
      <c r="AD44" t="s">
        <v>322</v>
      </c>
    </row>
    <row r="45" spans="1:30" x14ac:dyDescent="0.3">
      <c r="A45" t="s">
        <v>501</v>
      </c>
      <c r="B45">
        <v>3</v>
      </c>
      <c r="C45" t="s">
        <v>438</v>
      </c>
      <c r="D45" t="s">
        <v>53</v>
      </c>
      <c r="E45" t="s">
        <v>439</v>
      </c>
      <c r="F45" t="s">
        <v>440</v>
      </c>
      <c r="G45" s="3" t="s">
        <v>502</v>
      </c>
      <c r="H45" t="s">
        <v>55</v>
      </c>
      <c r="I45">
        <v>1</v>
      </c>
      <c r="J45">
        <v>3</v>
      </c>
      <c r="K45" t="s">
        <v>503</v>
      </c>
      <c r="L45" t="s">
        <v>32</v>
      </c>
      <c r="M45" t="s">
        <v>33</v>
      </c>
      <c r="N45" t="s">
        <v>34</v>
      </c>
      <c r="O45" t="s">
        <v>56</v>
      </c>
      <c r="P45" t="s">
        <v>36</v>
      </c>
      <c r="Q45" t="s">
        <v>35</v>
      </c>
      <c r="R45" t="s">
        <v>36</v>
      </c>
      <c r="S45" t="s">
        <v>35</v>
      </c>
      <c r="T45" t="s">
        <v>36</v>
      </c>
      <c r="U45" t="s">
        <v>29</v>
      </c>
      <c r="V45" t="s">
        <v>37</v>
      </c>
      <c r="W45" t="s">
        <v>29</v>
      </c>
      <c r="X45" t="s">
        <v>29</v>
      </c>
      <c r="Y45" t="str">
        <f t="shared" si="1"/>
        <v>NEW</v>
      </c>
      <c r="Z45" s="3" t="s">
        <v>29</v>
      </c>
      <c r="AA45" t="s">
        <v>320</v>
      </c>
      <c r="AB45" s="3" t="s">
        <v>29</v>
      </c>
      <c r="AC45" t="s">
        <v>29</v>
      </c>
      <c r="AD45" t="s">
        <v>330</v>
      </c>
    </row>
    <row r="46" spans="1:30" x14ac:dyDescent="0.3">
      <c r="A46" t="s">
        <v>504</v>
      </c>
      <c r="B46">
        <v>3</v>
      </c>
      <c r="C46" t="s">
        <v>99</v>
      </c>
      <c r="D46" t="s">
        <v>505</v>
      </c>
      <c r="E46" t="s">
        <v>29</v>
      </c>
      <c r="F46" t="s">
        <v>29</v>
      </c>
      <c r="G46" s="3" t="s">
        <v>506</v>
      </c>
      <c r="H46" t="s">
        <v>55</v>
      </c>
      <c r="I46">
        <v>1</v>
      </c>
      <c r="J46">
        <v>1</v>
      </c>
      <c r="K46" t="s">
        <v>504</v>
      </c>
      <c r="L46" t="s">
        <v>32</v>
      </c>
      <c r="M46" t="s">
        <v>79</v>
      </c>
      <c r="N46" t="s">
        <v>324</v>
      </c>
      <c r="O46" t="s">
        <v>56</v>
      </c>
      <c r="P46" t="s">
        <v>36</v>
      </c>
      <c r="Q46" t="s">
        <v>29</v>
      </c>
      <c r="R46" t="s">
        <v>29</v>
      </c>
      <c r="S46" t="s">
        <v>29</v>
      </c>
      <c r="T46" t="s">
        <v>29</v>
      </c>
      <c r="U46" t="s">
        <v>29</v>
      </c>
      <c r="V46" t="s">
        <v>37</v>
      </c>
      <c r="W46" t="s">
        <v>29</v>
      </c>
      <c r="X46" t="s">
        <v>29</v>
      </c>
      <c r="Y46" t="str">
        <f t="shared" si="1"/>
        <v>NEW</v>
      </c>
      <c r="Z46" s="3" t="s">
        <v>29</v>
      </c>
      <c r="AA46" t="s">
        <v>320</v>
      </c>
      <c r="AB46" s="3" t="s">
        <v>29</v>
      </c>
      <c r="AC46" t="s">
        <v>29</v>
      </c>
      <c r="AD46" t="s">
        <v>356</v>
      </c>
    </row>
    <row r="47" spans="1:30" ht="43.2" x14ac:dyDescent="0.3">
      <c r="A47" t="s">
        <v>507</v>
      </c>
      <c r="B47">
        <v>3</v>
      </c>
      <c r="C47" t="s">
        <v>99</v>
      </c>
      <c r="D47" t="s">
        <v>29</v>
      </c>
      <c r="E47" t="s">
        <v>29</v>
      </c>
      <c r="F47" t="s">
        <v>29</v>
      </c>
      <c r="G47" s="3" t="s">
        <v>508</v>
      </c>
      <c r="H47" t="s">
        <v>55</v>
      </c>
      <c r="I47">
        <v>1</v>
      </c>
      <c r="J47">
        <v>2</v>
      </c>
      <c r="K47" t="s">
        <v>509</v>
      </c>
      <c r="L47" t="s">
        <v>32</v>
      </c>
      <c r="M47" t="s">
        <v>107</v>
      </c>
      <c r="N47" t="s">
        <v>510</v>
      </c>
      <c r="O47" t="s">
        <v>29</v>
      </c>
      <c r="P47" t="s">
        <v>29</v>
      </c>
      <c r="Q47" t="s">
        <v>29</v>
      </c>
      <c r="R47" t="s">
        <v>29</v>
      </c>
      <c r="S47" t="s">
        <v>29</v>
      </c>
      <c r="T47" t="s">
        <v>29</v>
      </c>
      <c r="U47" t="s">
        <v>29</v>
      </c>
      <c r="V47" t="s">
        <v>37</v>
      </c>
      <c r="W47" t="s">
        <v>29</v>
      </c>
      <c r="X47" t="s">
        <v>29</v>
      </c>
      <c r="Y47" t="str">
        <f t="shared" si="1"/>
        <v>NEW</v>
      </c>
      <c r="Z47" s="3" t="s">
        <v>511</v>
      </c>
      <c r="AA47" t="s">
        <v>382</v>
      </c>
      <c r="AB47" s="3" t="s">
        <v>512</v>
      </c>
      <c r="AC47" t="s">
        <v>411</v>
      </c>
      <c r="AD47" t="s">
        <v>322</v>
      </c>
    </row>
    <row r="48" spans="1:30" x14ac:dyDescent="0.3">
      <c r="A48" t="s">
        <v>513</v>
      </c>
      <c r="B48">
        <v>3</v>
      </c>
      <c r="C48" t="s">
        <v>438</v>
      </c>
      <c r="D48" t="s">
        <v>164</v>
      </c>
      <c r="E48" t="s">
        <v>439</v>
      </c>
      <c r="F48" t="s">
        <v>29</v>
      </c>
      <c r="G48" s="3" t="s">
        <v>514</v>
      </c>
      <c r="H48" t="s">
        <v>31</v>
      </c>
      <c r="I48">
        <v>0</v>
      </c>
      <c r="J48">
        <v>0</v>
      </c>
      <c r="K48" t="s">
        <v>515</v>
      </c>
      <c r="L48" t="s">
        <v>32</v>
      </c>
      <c r="M48" t="s">
        <v>74</v>
      </c>
      <c r="N48" t="s">
        <v>516</v>
      </c>
      <c r="O48" t="s">
        <v>35</v>
      </c>
      <c r="P48" t="s">
        <v>60</v>
      </c>
      <c r="Q48" t="s">
        <v>35</v>
      </c>
      <c r="R48" t="s">
        <v>60</v>
      </c>
      <c r="S48" t="s">
        <v>29</v>
      </c>
      <c r="T48" t="s">
        <v>29</v>
      </c>
      <c r="U48" t="s">
        <v>29</v>
      </c>
      <c r="V48" t="s">
        <v>37</v>
      </c>
      <c r="W48" t="s">
        <v>29</v>
      </c>
      <c r="X48" t="s">
        <v>29</v>
      </c>
      <c r="Y48" t="str">
        <f t="shared" si="1"/>
        <v>NEW</v>
      </c>
      <c r="Z48" s="3" t="s">
        <v>29</v>
      </c>
      <c r="AA48" t="s">
        <v>320</v>
      </c>
      <c r="AB48" s="3" t="s">
        <v>29</v>
      </c>
      <c r="AC48" t="s">
        <v>436</v>
      </c>
      <c r="AD48" t="s">
        <v>330</v>
      </c>
    </row>
    <row r="49" spans="1:30" x14ac:dyDescent="0.3">
      <c r="A49" t="s">
        <v>517</v>
      </c>
      <c r="B49">
        <v>3</v>
      </c>
      <c r="C49" t="s">
        <v>99</v>
      </c>
      <c r="D49" t="s">
        <v>467</v>
      </c>
      <c r="E49" t="s">
        <v>29</v>
      </c>
      <c r="F49" t="s">
        <v>29</v>
      </c>
      <c r="G49" s="3" t="s">
        <v>518</v>
      </c>
      <c r="H49" t="s">
        <v>31</v>
      </c>
      <c r="I49">
        <v>0</v>
      </c>
      <c r="J49">
        <v>0</v>
      </c>
      <c r="K49" t="s">
        <v>519</v>
      </c>
      <c r="L49" t="s">
        <v>32</v>
      </c>
      <c r="M49" t="s">
        <v>79</v>
      </c>
      <c r="N49" t="s">
        <v>324</v>
      </c>
      <c r="O49" t="s">
        <v>35</v>
      </c>
      <c r="P49" t="s">
        <v>60</v>
      </c>
      <c r="Q49" t="s">
        <v>29</v>
      </c>
      <c r="R49" t="s">
        <v>29</v>
      </c>
      <c r="S49" t="s">
        <v>29</v>
      </c>
      <c r="T49" t="s">
        <v>29</v>
      </c>
      <c r="U49" t="s">
        <v>29</v>
      </c>
      <c r="V49" t="s">
        <v>37</v>
      </c>
      <c r="W49" t="s">
        <v>29</v>
      </c>
      <c r="X49" t="s">
        <v>29</v>
      </c>
      <c r="Y49" t="str">
        <f t="shared" si="1"/>
        <v>NEW</v>
      </c>
      <c r="Z49" s="3" t="s">
        <v>29</v>
      </c>
      <c r="AA49" t="s">
        <v>320</v>
      </c>
      <c r="AB49" s="3" t="s">
        <v>29</v>
      </c>
      <c r="AC49" t="s">
        <v>29</v>
      </c>
      <c r="AD49" t="s">
        <v>330</v>
      </c>
    </row>
    <row r="50" spans="1:30" ht="28.8" x14ac:dyDescent="0.3">
      <c r="A50" t="s">
        <v>520</v>
      </c>
      <c r="B50">
        <v>3</v>
      </c>
      <c r="C50" t="s">
        <v>438</v>
      </c>
      <c r="D50" t="s">
        <v>440</v>
      </c>
      <c r="E50" t="s">
        <v>40</v>
      </c>
      <c r="F50" t="s">
        <v>29</v>
      </c>
      <c r="G50" s="3" t="s">
        <v>521</v>
      </c>
      <c r="H50" t="s">
        <v>31</v>
      </c>
      <c r="I50">
        <v>0</v>
      </c>
      <c r="J50">
        <v>0</v>
      </c>
      <c r="K50" t="s">
        <v>522</v>
      </c>
      <c r="L50" t="s">
        <v>32</v>
      </c>
      <c r="M50" t="s">
        <v>33</v>
      </c>
      <c r="N50" t="s">
        <v>34</v>
      </c>
      <c r="O50" t="s">
        <v>35</v>
      </c>
      <c r="P50" t="s">
        <v>36</v>
      </c>
      <c r="Q50" t="s">
        <v>35</v>
      </c>
      <c r="R50" t="s">
        <v>36</v>
      </c>
      <c r="S50" t="s">
        <v>29</v>
      </c>
      <c r="T50" t="s">
        <v>29</v>
      </c>
      <c r="U50" t="s">
        <v>29</v>
      </c>
      <c r="V50" t="s">
        <v>37</v>
      </c>
      <c r="W50" t="s">
        <v>29</v>
      </c>
      <c r="X50" t="s">
        <v>29</v>
      </c>
      <c r="Y50" t="str">
        <f t="shared" si="1"/>
        <v>NEW</v>
      </c>
      <c r="Z50" s="3" t="s">
        <v>523</v>
      </c>
      <c r="AA50" t="s">
        <v>320</v>
      </c>
      <c r="AB50" s="3" t="s">
        <v>29</v>
      </c>
      <c r="AC50" t="s">
        <v>29</v>
      </c>
      <c r="AD50" t="s">
        <v>356</v>
      </c>
    </row>
    <row r="51" spans="1:30" ht="28.8" x14ac:dyDescent="0.3">
      <c r="A51" t="s">
        <v>524</v>
      </c>
      <c r="B51">
        <v>2</v>
      </c>
      <c r="C51" t="s">
        <v>438</v>
      </c>
      <c r="D51" t="s">
        <v>29</v>
      </c>
      <c r="E51" t="s">
        <v>29</v>
      </c>
      <c r="F51" t="s">
        <v>29</v>
      </c>
      <c r="G51" s="3" t="s">
        <v>525</v>
      </c>
      <c r="H51" t="s">
        <v>31</v>
      </c>
      <c r="I51">
        <v>0</v>
      </c>
      <c r="J51">
        <v>0</v>
      </c>
      <c r="K51" t="s">
        <v>526</v>
      </c>
      <c r="L51" t="s">
        <v>32</v>
      </c>
      <c r="M51" t="s">
        <v>79</v>
      </c>
      <c r="N51" t="s">
        <v>324</v>
      </c>
      <c r="O51" t="s">
        <v>29</v>
      </c>
      <c r="P51" t="s">
        <v>29</v>
      </c>
      <c r="Q51" t="s">
        <v>29</v>
      </c>
      <c r="R51" t="s">
        <v>29</v>
      </c>
      <c r="S51" t="s">
        <v>29</v>
      </c>
      <c r="T51" t="s">
        <v>29</v>
      </c>
      <c r="U51" t="s">
        <v>29</v>
      </c>
      <c r="V51" t="s">
        <v>37</v>
      </c>
      <c r="W51" t="s">
        <v>29</v>
      </c>
      <c r="X51" t="s">
        <v>29</v>
      </c>
      <c r="Y51" t="str">
        <f t="shared" si="1"/>
        <v>NEW</v>
      </c>
      <c r="Z51" s="3" t="s">
        <v>29</v>
      </c>
      <c r="AA51" t="s">
        <v>361</v>
      </c>
      <c r="AB51" s="3" t="s">
        <v>527</v>
      </c>
      <c r="AC51" t="s">
        <v>403</v>
      </c>
      <c r="AD51" t="s">
        <v>356</v>
      </c>
    </row>
  </sheetData>
  <autoFilter ref="A1:AD51" xr:uid="{00000000-0009-0000-0000-000005000000}"/>
  <conditionalFormatting sqref="Y2:Y51">
    <cfRule type="cellIs" dxfId="9" priority="1" operator="equal">
      <formula>"NEW"</formula>
    </cfRule>
  </conditionalFormatting>
  <dataValidations count="9">
    <dataValidation type="list" allowBlank="1" sqref="L2:L251" xr:uid="{00000000-0002-0000-0500-000000000000}">
      <formula1>list_Class</formula1>
    </dataValidation>
    <dataValidation type="list" allowBlank="1" sqref="M2:M251" xr:uid="{00000000-0002-0000-0500-000001000000}">
      <formula1>list_Folder</formula1>
    </dataValidation>
    <dataValidation type="list" allowBlank="1" sqref="C2:C251" xr:uid="{00000000-0002-0000-0500-000002000000}">
      <formula1>list_Rarity</formula1>
    </dataValidation>
    <dataValidation type="list" allowBlank="1" sqref="H2:H251" xr:uid="{00000000-0002-0000-0500-000003000000}">
      <formula1>list_Shape</formula1>
    </dataValidation>
    <dataValidation type="list" allowBlank="1" sqref="O2:O251 S2:S251 Q2:Q251" xr:uid="{00000000-0002-0000-0500-000004000000}">
      <formula1>list_Aim</formula1>
    </dataValidation>
    <dataValidation type="list" allowBlank="1" sqref="D2:F251" xr:uid="{00000000-0002-0000-0500-000007000000}">
      <formula1>list_Effect</formula1>
    </dataValidation>
    <dataValidation type="list" allowBlank="1" sqref="V2:V251" xr:uid="{00000000-0002-0000-0500-00000A000000}">
      <formula1>list_Bool</formula1>
    </dataValidation>
    <dataValidation type="list" allowBlank="1" sqref="AA2:AA251" xr:uid="{00000000-0002-0000-0500-00000B000000}">
      <formula1>list_Buildable</formula1>
    </dataValidation>
    <dataValidation type="list" allowBlank="1" sqref="AD2:AD251" xr:uid="{00000000-0002-0000-0500-00000C000000}">
      <formula1>list_Priority</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5546875" customWidth="1"/>
    <col min="2" max="2" width="9.109375" customWidth="1"/>
    <col min="3" max="3" width="11.6640625" customWidth="1"/>
    <col min="4" max="5" width="18.44140625" customWidth="1"/>
    <col min="6" max="6" width="9.109375" customWidth="1"/>
    <col min="7" max="7" width="52" style="3" customWidth="1"/>
    <col min="8" max="8" width="12.6640625" customWidth="1"/>
    <col min="9" max="9" width="10.77734375" customWidth="1"/>
    <col min="10" max="10" width="11.109375" customWidth="1"/>
    <col min="11" max="11" width="18.109375"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20.8867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311</v>
      </c>
      <c r="AB1" s="4" t="s">
        <v>312</v>
      </c>
      <c r="AC1" s="2" t="s">
        <v>313</v>
      </c>
      <c r="AD1" s="2" t="s">
        <v>314</v>
      </c>
    </row>
    <row r="2" spans="1:30" x14ac:dyDescent="0.3">
      <c r="A2" t="s">
        <v>528</v>
      </c>
      <c r="B2">
        <v>1</v>
      </c>
      <c r="C2" t="s">
        <v>44</v>
      </c>
      <c r="D2" t="s">
        <v>498</v>
      </c>
      <c r="E2" t="s">
        <v>29</v>
      </c>
      <c r="F2" t="s">
        <v>29</v>
      </c>
      <c r="G2" s="3" t="s">
        <v>529</v>
      </c>
      <c r="H2" t="s">
        <v>55</v>
      </c>
      <c r="I2">
        <v>1</v>
      </c>
      <c r="J2">
        <v>4</v>
      </c>
      <c r="K2" t="s">
        <v>528</v>
      </c>
      <c r="L2" t="s">
        <v>145</v>
      </c>
      <c r="M2" t="s">
        <v>180</v>
      </c>
      <c r="N2" t="s">
        <v>324</v>
      </c>
      <c r="O2" t="s">
        <v>56</v>
      </c>
      <c r="P2" t="s">
        <v>36</v>
      </c>
      <c r="Q2" t="s">
        <v>29</v>
      </c>
      <c r="R2" t="s">
        <v>29</v>
      </c>
      <c r="S2" t="s">
        <v>29</v>
      </c>
      <c r="T2" t="s">
        <v>29</v>
      </c>
      <c r="U2" t="s">
        <v>29</v>
      </c>
      <c r="V2" t="s">
        <v>37</v>
      </c>
      <c r="W2" t="s">
        <v>29</v>
      </c>
      <c r="X2" t="s">
        <v>29</v>
      </c>
      <c r="Y2" t="str">
        <f t="shared" ref="Y2:Y33" si="0">IF($X2="","NEW","Live")</f>
        <v>NEW</v>
      </c>
      <c r="Z2" s="3" t="s">
        <v>29</v>
      </c>
      <c r="AA2" t="s">
        <v>320</v>
      </c>
      <c r="AB2" s="3" t="s">
        <v>29</v>
      </c>
      <c r="AC2" t="s">
        <v>29</v>
      </c>
      <c r="AD2" t="s">
        <v>330</v>
      </c>
    </row>
    <row r="3" spans="1:30" ht="28.8" x14ac:dyDescent="0.3">
      <c r="A3" t="s">
        <v>530</v>
      </c>
      <c r="B3">
        <v>0</v>
      </c>
      <c r="C3" t="s">
        <v>44</v>
      </c>
      <c r="D3" t="s">
        <v>266</v>
      </c>
      <c r="E3" t="s">
        <v>29</v>
      </c>
      <c r="F3" t="s">
        <v>29</v>
      </c>
      <c r="G3" s="3" t="s">
        <v>531</v>
      </c>
      <c r="H3" t="s">
        <v>55</v>
      </c>
      <c r="I3">
        <v>1</v>
      </c>
      <c r="J3">
        <v>4</v>
      </c>
      <c r="K3" t="s">
        <v>532</v>
      </c>
      <c r="L3" t="s">
        <v>145</v>
      </c>
      <c r="M3" t="s">
        <v>180</v>
      </c>
      <c r="N3" t="s">
        <v>324</v>
      </c>
      <c r="O3" t="s">
        <v>56</v>
      </c>
      <c r="P3" t="s">
        <v>36</v>
      </c>
      <c r="Q3" t="s">
        <v>29</v>
      </c>
      <c r="R3" t="s">
        <v>29</v>
      </c>
      <c r="S3" t="s">
        <v>29</v>
      </c>
      <c r="T3" t="s">
        <v>29</v>
      </c>
      <c r="U3" t="s">
        <v>29</v>
      </c>
      <c r="V3" t="s">
        <v>37</v>
      </c>
      <c r="W3" t="s">
        <v>29</v>
      </c>
      <c r="X3" t="s">
        <v>29</v>
      </c>
      <c r="Y3" t="str">
        <f t="shared" si="0"/>
        <v>NEW</v>
      </c>
      <c r="Z3" s="3" t="s">
        <v>533</v>
      </c>
      <c r="AA3" t="s">
        <v>320</v>
      </c>
      <c r="AB3" s="3" t="s">
        <v>29</v>
      </c>
      <c r="AC3" t="s">
        <v>436</v>
      </c>
      <c r="AD3" t="s">
        <v>322</v>
      </c>
    </row>
    <row r="4" spans="1:30" x14ac:dyDescent="0.3">
      <c r="A4" t="s">
        <v>534</v>
      </c>
      <c r="B4">
        <v>1</v>
      </c>
      <c r="C4" t="s">
        <v>44</v>
      </c>
      <c r="D4" t="s">
        <v>77</v>
      </c>
      <c r="E4" t="s">
        <v>29</v>
      </c>
      <c r="F4" t="s">
        <v>29</v>
      </c>
      <c r="G4" s="3" t="s">
        <v>179</v>
      </c>
      <c r="H4" t="s">
        <v>55</v>
      </c>
      <c r="I4">
        <v>1</v>
      </c>
      <c r="J4">
        <v>3</v>
      </c>
      <c r="K4" t="s">
        <v>534</v>
      </c>
      <c r="L4" t="s">
        <v>145</v>
      </c>
      <c r="M4" t="s">
        <v>180</v>
      </c>
      <c r="N4" t="s">
        <v>535</v>
      </c>
      <c r="O4" t="s">
        <v>56</v>
      </c>
      <c r="P4" t="s">
        <v>36</v>
      </c>
      <c r="Q4" t="s">
        <v>29</v>
      </c>
      <c r="R4" t="s">
        <v>29</v>
      </c>
      <c r="S4" t="s">
        <v>29</v>
      </c>
      <c r="T4" t="s">
        <v>29</v>
      </c>
      <c r="U4" t="s">
        <v>29</v>
      </c>
      <c r="V4" t="s">
        <v>37</v>
      </c>
      <c r="W4" t="s">
        <v>29</v>
      </c>
      <c r="X4" t="s">
        <v>29</v>
      </c>
      <c r="Y4" t="str">
        <f t="shared" si="0"/>
        <v>NEW</v>
      </c>
      <c r="Z4" s="3" t="s">
        <v>29</v>
      </c>
      <c r="AA4" t="s">
        <v>320</v>
      </c>
      <c r="AB4" s="3" t="s">
        <v>29</v>
      </c>
      <c r="AC4" t="s">
        <v>29</v>
      </c>
      <c r="AD4" t="s">
        <v>330</v>
      </c>
    </row>
    <row r="5" spans="1:30" x14ac:dyDescent="0.3">
      <c r="A5" t="s">
        <v>536</v>
      </c>
      <c r="B5">
        <v>2</v>
      </c>
      <c r="C5" t="s">
        <v>99</v>
      </c>
      <c r="D5" t="s">
        <v>100</v>
      </c>
      <c r="E5" t="s">
        <v>29</v>
      </c>
      <c r="F5" t="s">
        <v>29</v>
      </c>
      <c r="G5" s="3" t="s">
        <v>537</v>
      </c>
      <c r="H5" t="s">
        <v>55</v>
      </c>
      <c r="I5">
        <v>1</v>
      </c>
      <c r="J5">
        <v>3</v>
      </c>
      <c r="K5" t="s">
        <v>538</v>
      </c>
      <c r="L5" t="s">
        <v>145</v>
      </c>
      <c r="M5" t="s">
        <v>180</v>
      </c>
      <c r="N5" t="s">
        <v>324</v>
      </c>
      <c r="O5" t="s">
        <v>56</v>
      </c>
      <c r="P5" t="s">
        <v>60</v>
      </c>
      <c r="Q5" t="s">
        <v>29</v>
      </c>
      <c r="R5" t="s">
        <v>29</v>
      </c>
      <c r="S5" t="s">
        <v>29</v>
      </c>
      <c r="T5" t="s">
        <v>29</v>
      </c>
      <c r="U5" t="s">
        <v>29</v>
      </c>
      <c r="V5" t="s">
        <v>37</v>
      </c>
      <c r="W5" t="s">
        <v>29</v>
      </c>
      <c r="X5" t="s">
        <v>29</v>
      </c>
      <c r="Y5" t="str">
        <f t="shared" si="0"/>
        <v>NEW</v>
      </c>
      <c r="Z5" s="3" t="s">
        <v>29</v>
      </c>
      <c r="AA5" t="s">
        <v>320</v>
      </c>
      <c r="AB5" s="3" t="s">
        <v>29</v>
      </c>
      <c r="AC5" t="s">
        <v>436</v>
      </c>
      <c r="AD5" t="s">
        <v>330</v>
      </c>
    </row>
    <row r="6" spans="1:30" x14ac:dyDescent="0.3">
      <c r="A6" t="s">
        <v>539</v>
      </c>
      <c r="B6">
        <v>3</v>
      </c>
      <c r="C6" t="s">
        <v>99</v>
      </c>
      <c r="D6" t="s">
        <v>337</v>
      </c>
      <c r="E6" t="s">
        <v>29</v>
      </c>
      <c r="F6" t="s">
        <v>29</v>
      </c>
      <c r="G6" s="3" t="s">
        <v>540</v>
      </c>
      <c r="H6" t="s">
        <v>55</v>
      </c>
      <c r="I6">
        <v>1</v>
      </c>
      <c r="J6">
        <v>4</v>
      </c>
      <c r="K6" t="s">
        <v>539</v>
      </c>
      <c r="L6" t="s">
        <v>145</v>
      </c>
      <c r="M6" t="s">
        <v>180</v>
      </c>
      <c r="N6" t="s">
        <v>535</v>
      </c>
      <c r="O6" t="s">
        <v>56</v>
      </c>
      <c r="P6" t="s">
        <v>102</v>
      </c>
      <c r="Q6" t="s">
        <v>29</v>
      </c>
      <c r="R6" t="s">
        <v>29</v>
      </c>
      <c r="S6" t="s">
        <v>29</v>
      </c>
      <c r="T6" t="s">
        <v>29</v>
      </c>
      <c r="U6" t="s">
        <v>29</v>
      </c>
      <c r="V6" t="s">
        <v>37</v>
      </c>
      <c r="W6" t="s">
        <v>29</v>
      </c>
      <c r="X6" t="s">
        <v>29</v>
      </c>
      <c r="Y6" t="str">
        <f t="shared" si="0"/>
        <v>NEW</v>
      </c>
      <c r="Z6" s="3" t="s">
        <v>29</v>
      </c>
      <c r="AA6" t="s">
        <v>320</v>
      </c>
      <c r="AB6" s="3" t="s">
        <v>29</v>
      </c>
      <c r="AC6" t="s">
        <v>541</v>
      </c>
      <c r="AD6" t="s">
        <v>330</v>
      </c>
    </row>
    <row r="7" spans="1:30" x14ac:dyDescent="0.3">
      <c r="A7" t="s">
        <v>542</v>
      </c>
      <c r="B7">
        <v>1</v>
      </c>
      <c r="C7" t="s">
        <v>27</v>
      </c>
      <c r="D7" t="s">
        <v>45</v>
      </c>
      <c r="E7" t="s">
        <v>29</v>
      </c>
      <c r="F7" t="s">
        <v>29</v>
      </c>
      <c r="G7" s="3" t="s">
        <v>46</v>
      </c>
      <c r="H7" t="s">
        <v>31</v>
      </c>
      <c r="I7">
        <v>0</v>
      </c>
      <c r="J7">
        <v>0</v>
      </c>
      <c r="K7" t="s">
        <v>543</v>
      </c>
      <c r="L7" t="s">
        <v>145</v>
      </c>
      <c r="M7" t="s">
        <v>33</v>
      </c>
      <c r="N7" t="s">
        <v>34</v>
      </c>
      <c r="O7" t="s">
        <v>35</v>
      </c>
      <c r="P7" t="s">
        <v>36</v>
      </c>
      <c r="Q7" t="s">
        <v>29</v>
      </c>
      <c r="R7" t="s">
        <v>29</v>
      </c>
      <c r="S7" t="s">
        <v>29</v>
      </c>
      <c r="T7" t="s">
        <v>29</v>
      </c>
      <c r="U7" t="s">
        <v>29</v>
      </c>
      <c r="V7" t="s">
        <v>37</v>
      </c>
      <c r="W7" t="s">
        <v>29</v>
      </c>
      <c r="X7" t="s">
        <v>29</v>
      </c>
      <c r="Y7" t="str">
        <f t="shared" si="0"/>
        <v>NEW</v>
      </c>
      <c r="Z7" s="3" t="s">
        <v>29</v>
      </c>
      <c r="AA7" t="s">
        <v>320</v>
      </c>
      <c r="AB7" s="3" t="s">
        <v>29</v>
      </c>
      <c r="AC7" t="s">
        <v>29</v>
      </c>
      <c r="AD7" t="s">
        <v>330</v>
      </c>
    </row>
    <row r="8" spans="1:30" x14ac:dyDescent="0.3">
      <c r="A8" t="s">
        <v>544</v>
      </c>
      <c r="B8">
        <v>2</v>
      </c>
      <c r="C8" t="s">
        <v>27</v>
      </c>
      <c r="D8" t="s">
        <v>545</v>
      </c>
      <c r="E8" t="s">
        <v>29</v>
      </c>
      <c r="F8" t="s">
        <v>29</v>
      </c>
      <c r="G8" s="3" t="s">
        <v>546</v>
      </c>
      <c r="H8" t="s">
        <v>83</v>
      </c>
      <c r="I8">
        <v>1</v>
      </c>
      <c r="J8">
        <v>2</v>
      </c>
      <c r="K8" t="s">
        <v>547</v>
      </c>
      <c r="L8" t="s">
        <v>145</v>
      </c>
      <c r="M8" t="s">
        <v>74</v>
      </c>
      <c r="N8" t="s">
        <v>167</v>
      </c>
      <c r="O8" t="s">
        <v>56</v>
      </c>
      <c r="P8" t="s">
        <v>36</v>
      </c>
      <c r="Q8" t="s">
        <v>29</v>
      </c>
      <c r="R8" t="s">
        <v>29</v>
      </c>
      <c r="S8" t="s">
        <v>29</v>
      </c>
      <c r="T8" t="s">
        <v>29</v>
      </c>
      <c r="U8" t="s">
        <v>29</v>
      </c>
      <c r="V8" t="s">
        <v>37</v>
      </c>
      <c r="W8" t="s">
        <v>29</v>
      </c>
      <c r="X8" t="s">
        <v>29</v>
      </c>
      <c r="Y8" t="str">
        <f t="shared" si="0"/>
        <v>NEW</v>
      </c>
      <c r="Z8" s="3" t="s">
        <v>29</v>
      </c>
      <c r="AA8" t="s">
        <v>320</v>
      </c>
      <c r="AB8" s="3" t="s">
        <v>29</v>
      </c>
      <c r="AC8" t="s">
        <v>29</v>
      </c>
      <c r="AD8" t="s">
        <v>330</v>
      </c>
    </row>
    <row r="9" spans="1:30" x14ac:dyDescent="0.3">
      <c r="A9" t="s">
        <v>548</v>
      </c>
      <c r="B9">
        <v>3</v>
      </c>
      <c r="C9" t="s">
        <v>99</v>
      </c>
      <c r="D9" t="s">
        <v>498</v>
      </c>
      <c r="E9" t="s">
        <v>29</v>
      </c>
      <c r="F9" t="s">
        <v>29</v>
      </c>
      <c r="G9" s="3" t="s">
        <v>549</v>
      </c>
      <c r="H9" t="s">
        <v>55</v>
      </c>
      <c r="I9">
        <v>1</v>
      </c>
      <c r="J9">
        <v>4</v>
      </c>
      <c r="K9" t="s">
        <v>548</v>
      </c>
      <c r="L9" t="s">
        <v>145</v>
      </c>
      <c r="M9" t="s">
        <v>180</v>
      </c>
      <c r="N9" t="s">
        <v>324</v>
      </c>
      <c r="O9" t="s">
        <v>56</v>
      </c>
      <c r="P9" t="s">
        <v>550</v>
      </c>
      <c r="Q9" t="s">
        <v>29</v>
      </c>
      <c r="R9" t="s">
        <v>29</v>
      </c>
      <c r="S9" t="s">
        <v>29</v>
      </c>
      <c r="T9" t="s">
        <v>29</v>
      </c>
      <c r="U9" t="s">
        <v>29</v>
      </c>
      <c r="V9" t="s">
        <v>37</v>
      </c>
      <c r="W9" t="s">
        <v>29</v>
      </c>
      <c r="X9" t="s">
        <v>29</v>
      </c>
      <c r="Y9" t="str">
        <f t="shared" si="0"/>
        <v>NEW</v>
      </c>
      <c r="Z9" s="3" t="s">
        <v>29</v>
      </c>
      <c r="AA9" t="s">
        <v>320</v>
      </c>
      <c r="AB9" s="3" t="s">
        <v>29</v>
      </c>
      <c r="AC9" t="s">
        <v>551</v>
      </c>
      <c r="AD9" t="s">
        <v>330</v>
      </c>
    </row>
    <row r="10" spans="1:30" ht="43.2" x14ac:dyDescent="0.3">
      <c r="A10" t="s">
        <v>552</v>
      </c>
      <c r="B10">
        <v>1</v>
      </c>
      <c r="C10" t="s">
        <v>44</v>
      </c>
      <c r="D10" t="s">
        <v>29</v>
      </c>
      <c r="E10" t="s">
        <v>29</v>
      </c>
      <c r="F10" t="s">
        <v>29</v>
      </c>
      <c r="G10" s="3" t="s">
        <v>553</v>
      </c>
      <c r="H10" t="s">
        <v>55</v>
      </c>
      <c r="I10">
        <v>1</v>
      </c>
      <c r="J10">
        <v>4</v>
      </c>
      <c r="K10" t="s">
        <v>554</v>
      </c>
      <c r="L10" t="s">
        <v>145</v>
      </c>
      <c r="M10" t="s">
        <v>180</v>
      </c>
      <c r="N10" t="s">
        <v>324</v>
      </c>
      <c r="O10" t="s">
        <v>29</v>
      </c>
      <c r="P10" t="s">
        <v>29</v>
      </c>
      <c r="Q10" t="s">
        <v>29</v>
      </c>
      <c r="R10" t="s">
        <v>29</v>
      </c>
      <c r="S10" t="s">
        <v>29</v>
      </c>
      <c r="T10" t="s">
        <v>29</v>
      </c>
      <c r="U10" t="s">
        <v>29</v>
      </c>
      <c r="V10" t="s">
        <v>37</v>
      </c>
      <c r="W10" t="s">
        <v>29</v>
      </c>
      <c r="X10" t="s">
        <v>29</v>
      </c>
      <c r="Y10" t="str">
        <f t="shared" si="0"/>
        <v>NEW</v>
      </c>
      <c r="Z10" s="3" t="s">
        <v>29</v>
      </c>
      <c r="AA10" t="s">
        <v>361</v>
      </c>
      <c r="AB10" s="3" t="s">
        <v>555</v>
      </c>
      <c r="AC10" t="s">
        <v>436</v>
      </c>
      <c r="AD10" t="s">
        <v>356</v>
      </c>
    </row>
    <row r="11" spans="1:30" x14ac:dyDescent="0.3">
      <c r="A11" t="s">
        <v>556</v>
      </c>
      <c r="B11">
        <v>2</v>
      </c>
      <c r="C11" t="s">
        <v>99</v>
      </c>
      <c r="D11" t="s">
        <v>49</v>
      </c>
      <c r="E11" t="s">
        <v>143</v>
      </c>
      <c r="F11" t="s">
        <v>40</v>
      </c>
      <c r="G11" s="3" t="s">
        <v>557</v>
      </c>
      <c r="H11" t="s">
        <v>31</v>
      </c>
      <c r="I11">
        <v>0</v>
      </c>
      <c r="J11">
        <v>0</v>
      </c>
      <c r="K11" t="s">
        <v>558</v>
      </c>
      <c r="L11" t="s">
        <v>145</v>
      </c>
      <c r="M11" t="s">
        <v>33</v>
      </c>
      <c r="N11" t="s">
        <v>34</v>
      </c>
      <c r="O11" t="s">
        <v>35</v>
      </c>
      <c r="P11" t="s">
        <v>36</v>
      </c>
      <c r="Q11" t="s">
        <v>35</v>
      </c>
      <c r="R11" t="s">
        <v>36</v>
      </c>
      <c r="S11" t="s">
        <v>35</v>
      </c>
      <c r="T11" t="s">
        <v>36</v>
      </c>
      <c r="U11" t="s">
        <v>29</v>
      </c>
      <c r="V11" t="s">
        <v>37</v>
      </c>
      <c r="W11" t="s">
        <v>29</v>
      </c>
      <c r="X11" t="s">
        <v>29</v>
      </c>
      <c r="Y11" t="str">
        <f t="shared" si="0"/>
        <v>NEW</v>
      </c>
      <c r="Z11" s="3" t="s">
        <v>29</v>
      </c>
      <c r="AA11" t="s">
        <v>320</v>
      </c>
      <c r="AB11" s="3" t="s">
        <v>29</v>
      </c>
      <c r="AC11" t="s">
        <v>436</v>
      </c>
      <c r="AD11" t="s">
        <v>330</v>
      </c>
    </row>
    <row r="12" spans="1:30" x14ac:dyDescent="0.3">
      <c r="A12" t="s">
        <v>559</v>
      </c>
      <c r="B12">
        <v>0</v>
      </c>
      <c r="C12" t="s">
        <v>27</v>
      </c>
      <c r="D12" t="s">
        <v>173</v>
      </c>
      <c r="E12" t="s">
        <v>29</v>
      </c>
      <c r="F12" t="s">
        <v>29</v>
      </c>
      <c r="G12" s="3" t="s">
        <v>560</v>
      </c>
      <c r="H12" t="s">
        <v>55</v>
      </c>
      <c r="I12">
        <v>1</v>
      </c>
      <c r="J12">
        <v>3</v>
      </c>
      <c r="K12" t="s">
        <v>559</v>
      </c>
      <c r="L12" t="s">
        <v>145</v>
      </c>
      <c r="M12" t="s">
        <v>176</v>
      </c>
      <c r="N12" t="s">
        <v>176</v>
      </c>
      <c r="O12" t="s">
        <v>56</v>
      </c>
      <c r="P12" t="s">
        <v>36</v>
      </c>
      <c r="Q12" t="s">
        <v>29</v>
      </c>
      <c r="R12" t="s">
        <v>29</v>
      </c>
      <c r="S12" t="s">
        <v>29</v>
      </c>
      <c r="T12" t="s">
        <v>29</v>
      </c>
      <c r="U12" t="s">
        <v>29</v>
      </c>
      <c r="V12" t="s">
        <v>37</v>
      </c>
      <c r="W12" t="s">
        <v>29</v>
      </c>
      <c r="X12" t="s">
        <v>29</v>
      </c>
      <c r="Y12" t="str">
        <f t="shared" si="0"/>
        <v>NEW</v>
      </c>
      <c r="Z12" s="3" t="s">
        <v>29</v>
      </c>
      <c r="AA12" t="s">
        <v>320</v>
      </c>
      <c r="AB12" s="3" t="s">
        <v>29</v>
      </c>
      <c r="AC12" t="s">
        <v>561</v>
      </c>
      <c r="AD12" t="s">
        <v>322</v>
      </c>
    </row>
    <row r="13" spans="1:30" x14ac:dyDescent="0.3">
      <c r="A13" t="s">
        <v>562</v>
      </c>
      <c r="B13">
        <v>1</v>
      </c>
      <c r="C13" t="s">
        <v>27</v>
      </c>
      <c r="D13" t="s">
        <v>29</v>
      </c>
      <c r="E13" t="s">
        <v>29</v>
      </c>
      <c r="F13" t="s">
        <v>29</v>
      </c>
      <c r="G13" s="3" t="s">
        <v>563</v>
      </c>
      <c r="H13" t="s">
        <v>55</v>
      </c>
      <c r="I13">
        <v>1</v>
      </c>
      <c r="J13">
        <v>3</v>
      </c>
      <c r="K13" t="s">
        <v>564</v>
      </c>
      <c r="L13" t="s">
        <v>145</v>
      </c>
      <c r="M13" t="s">
        <v>150</v>
      </c>
      <c r="N13" t="s">
        <v>176</v>
      </c>
      <c r="O13" t="s">
        <v>29</v>
      </c>
      <c r="P13" t="s">
        <v>29</v>
      </c>
      <c r="Q13" t="s">
        <v>29</v>
      </c>
      <c r="R13" t="s">
        <v>29</v>
      </c>
      <c r="S13" t="s">
        <v>29</v>
      </c>
      <c r="T13" t="s">
        <v>29</v>
      </c>
      <c r="U13" t="s">
        <v>29</v>
      </c>
      <c r="V13" t="s">
        <v>37</v>
      </c>
      <c r="W13" t="s">
        <v>29</v>
      </c>
      <c r="X13" t="s">
        <v>29</v>
      </c>
      <c r="Y13" t="str">
        <f t="shared" si="0"/>
        <v>NEW</v>
      </c>
      <c r="Z13" s="3" t="s">
        <v>29</v>
      </c>
      <c r="AA13" t="s">
        <v>361</v>
      </c>
      <c r="AB13" s="3" t="s">
        <v>565</v>
      </c>
      <c r="AC13" t="s">
        <v>363</v>
      </c>
      <c r="AD13" t="s">
        <v>322</v>
      </c>
    </row>
    <row r="14" spans="1:30" ht="43.2" x14ac:dyDescent="0.3">
      <c r="A14" t="s">
        <v>566</v>
      </c>
      <c r="B14">
        <v>2</v>
      </c>
      <c r="C14" t="s">
        <v>99</v>
      </c>
      <c r="D14" t="s">
        <v>29</v>
      </c>
      <c r="E14" t="s">
        <v>29</v>
      </c>
      <c r="F14" t="s">
        <v>29</v>
      </c>
      <c r="G14" s="3" t="s">
        <v>567</v>
      </c>
      <c r="H14" t="s">
        <v>55</v>
      </c>
      <c r="I14">
        <v>1</v>
      </c>
      <c r="J14">
        <v>3</v>
      </c>
      <c r="K14" t="s">
        <v>568</v>
      </c>
      <c r="L14" t="s">
        <v>145</v>
      </c>
      <c r="M14" t="s">
        <v>107</v>
      </c>
      <c r="N14" t="s">
        <v>569</v>
      </c>
      <c r="O14" t="s">
        <v>29</v>
      </c>
      <c r="P14" t="s">
        <v>29</v>
      </c>
      <c r="Q14" t="s">
        <v>29</v>
      </c>
      <c r="R14" t="s">
        <v>29</v>
      </c>
      <c r="S14" t="s">
        <v>29</v>
      </c>
      <c r="T14" t="s">
        <v>29</v>
      </c>
      <c r="U14" t="s">
        <v>29</v>
      </c>
      <c r="V14" t="s">
        <v>37</v>
      </c>
      <c r="W14" t="s">
        <v>29</v>
      </c>
      <c r="X14" t="s">
        <v>29</v>
      </c>
      <c r="Y14" t="str">
        <f t="shared" si="0"/>
        <v>NEW</v>
      </c>
      <c r="Z14" s="3" t="s">
        <v>570</v>
      </c>
      <c r="AA14" t="s">
        <v>382</v>
      </c>
      <c r="AB14" s="3" t="s">
        <v>571</v>
      </c>
      <c r="AC14" t="s">
        <v>436</v>
      </c>
      <c r="AD14" t="s">
        <v>322</v>
      </c>
    </row>
    <row r="15" spans="1:30" ht="28.8" x14ac:dyDescent="0.3">
      <c r="A15" t="s">
        <v>572</v>
      </c>
      <c r="B15">
        <v>2</v>
      </c>
      <c r="C15" t="s">
        <v>99</v>
      </c>
      <c r="D15" t="s">
        <v>29</v>
      </c>
      <c r="E15" t="s">
        <v>29</v>
      </c>
      <c r="F15" t="s">
        <v>29</v>
      </c>
      <c r="G15" s="3" t="s">
        <v>573</v>
      </c>
      <c r="H15" t="s">
        <v>31</v>
      </c>
      <c r="I15">
        <v>0</v>
      </c>
      <c r="J15">
        <v>0</v>
      </c>
      <c r="K15" t="s">
        <v>574</v>
      </c>
      <c r="L15" t="s">
        <v>145</v>
      </c>
      <c r="M15" t="s">
        <v>150</v>
      </c>
      <c r="N15" t="s">
        <v>247</v>
      </c>
      <c r="O15" t="s">
        <v>29</v>
      </c>
      <c r="P15" t="s">
        <v>29</v>
      </c>
      <c r="Q15" t="s">
        <v>29</v>
      </c>
      <c r="R15" t="s">
        <v>29</v>
      </c>
      <c r="S15" t="s">
        <v>29</v>
      </c>
      <c r="T15" t="s">
        <v>29</v>
      </c>
      <c r="U15" t="s">
        <v>29</v>
      </c>
      <c r="V15" t="s">
        <v>37</v>
      </c>
      <c r="W15" t="s">
        <v>29</v>
      </c>
      <c r="X15" t="s">
        <v>29</v>
      </c>
      <c r="Y15" t="str">
        <f t="shared" si="0"/>
        <v>NEW</v>
      </c>
      <c r="Z15" s="3" t="s">
        <v>29</v>
      </c>
      <c r="AA15" t="s">
        <v>361</v>
      </c>
      <c r="AB15" s="3" t="s">
        <v>575</v>
      </c>
      <c r="AC15" t="s">
        <v>363</v>
      </c>
      <c r="AD15" t="s">
        <v>330</v>
      </c>
    </row>
    <row r="16" spans="1:30" x14ac:dyDescent="0.3">
      <c r="A16" t="s">
        <v>576</v>
      </c>
      <c r="B16">
        <v>1</v>
      </c>
      <c r="C16" t="s">
        <v>44</v>
      </c>
      <c r="D16" t="s">
        <v>154</v>
      </c>
      <c r="E16" t="s">
        <v>29</v>
      </c>
      <c r="F16" t="s">
        <v>29</v>
      </c>
      <c r="G16" s="3" t="s">
        <v>577</v>
      </c>
      <c r="H16" t="s">
        <v>55</v>
      </c>
      <c r="I16">
        <v>1</v>
      </c>
      <c r="J16">
        <v>3</v>
      </c>
      <c r="K16" t="s">
        <v>576</v>
      </c>
      <c r="L16" t="s">
        <v>145</v>
      </c>
      <c r="M16" t="s">
        <v>150</v>
      </c>
      <c r="N16" t="s">
        <v>176</v>
      </c>
      <c r="O16" t="s">
        <v>56</v>
      </c>
      <c r="P16" t="s">
        <v>388</v>
      </c>
      <c r="Q16" t="s">
        <v>29</v>
      </c>
      <c r="R16" t="s">
        <v>29</v>
      </c>
      <c r="S16" t="s">
        <v>29</v>
      </c>
      <c r="T16" t="s">
        <v>29</v>
      </c>
      <c r="U16" t="s">
        <v>29</v>
      </c>
      <c r="V16" t="s">
        <v>37</v>
      </c>
      <c r="W16" t="s">
        <v>29</v>
      </c>
      <c r="X16" t="s">
        <v>29</v>
      </c>
      <c r="Y16" t="str">
        <f t="shared" si="0"/>
        <v>NEW</v>
      </c>
      <c r="Z16" s="3" t="s">
        <v>29</v>
      </c>
      <c r="AA16" t="s">
        <v>320</v>
      </c>
      <c r="AB16" s="3" t="s">
        <v>29</v>
      </c>
      <c r="AC16" t="s">
        <v>436</v>
      </c>
      <c r="AD16" t="s">
        <v>322</v>
      </c>
    </row>
    <row r="17" spans="1:30" x14ac:dyDescent="0.3">
      <c r="A17" t="s">
        <v>578</v>
      </c>
      <c r="B17">
        <v>1</v>
      </c>
      <c r="C17" t="s">
        <v>99</v>
      </c>
      <c r="D17" t="s">
        <v>29</v>
      </c>
      <c r="E17" t="s">
        <v>29</v>
      </c>
      <c r="F17" t="s">
        <v>29</v>
      </c>
      <c r="G17" s="3" t="s">
        <v>579</v>
      </c>
      <c r="H17" t="s">
        <v>55</v>
      </c>
      <c r="I17">
        <v>1</v>
      </c>
      <c r="J17">
        <v>4</v>
      </c>
      <c r="K17" t="s">
        <v>580</v>
      </c>
      <c r="L17" t="s">
        <v>145</v>
      </c>
      <c r="M17" t="s">
        <v>176</v>
      </c>
      <c r="N17" t="s">
        <v>176</v>
      </c>
      <c r="O17" t="s">
        <v>29</v>
      </c>
      <c r="P17" t="s">
        <v>29</v>
      </c>
      <c r="Q17" t="s">
        <v>29</v>
      </c>
      <c r="R17" t="s">
        <v>29</v>
      </c>
      <c r="S17" t="s">
        <v>29</v>
      </c>
      <c r="T17" t="s">
        <v>29</v>
      </c>
      <c r="U17" t="s">
        <v>29</v>
      </c>
      <c r="V17" t="s">
        <v>37</v>
      </c>
      <c r="W17" t="s">
        <v>29</v>
      </c>
      <c r="X17" t="s">
        <v>29</v>
      </c>
      <c r="Y17" t="str">
        <f t="shared" si="0"/>
        <v>NEW</v>
      </c>
      <c r="Z17" s="3" t="s">
        <v>29</v>
      </c>
      <c r="AA17" t="s">
        <v>361</v>
      </c>
      <c r="AB17" s="3" t="s">
        <v>581</v>
      </c>
      <c r="AC17" t="s">
        <v>436</v>
      </c>
      <c r="AD17" t="s">
        <v>330</v>
      </c>
    </row>
    <row r="18" spans="1:30" x14ac:dyDescent="0.3">
      <c r="A18" t="s">
        <v>582</v>
      </c>
      <c r="B18">
        <v>1</v>
      </c>
      <c r="C18" t="s">
        <v>27</v>
      </c>
      <c r="D18" t="s">
        <v>154</v>
      </c>
      <c r="E18" t="s">
        <v>262</v>
      </c>
      <c r="F18" t="s">
        <v>29</v>
      </c>
      <c r="G18" s="3" t="s">
        <v>583</v>
      </c>
      <c r="H18" t="s">
        <v>55</v>
      </c>
      <c r="I18">
        <v>1</v>
      </c>
      <c r="J18">
        <v>3</v>
      </c>
      <c r="K18" t="s">
        <v>582</v>
      </c>
      <c r="L18" t="s">
        <v>145</v>
      </c>
      <c r="M18" t="s">
        <v>150</v>
      </c>
      <c r="N18" t="s">
        <v>176</v>
      </c>
      <c r="O18" t="s">
        <v>56</v>
      </c>
      <c r="P18" t="s">
        <v>388</v>
      </c>
      <c r="Q18" t="s">
        <v>56</v>
      </c>
      <c r="R18" t="s">
        <v>388</v>
      </c>
      <c r="S18" t="s">
        <v>29</v>
      </c>
      <c r="T18" t="s">
        <v>29</v>
      </c>
      <c r="U18" t="s">
        <v>29</v>
      </c>
      <c r="V18" t="s">
        <v>37</v>
      </c>
      <c r="W18" t="s">
        <v>29</v>
      </c>
      <c r="X18" t="s">
        <v>29</v>
      </c>
      <c r="Y18" t="str">
        <f t="shared" si="0"/>
        <v>NEW</v>
      </c>
      <c r="Z18" s="3" t="s">
        <v>29</v>
      </c>
      <c r="AA18" t="s">
        <v>320</v>
      </c>
      <c r="AB18" s="3" t="s">
        <v>29</v>
      </c>
      <c r="AC18" t="s">
        <v>436</v>
      </c>
      <c r="AD18" t="s">
        <v>330</v>
      </c>
    </row>
    <row r="19" spans="1:30" ht="28.8" x14ac:dyDescent="0.3">
      <c r="A19" t="s">
        <v>584</v>
      </c>
      <c r="B19">
        <v>1</v>
      </c>
      <c r="C19" t="s">
        <v>27</v>
      </c>
      <c r="D19" t="s">
        <v>29</v>
      </c>
      <c r="E19" t="s">
        <v>29</v>
      </c>
      <c r="F19" t="s">
        <v>29</v>
      </c>
      <c r="G19" s="3" t="s">
        <v>585</v>
      </c>
      <c r="H19" t="s">
        <v>83</v>
      </c>
      <c r="I19">
        <v>1</v>
      </c>
      <c r="J19">
        <v>2</v>
      </c>
      <c r="K19" t="s">
        <v>584</v>
      </c>
      <c r="L19" t="s">
        <v>145</v>
      </c>
      <c r="M19" t="s">
        <v>176</v>
      </c>
      <c r="N19" t="s">
        <v>176</v>
      </c>
      <c r="O19" t="s">
        <v>29</v>
      </c>
      <c r="P19" t="s">
        <v>29</v>
      </c>
      <c r="Q19" t="s">
        <v>29</v>
      </c>
      <c r="R19" t="s">
        <v>29</v>
      </c>
      <c r="S19" t="s">
        <v>29</v>
      </c>
      <c r="T19" t="s">
        <v>29</v>
      </c>
      <c r="U19" t="s">
        <v>29</v>
      </c>
      <c r="V19" t="s">
        <v>37</v>
      </c>
      <c r="W19" t="s">
        <v>29</v>
      </c>
      <c r="X19" t="s">
        <v>29</v>
      </c>
      <c r="Y19" t="str">
        <f t="shared" si="0"/>
        <v>NEW</v>
      </c>
      <c r="Z19" s="3" t="s">
        <v>29</v>
      </c>
      <c r="AA19" t="s">
        <v>361</v>
      </c>
      <c r="AB19" s="3" t="s">
        <v>586</v>
      </c>
      <c r="AC19" t="s">
        <v>436</v>
      </c>
      <c r="AD19" t="s">
        <v>356</v>
      </c>
    </row>
    <row r="20" spans="1:30" ht="28.8" x14ac:dyDescent="0.3">
      <c r="A20" t="s">
        <v>587</v>
      </c>
      <c r="B20">
        <v>2</v>
      </c>
      <c r="C20" t="s">
        <v>27</v>
      </c>
      <c r="D20" t="s">
        <v>77</v>
      </c>
      <c r="E20" t="s">
        <v>29</v>
      </c>
      <c r="F20" t="s">
        <v>29</v>
      </c>
      <c r="G20" s="3" t="s">
        <v>588</v>
      </c>
      <c r="H20" t="s">
        <v>55</v>
      </c>
      <c r="I20">
        <v>1</v>
      </c>
      <c r="J20">
        <v>1</v>
      </c>
      <c r="K20" t="s">
        <v>587</v>
      </c>
      <c r="L20" t="s">
        <v>145</v>
      </c>
      <c r="M20" t="s">
        <v>180</v>
      </c>
      <c r="N20" t="s">
        <v>324</v>
      </c>
      <c r="O20" t="s">
        <v>56</v>
      </c>
      <c r="P20" s="1" t="s">
        <v>185</v>
      </c>
      <c r="Q20" t="s">
        <v>29</v>
      </c>
      <c r="R20" t="s">
        <v>29</v>
      </c>
      <c r="S20" t="s">
        <v>29</v>
      </c>
      <c r="T20" t="s">
        <v>29</v>
      </c>
      <c r="U20" t="s">
        <v>29</v>
      </c>
      <c r="V20" t="s">
        <v>37</v>
      </c>
      <c r="W20" t="s">
        <v>29</v>
      </c>
      <c r="X20" t="s">
        <v>29</v>
      </c>
      <c r="Y20" t="str">
        <f t="shared" si="0"/>
        <v>NEW</v>
      </c>
      <c r="Z20" s="3" t="s">
        <v>589</v>
      </c>
      <c r="AA20" t="s">
        <v>361</v>
      </c>
      <c r="AB20" s="3" t="s">
        <v>590</v>
      </c>
      <c r="AC20" t="s">
        <v>436</v>
      </c>
      <c r="AD20" t="s">
        <v>322</v>
      </c>
    </row>
    <row r="21" spans="1:30" x14ac:dyDescent="0.3">
      <c r="A21" t="s">
        <v>591</v>
      </c>
      <c r="B21">
        <v>1</v>
      </c>
      <c r="C21" t="s">
        <v>44</v>
      </c>
      <c r="D21" t="s">
        <v>173</v>
      </c>
      <c r="E21" t="s">
        <v>244</v>
      </c>
      <c r="F21" t="s">
        <v>29</v>
      </c>
      <c r="G21" s="3" t="s">
        <v>592</v>
      </c>
      <c r="H21" t="s">
        <v>55</v>
      </c>
      <c r="I21">
        <v>1</v>
      </c>
      <c r="J21">
        <v>2</v>
      </c>
      <c r="K21" t="s">
        <v>593</v>
      </c>
      <c r="L21" t="s">
        <v>145</v>
      </c>
      <c r="M21" t="s">
        <v>176</v>
      </c>
      <c r="N21" t="s">
        <v>392</v>
      </c>
      <c r="O21" t="s">
        <v>56</v>
      </c>
      <c r="P21" t="s">
        <v>36</v>
      </c>
      <c r="Q21" t="s">
        <v>35</v>
      </c>
      <c r="R21" t="s">
        <v>36</v>
      </c>
      <c r="S21" t="s">
        <v>29</v>
      </c>
      <c r="T21" t="s">
        <v>29</v>
      </c>
      <c r="U21" t="s">
        <v>29</v>
      </c>
      <c r="V21" t="s">
        <v>37</v>
      </c>
      <c r="W21" t="s">
        <v>29</v>
      </c>
      <c r="X21" t="s">
        <v>29</v>
      </c>
      <c r="Y21" t="str">
        <f t="shared" si="0"/>
        <v>NEW</v>
      </c>
      <c r="Z21" s="3" t="s">
        <v>29</v>
      </c>
      <c r="AA21" t="s">
        <v>320</v>
      </c>
      <c r="AB21" s="3" t="s">
        <v>29</v>
      </c>
      <c r="AC21" t="s">
        <v>436</v>
      </c>
      <c r="AD21" t="s">
        <v>330</v>
      </c>
    </row>
    <row r="22" spans="1:30" x14ac:dyDescent="0.3">
      <c r="A22" t="s">
        <v>594</v>
      </c>
      <c r="B22">
        <v>1</v>
      </c>
      <c r="C22" t="s">
        <v>44</v>
      </c>
      <c r="D22" t="s">
        <v>415</v>
      </c>
      <c r="E22" t="s">
        <v>29</v>
      </c>
      <c r="F22" t="s">
        <v>29</v>
      </c>
      <c r="G22" s="3" t="s">
        <v>595</v>
      </c>
      <c r="H22" t="s">
        <v>55</v>
      </c>
      <c r="I22">
        <v>1</v>
      </c>
      <c r="J22">
        <v>3</v>
      </c>
      <c r="K22" t="s">
        <v>594</v>
      </c>
      <c r="L22" t="s">
        <v>145</v>
      </c>
      <c r="M22" t="s">
        <v>150</v>
      </c>
      <c r="N22" t="s">
        <v>324</v>
      </c>
      <c r="O22" t="s">
        <v>56</v>
      </c>
      <c r="P22" t="s">
        <v>36</v>
      </c>
      <c r="Q22" t="s">
        <v>29</v>
      </c>
      <c r="R22" t="s">
        <v>29</v>
      </c>
      <c r="S22" t="s">
        <v>29</v>
      </c>
      <c r="T22" t="s">
        <v>29</v>
      </c>
      <c r="U22" t="s">
        <v>29</v>
      </c>
      <c r="V22" t="s">
        <v>37</v>
      </c>
      <c r="W22" t="s">
        <v>29</v>
      </c>
      <c r="X22" t="s">
        <v>29</v>
      </c>
      <c r="Y22" t="str">
        <f t="shared" si="0"/>
        <v>NEW</v>
      </c>
      <c r="Z22" s="3" t="s">
        <v>29</v>
      </c>
      <c r="AA22" t="s">
        <v>320</v>
      </c>
      <c r="AB22" s="3" t="s">
        <v>29</v>
      </c>
      <c r="AC22" t="s">
        <v>29</v>
      </c>
      <c r="AD22" t="s">
        <v>330</v>
      </c>
    </row>
    <row r="23" spans="1:30" x14ac:dyDescent="0.3">
      <c r="A23" t="s">
        <v>596</v>
      </c>
      <c r="B23">
        <v>2</v>
      </c>
      <c r="C23" t="s">
        <v>27</v>
      </c>
      <c r="D23" t="s">
        <v>415</v>
      </c>
      <c r="E23" t="s">
        <v>270</v>
      </c>
      <c r="F23" t="s">
        <v>29</v>
      </c>
      <c r="G23" s="3" t="s">
        <v>597</v>
      </c>
      <c r="H23" t="s">
        <v>55</v>
      </c>
      <c r="I23">
        <v>1</v>
      </c>
      <c r="J23">
        <v>3</v>
      </c>
      <c r="K23" t="s">
        <v>596</v>
      </c>
      <c r="L23" t="s">
        <v>145</v>
      </c>
      <c r="M23" t="s">
        <v>150</v>
      </c>
      <c r="N23" t="s">
        <v>598</v>
      </c>
      <c r="O23" t="s">
        <v>56</v>
      </c>
      <c r="P23" t="s">
        <v>36</v>
      </c>
      <c r="Q23" t="s">
        <v>56</v>
      </c>
      <c r="R23" t="s">
        <v>36</v>
      </c>
      <c r="S23" t="s">
        <v>29</v>
      </c>
      <c r="T23" t="s">
        <v>29</v>
      </c>
      <c r="U23" t="s">
        <v>29</v>
      </c>
      <c r="V23" t="s">
        <v>37</v>
      </c>
      <c r="W23" t="s">
        <v>29</v>
      </c>
      <c r="X23" t="s">
        <v>29</v>
      </c>
      <c r="Y23" t="str">
        <f t="shared" si="0"/>
        <v>NEW</v>
      </c>
      <c r="Z23" s="3" t="s">
        <v>29</v>
      </c>
      <c r="AA23" t="s">
        <v>320</v>
      </c>
      <c r="AB23" s="3" t="s">
        <v>29</v>
      </c>
      <c r="AC23" t="s">
        <v>436</v>
      </c>
      <c r="AD23" t="s">
        <v>330</v>
      </c>
    </row>
    <row r="24" spans="1:30" x14ac:dyDescent="0.3">
      <c r="A24" t="s">
        <v>599</v>
      </c>
      <c r="B24">
        <v>1</v>
      </c>
      <c r="C24" t="s">
        <v>27</v>
      </c>
      <c r="D24" t="s">
        <v>154</v>
      </c>
      <c r="E24" t="s">
        <v>262</v>
      </c>
      <c r="F24" t="s">
        <v>29</v>
      </c>
      <c r="G24" s="3" t="s">
        <v>600</v>
      </c>
      <c r="H24" t="s">
        <v>55</v>
      </c>
      <c r="I24">
        <v>1</v>
      </c>
      <c r="J24">
        <v>3</v>
      </c>
      <c r="K24" t="s">
        <v>599</v>
      </c>
      <c r="L24" t="s">
        <v>145</v>
      </c>
      <c r="M24" t="s">
        <v>150</v>
      </c>
      <c r="N24" t="s">
        <v>176</v>
      </c>
      <c r="O24" t="s">
        <v>56</v>
      </c>
      <c r="P24" t="s">
        <v>36</v>
      </c>
      <c r="Q24" t="s">
        <v>56</v>
      </c>
      <c r="R24" t="s">
        <v>36</v>
      </c>
      <c r="S24" t="s">
        <v>29</v>
      </c>
      <c r="T24" t="s">
        <v>29</v>
      </c>
      <c r="U24" t="s">
        <v>29</v>
      </c>
      <c r="V24" t="s">
        <v>37</v>
      </c>
      <c r="W24" t="s">
        <v>29</v>
      </c>
      <c r="X24" t="s">
        <v>29</v>
      </c>
      <c r="Y24" t="str">
        <f t="shared" si="0"/>
        <v>NEW</v>
      </c>
      <c r="Z24" s="3" t="s">
        <v>29</v>
      </c>
      <c r="AA24" t="s">
        <v>320</v>
      </c>
      <c r="AB24" s="3" t="s">
        <v>29</v>
      </c>
      <c r="AC24" t="s">
        <v>436</v>
      </c>
      <c r="AD24" t="s">
        <v>330</v>
      </c>
    </row>
    <row r="25" spans="1:30" x14ac:dyDescent="0.3">
      <c r="A25" t="s">
        <v>601</v>
      </c>
      <c r="B25">
        <v>2</v>
      </c>
      <c r="C25" t="s">
        <v>99</v>
      </c>
      <c r="D25" t="s">
        <v>77</v>
      </c>
      <c r="E25" t="s">
        <v>157</v>
      </c>
      <c r="F25" t="s">
        <v>29</v>
      </c>
      <c r="G25" s="3" t="s">
        <v>602</v>
      </c>
      <c r="H25" t="s">
        <v>55</v>
      </c>
      <c r="I25">
        <v>1</v>
      </c>
      <c r="J25">
        <v>3</v>
      </c>
      <c r="K25" t="s">
        <v>603</v>
      </c>
      <c r="L25" t="s">
        <v>145</v>
      </c>
      <c r="M25" t="s">
        <v>150</v>
      </c>
      <c r="N25" t="s">
        <v>324</v>
      </c>
      <c r="O25" t="s">
        <v>56</v>
      </c>
      <c r="P25" t="s">
        <v>36</v>
      </c>
      <c r="Q25" t="s">
        <v>56</v>
      </c>
      <c r="R25" t="s">
        <v>36</v>
      </c>
      <c r="S25" t="s">
        <v>29</v>
      </c>
      <c r="T25" t="s">
        <v>29</v>
      </c>
      <c r="U25" t="s">
        <v>29</v>
      </c>
      <c r="V25" t="s">
        <v>37</v>
      </c>
      <c r="W25" t="s">
        <v>29</v>
      </c>
      <c r="X25" t="s">
        <v>29</v>
      </c>
      <c r="Y25" t="str">
        <f t="shared" si="0"/>
        <v>NEW</v>
      </c>
      <c r="Z25" s="3" t="s">
        <v>29</v>
      </c>
      <c r="AA25" t="s">
        <v>320</v>
      </c>
      <c r="AB25" s="3" t="s">
        <v>29</v>
      </c>
      <c r="AC25" t="s">
        <v>29</v>
      </c>
      <c r="AD25" t="s">
        <v>330</v>
      </c>
    </row>
    <row r="26" spans="1:30" x14ac:dyDescent="0.3">
      <c r="A26" t="s">
        <v>604</v>
      </c>
      <c r="B26">
        <v>2</v>
      </c>
      <c r="C26" t="s">
        <v>99</v>
      </c>
      <c r="D26" t="s">
        <v>68</v>
      </c>
      <c r="E26" t="s">
        <v>50</v>
      </c>
      <c r="F26" t="s">
        <v>29</v>
      </c>
      <c r="G26" s="3" t="s">
        <v>605</v>
      </c>
      <c r="H26" t="s">
        <v>31</v>
      </c>
      <c r="I26">
        <v>0</v>
      </c>
      <c r="J26">
        <v>0</v>
      </c>
      <c r="K26" t="s">
        <v>604</v>
      </c>
      <c r="L26" t="s">
        <v>145</v>
      </c>
      <c r="M26" t="s">
        <v>65</v>
      </c>
      <c r="N26" t="s">
        <v>324</v>
      </c>
      <c r="O26" t="s">
        <v>35</v>
      </c>
      <c r="P26" t="s">
        <v>36</v>
      </c>
      <c r="Q26" t="s">
        <v>35</v>
      </c>
      <c r="R26" t="s">
        <v>36</v>
      </c>
      <c r="S26" t="s">
        <v>29</v>
      </c>
      <c r="T26" t="s">
        <v>29</v>
      </c>
      <c r="U26" t="s">
        <v>29</v>
      </c>
      <c r="V26" t="s">
        <v>37</v>
      </c>
      <c r="W26" t="s">
        <v>29</v>
      </c>
      <c r="X26" t="s">
        <v>29</v>
      </c>
      <c r="Y26" t="str">
        <f t="shared" si="0"/>
        <v>NEW</v>
      </c>
      <c r="Z26" s="3" t="s">
        <v>29</v>
      </c>
      <c r="AA26" t="s">
        <v>320</v>
      </c>
      <c r="AB26" s="3" t="s">
        <v>29</v>
      </c>
      <c r="AC26" t="s">
        <v>436</v>
      </c>
      <c r="AD26" t="s">
        <v>330</v>
      </c>
    </row>
    <row r="27" spans="1:30" x14ac:dyDescent="0.3">
      <c r="A27" t="s">
        <v>606</v>
      </c>
      <c r="B27">
        <v>1</v>
      </c>
      <c r="C27" t="s">
        <v>27</v>
      </c>
      <c r="D27" t="s">
        <v>408</v>
      </c>
      <c r="E27" t="s">
        <v>29</v>
      </c>
      <c r="F27" t="s">
        <v>29</v>
      </c>
      <c r="G27" s="3" t="s">
        <v>607</v>
      </c>
      <c r="H27" t="s">
        <v>83</v>
      </c>
      <c r="I27">
        <v>1</v>
      </c>
      <c r="J27">
        <v>2</v>
      </c>
      <c r="K27" t="s">
        <v>606</v>
      </c>
      <c r="L27" t="s">
        <v>145</v>
      </c>
      <c r="M27" t="s">
        <v>65</v>
      </c>
      <c r="N27" t="s">
        <v>324</v>
      </c>
      <c r="O27" t="s">
        <v>56</v>
      </c>
      <c r="P27" t="s">
        <v>36</v>
      </c>
      <c r="Q27" t="s">
        <v>29</v>
      </c>
      <c r="R27" t="s">
        <v>29</v>
      </c>
      <c r="S27" t="s">
        <v>29</v>
      </c>
      <c r="T27" t="s">
        <v>29</v>
      </c>
      <c r="U27" t="s">
        <v>29</v>
      </c>
      <c r="V27" t="s">
        <v>37</v>
      </c>
      <c r="W27" t="s">
        <v>29</v>
      </c>
      <c r="X27" t="s">
        <v>29</v>
      </c>
      <c r="Y27" t="str">
        <f t="shared" si="0"/>
        <v>NEW</v>
      </c>
      <c r="Z27" s="3" t="s">
        <v>29</v>
      </c>
      <c r="AA27" t="s">
        <v>320</v>
      </c>
      <c r="AB27" s="3" t="s">
        <v>29</v>
      </c>
      <c r="AC27" t="s">
        <v>436</v>
      </c>
      <c r="AD27" t="s">
        <v>330</v>
      </c>
    </row>
    <row r="28" spans="1:30" x14ac:dyDescent="0.3">
      <c r="A28" t="s">
        <v>608</v>
      </c>
      <c r="B28">
        <v>3</v>
      </c>
      <c r="C28" t="s">
        <v>99</v>
      </c>
      <c r="D28" t="s">
        <v>415</v>
      </c>
      <c r="E28" t="s">
        <v>29</v>
      </c>
      <c r="F28" t="s">
        <v>29</v>
      </c>
      <c r="G28" s="3" t="s">
        <v>609</v>
      </c>
      <c r="H28" t="s">
        <v>55</v>
      </c>
      <c r="I28">
        <v>1</v>
      </c>
      <c r="J28">
        <v>4</v>
      </c>
      <c r="K28" t="s">
        <v>610</v>
      </c>
      <c r="L28" t="s">
        <v>145</v>
      </c>
      <c r="M28" t="s">
        <v>150</v>
      </c>
      <c r="N28" t="s">
        <v>324</v>
      </c>
      <c r="O28" t="s">
        <v>56</v>
      </c>
      <c r="P28" t="s">
        <v>60</v>
      </c>
      <c r="Q28" t="s">
        <v>29</v>
      </c>
      <c r="R28" t="s">
        <v>29</v>
      </c>
      <c r="S28" t="s">
        <v>29</v>
      </c>
      <c r="T28" t="s">
        <v>29</v>
      </c>
      <c r="U28" t="s">
        <v>29</v>
      </c>
      <c r="V28" t="s">
        <v>37</v>
      </c>
      <c r="W28" t="s">
        <v>29</v>
      </c>
      <c r="X28" t="s">
        <v>29</v>
      </c>
      <c r="Y28" t="str">
        <f t="shared" si="0"/>
        <v>NEW</v>
      </c>
      <c r="Z28" s="3" t="s">
        <v>29</v>
      </c>
      <c r="AA28" t="s">
        <v>320</v>
      </c>
      <c r="AB28" s="3" t="s">
        <v>29</v>
      </c>
      <c r="AC28" t="s">
        <v>29</v>
      </c>
      <c r="AD28" t="s">
        <v>330</v>
      </c>
    </row>
    <row r="29" spans="1:30" x14ac:dyDescent="0.3">
      <c r="A29" t="s">
        <v>611</v>
      </c>
      <c r="B29">
        <v>2</v>
      </c>
      <c r="C29" t="s">
        <v>99</v>
      </c>
      <c r="D29" t="s">
        <v>612</v>
      </c>
      <c r="E29" t="s">
        <v>29</v>
      </c>
      <c r="F29" t="s">
        <v>29</v>
      </c>
      <c r="G29" s="3" t="s">
        <v>613</v>
      </c>
      <c r="H29" t="s">
        <v>31</v>
      </c>
      <c r="I29">
        <v>0</v>
      </c>
      <c r="J29">
        <v>0</v>
      </c>
      <c r="K29" t="s">
        <v>614</v>
      </c>
      <c r="L29" t="s">
        <v>145</v>
      </c>
      <c r="M29" t="s">
        <v>33</v>
      </c>
      <c r="N29" t="s">
        <v>34</v>
      </c>
      <c r="O29" t="s">
        <v>35</v>
      </c>
      <c r="P29" t="s">
        <v>36</v>
      </c>
      <c r="Q29" t="s">
        <v>29</v>
      </c>
      <c r="R29" t="s">
        <v>29</v>
      </c>
      <c r="S29" t="s">
        <v>29</v>
      </c>
      <c r="T29" t="s">
        <v>29</v>
      </c>
      <c r="U29" t="s">
        <v>29</v>
      </c>
      <c r="V29" t="s">
        <v>37</v>
      </c>
      <c r="W29" t="s">
        <v>29</v>
      </c>
      <c r="X29" t="s">
        <v>29</v>
      </c>
      <c r="Y29" t="str">
        <f t="shared" si="0"/>
        <v>NEW</v>
      </c>
      <c r="Z29" s="3" t="s">
        <v>29</v>
      </c>
      <c r="AA29" t="s">
        <v>320</v>
      </c>
      <c r="AB29" s="3" t="s">
        <v>29</v>
      </c>
      <c r="AC29" t="s">
        <v>436</v>
      </c>
      <c r="AD29" t="s">
        <v>330</v>
      </c>
    </row>
    <row r="30" spans="1:30" x14ac:dyDescent="0.3">
      <c r="A30" t="s">
        <v>615</v>
      </c>
      <c r="B30">
        <v>2</v>
      </c>
      <c r="C30" t="s">
        <v>27</v>
      </c>
      <c r="D30" t="s">
        <v>28</v>
      </c>
      <c r="E30" t="s">
        <v>29</v>
      </c>
      <c r="F30" t="s">
        <v>29</v>
      </c>
      <c r="G30" s="3" t="s">
        <v>616</v>
      </c>
      <c r="H30" t="s">
        <v>83</v>
      </c>
      <c r="I30">
        <v>1</v>
      </c>
      <c r="J30">
        <v>2</v>
      </c>
      <c r="K30" t="s">
        <v>615</v>
      </c>
      <c r="L30" t="s">
        <v>145</v>
      </c>
      <c r="M30" t="s">
        <v>33</v>
      </c>
      <c r="N30" t="s">
        <v>34</v>
      </c>
      <c r="O30" t="s">
        <v>56</v>
      </c>
      <c r="P30" t="s">
        <v>36</v>
      </c>
      <c r="Q30" t="s">
        <v>29</v>
      </c>
      <c r="R30" t="s">
        <v>29</v>
      </c>
      <c r="S30" t="s">
        <v>29</v>
      </c>
      <c r="T30" t="s">
        <v>29</v>
      </c>
      <c r="U30" t="s">
        <v>29</v>
      </c>
      <c r="V30" t="s">
        <v>37</v>
      </c>
      <c r="W30" t="s">
        <v>29</v>
      </c>
      <c r="X30" t="s">
        <v>29</v>
      </c>
      <c r="Y30" t="str">
        <f t="shared" si="0"/>
        <v>NEW</v>
      </c>
      <c r="Z30" s="3" t="s">
        <v>29</v>
      </c>
      <c r="AA30" t="s">
        <v>320</v>
      </c>
      <c r="AB30" s="3" t="s">
        <v>29</v>
      </c>
      <c r="AC30" t="s">
        <v>436</v>
      </c>
      <c r="AD30" t="s">
        <v>330</v>
      </c>
    </row>
    <row r="31" spans="1:30" x14ac:dyDescent="0.3">
      <c r="A31" t="s">
        <v>617</v>
      </c>
      <c r="B31">
        <v>3</v>
      </c>
      <c r="C31" t="s">
        <v>99</v>
      </c>
      <c r="D31" t="s">
        <v>279</v>
      </c>
      <c r="E31" t="s">
        <v>29</v>
      </c>
      <c r="F31" t="s">
        <v>29</v>
      </c>
      <c r="G31" s="3" t="s">
        <v>618</v>
      </c>
      <c r="H31" t="s">
        <v>55</v>
      </c>
      <c r="I31">
        <v>1</v>
      </c>
      <c r="J31">
        <v>4</v>
      </c>
      <c r="K31" t="s">
        <v>617</v>
      </c>
      <c r="L31" t="s">
        <v>145</v>
      </c>
      <c r="M31" t="s">
        <v>150</v>
      </c>
      <c r="N31" t="s">
        <v>598</v>
      </c>
      <c r="O31" t="s">
        <v>56</v>
      </c>
      <c r="P31" t="s">
        <v>60</v>
      </c>
      <c r="Q31" t="s">
        <v>29</v>
      </c>
      <c r="R31" t="s">
        <v>29</v>
      </c>
      <c r="S31" t="s">
        <v>29</v>
      </c>
      <c r="T31" t="s">
        <v>29</v>
      </c>
      <c r="U31" t="s">
        <v>29</v>
      </c>
      <c r="V31" t="s">
        <v>37</v>
      </c>
      <c r="W31" t="s">
        <v>29</v>
      </c>
      <c r="X31" t="s">
        <v>29</v>
      </c>
      <c r="Y31" t="str">
        <f t="shared" si="0"/>
        <v>NEW</v>
      </c>
      <c r="Z31" s="3" t="s">
        <v>29</v>
      </c>
      <c r="AA31" t="s">
        <v>320</v>
      </c>
      <c r="AB31" s="3" t="s">
        <v>29</v>
      </c>
      <c r="AC31" t="s">
        <v>29</v>
      </c>
      <c r="AD31" t="s">
        <v>330</v>
      </c>
    </row>
    <row r="32" spans="1:30" ht="57.6" x14ac:dyDescent="0.3">
      <c r="A32" t="s">
        <v>619</v>
      </c>
      <c r="B32">
        <v>2</v>
      </c>
      <c r="C32" t="s">
        <v>99</v>
      </c>
      <c r="D32" t="s">
        <v>29</v>
      </c>
      <c r="E32" t="s">
        <v>29</v>
      </c>
      <c r="F32" t="s">
        <v>29</v>
      </c>
      <c r="G32" s="3" t="s">
        <v>620</v>
      </c>
      <c r="H32" t="s">
        <v>55</v>
      </c>
      <c r="I32">
        <v>1</v>
      </c>
      <c r="J32">
        <v>3</v>
      </c>
      <c r="K32" t="s">
        <v>619</v>
      </c>
      <c r="L32" t="s">
        <v>145</v>
      </c>
      <c r="M32" t="s">
        <v>180</v>
      </c>
      <c r="N32" t="s">
        <v>216</v>
      </c>
      <c r="O32" t="s">
        <v>29</v>
      </c>
      <c r="P32" t="s">
        <v>29</v>
      </c>
      <c r="Q32" t="s">
        <v>29</v>
      </c>
      <c r="R32" t="s">
        <v>29</v>
      </c>
      <c r="S32" t="s">
        <v>29</v>
      </c>
      <c r="T32" t="s">
        <v>29</v>
      </c>
      <c r="U32" t="s">
        <v>29</v>
      </c>
      <c r="V32" t="s">
        <v>37</v>
      </c>
      <c r="W32" t="s">
        <v>29</v>
      </c>
      <c r="X32" t="s">
        <v>29</v>
      </c>
      <c r="Y32" t="str">
        <f t="shared" si="0"/>
        <v>NEW</v>
      </c>
      <c r="Z32" s="3" t="s">
        <v>621</v>
      </c>
      <c r="AA32" t="s">
        <v>372</v>
      </c>
      <c r="AB32" s="3" t="s">
        <v>622</v>
      </c>
      <c r="AC32" t="s">
        <v>623</v>
      </c>
      <c r="AD32" t="s">
        <v>322</v>
      </c>
    </row>
    <row r="33" spans="1:30" ht="43.2" x14ac:dyDescent="0.3">
      <c r="A33" t="s">
        <v>624</v>
      </c>
      <c r="B33">
        <v>1</v>
      </c>
      <c r="C33" t="s">
        <v>99</v>
      </c>
      <c r="D33" t="s">
        <v>29</v>
      </c>
      <c r="E33" t="s">
        <v>29</v>
      </c>
      <c r="F33" t="s">
        <v>29</v>
      </c>
      <c r="G33" s="3" t="s">
        <v>625</v>
      </c>
      <c r="H33" t="s">
        <v>55</v>
      </c>
      <c r="I33">
        <v>1</v>
      </c>
      <c r="J33">
        <v>4</v>
      </c>
      <c r="K33" t="s">
        <v>624</v>
      </c>
      <c r="L33" t="s">
        <v>145</v>
      </c>
      <c r="M33" t="s">
        <v>150</v>
      </c>
      <c r="N33" t="s">
        <v>34</v>
      </c>
      <c r="O33" t="s">
        <v>29</v>
      </c>
      <c r="P33" t="s">
        <v>29</v>
      </c>
      <c r="Q33" t="s">
        <v>29</v>
      </c>
      <c r="R33" t="s">
        <v>29</v>
      </c>
      <c r="S33" t="s">
        <v>29</v>
      </c>
      <c r="T33" t="s">
        <v>29</v>
      </c>
      <c r="U33" t="s">
        <v>29</v>
      </c>
      <c r="V33" t="s">
        <v>37</v>
      </c>
      <c r="W33" t="s">
        <v>29</v>
      </c>
      <c r="X33" t="s">
        <v>29</v>
      </c>
      <c r="Y33" t="str">
        <f t="shared" si="0"/>
        <v>NEW</v>
      </c>
      <c r="Z33" s="3" t="s">
        <v>29</v>
      </c>
      <c r="AA33" t="s">
        <v>453</v>
      </c>
      <c r="AB33" s="3" t="s">
        <v>626</v>
      </c>
      <c r="AC33" t="s">
        <v>627</v>
      </c>
      <c r="AD33" t="s">
        <v>330</v>
      </c>
    </row>
    <row r="34" spans="1:30" ht="43.2" x14ac:dyDescent="0.3">
      <c r="A34" t="s">
        <v>628</v>
      </c>
      <c r="B34">
        <v>3</v>
      </c>
      <c r="C34" t="s">
        <v>438</v>
      </c>
      <c r="D34" t="s">
        <v>29</v>
      </c>
      <c r="E34" t="s">
        <v>29</v>
      </c>
      <c r="F34" t="s">
        <v>29</v>
      </c>
      <c r="G34" s="3" t="s">
        <v>629</v>
      </c>
      <c r="H34" t="s">
        <v>31</v>
      </c>
      <c r="I34">
        <v>0</v>
      </c>
      <c r="J34">
        <v>0</v>
      </c>
      <c r="K34" t="s">
        <v>630</v>
      </c>
      <c r="L34" t="s">
        <v>145</v>
      </c>
      <c r="M34" t="s">
        <v>65</v>
      </c>
      <c r="N34" t="s">
        <v>324</v>
      </c>
      <c r="O34" t="s">
        <v>29</v>
      </c>
      <c r="P34" t="s">
        <v>29</v>
      </c>
      <c r="Q34" t="s">
        <v>29</v>
      </c>
      <c r="R34" t="s">
        <v>29</v>
      </c>
      <c r="S34" t="s">
        <v>29</v>
      </c>
      <c r="T34" t="s">
        <v>29</v>
      </c>
      <c r="U34" t="s">
        <v>29</v>
      </c>
      <c r="V34" t="s">
        <v>37</v>
      </c>
      <c r="W34" t="s">
        <v>29</v>
      </c>
      <c r="X34" t="s">
        <v>29</v>
      </c>
      <c r="Y34" t="str">
        <f t="shared" ref="Y34:Y51" si="1">IF($X34="","NEW","Live")</f>
        <v>NEW</v>
      </c>
      <c r="Z34" s="3" t="s">
        <v>631</v>
      </c>
      <c r="AA34" t="s">
        <v>382</v>
      </c>
      <c r="AB34" s="3" t="s">
        <v>632</v>
      </c>
      <c r="AC34" t="s">
        <v>436</v>
      </c>
      <c r="AD34" t="s">
        <v>356</v>
      </c>
    </row>
    <row r="35" spans="1:30" ht="28.8" x14ac:dyDescent="0.3">
      <c r="A35" t="s">
        <v>633</v>
      </c>
      <c r="B35">
        <v>1</v>
      </c>
      <c r="C35" t="s">
        <v>99</v>
      </c>
      <c r="D35" t="s">
        <v>29</v>
      </c>
      <c r="E35" t="s">
        <v>29</v>
      </c>
      <c r="F35" t="s">
        <v>29</v>
      </c>
      <c r="G35" s="3" t="s">
        <v>634</v>
      </c>
      <c r="H35" t="s">
        <v>31</v>
      </c>
      <c r="I35">
        <v>0</v>
      </c>
      <c r="J35">
        <v>0</v>
      </c>
      <c r="K35" t="s">
        <v>635</v>
      </c>
      <c r="L35" t="s">
        <v>145</v>
      </c>
      <c r="M35" t="s">
        <v>65</v>
      </c>
      <c r="N35" t="s">
        <v>324</v>
      </c>
      <c r="O35" t="s">
        <v>29</v>
      </c>
      <c r="P35" t="s">
        <v>29</v>
      </c>
      <c r="Q35" t="s">
        <v>29</v>
      </c>
      <c r="R35" t="s">
        <v>29</v>
      </c>
      <c r="S35" t="s">
        <v>29</v>
      </c>
      <c r="T35" t="s">
        <v>29</v>
      </c>
      <c r="U35" t="s">
        <v>29</v>
      </c>
      <c r="V35" t="s">
        <v>37</v>
      </c>
      <c r="W35" t="s">
        <v>29</v>
      </c>
      <c r="X35" t="s">
        <v>29</v>
      </c>
      <c r="Y35" t="str">
        <f t="shared" si="1"/>
        <v>NEW</v>
      </c>
      <c r="Z35" s="3" t="s">
        <v>29</v>
      </c>
      <c r="AA35" t="s">
        <v>361</v>
      </c>
      <c r="AB35" s="3" t="s">
        <v>636</v>
      </c>
      <c r="AC35" t="s">
        <v>486</v>
      </c>
      <c r="AD35" t="s">
        <v>330</v>
      </c>
    </row>
    <row r="36" spans="1:30" ht="43.2" x14ac:dyDescent="0.3">
      <c r="A36" t="s">
        <v>637</v>
      </c>
      <c r="B36">
        <v>2</v>
      </c>
      <c r="C36" t="s">
        <v>99</v>
      </c>
      <c r="D36" t="s">
        <v>29</v>
      </c>
      <c r="E36" t="s">
        <v>29</v>
      </c>
      <c r="F36" t="s">
        <v>29</v>
      </c>
      <c r="G36" s="3" t="s">
        <v>638</v>
      </c>
      <c r="H36" t="s">
        <v>31</v>
      </c>
      <c r="I36">
        <v>0</v>
      </c>
      <c r="J36">
        <v>0</v>
      </c>
      <c r="K36" t="s">
        <v>639</v>
      </c>
      <c r="L36" t="s">
        <v>145</v>
      </c>
      <c r="M36" t="s">
        <v>65</v>
      </c>
      <c r="N36" t="s">
        <v>324</v>
      </c>
      <c r="O36" t="s">
        <v>29</v>
      </c>
      <c r="P36" t="s">
        <v>29</v>
      </c>
      <c r="Q36" t="s">
        <v>29</v>
      </c>
      <c r="R36" t="s">
        <v>29</v>
      </c>
      <c r="S36" t="s">
        <v>29</v>
      </c>
      <c r="T36" t="s">
        <v>29</v>
      </c>
      <c r="U36" t="s">
        <v>29</v>
      </c>
      <c r="V36" t="s">
        <v>37</v>
      </c>
      <c r="W36" t="s">
        <v>29</v>
      </c>
      <c r="X36" t="s">
        <v>29</v>
      </c>
      <c r="Y36" t="str">
        <f t="shared" si="1"/>
        <v>NEW</v>
      </c>
      <c r="Z36" s="3" t="s">
        <v>29</v>
      </c>
      <c r="AA36" t="s">
        <v>382</v>
      </c>
      <c r="AB36" s="3" t="s">
        <v>640</v>
      </c>
      <c r="AC36" t="s">
        <v>641</v>
      </c>
      <c r="AD36" t="s">
        <v>330</v>
      </c>
    </row>
    <row r="37" spans="1:30" ht="43.2" x14ac:dyDescent="0.3">
      <c r="A37" t="s">
        <v>642</v>
      </c>
      <c r="B37">
        <v>2</v>
      </c>
      <c r="C37" t="s">
        <v>438</v>
      </c>
      <c r="D37" t="s">
        <v>29</v>
      </c>
      <c r="E37" t="s">
        <v>29</v>
      </c>
      <c r="F37" t="s">
        <v>29</v>
      </c>
      <c r="G37" s="3" t="s">
        <v>643</v>
      </c>
      <c r="H37" t="s">
        <v>55</v>
      </c>
      <c r="I37">
        <v>1</v>
      </c>
      <c r="J37">
        <v>3</v>
      </c>
      <c r="K37" t="s">
        <v>642</v>
      </c>
      <c r="L37" t="s">
        <v>145</v>
      </c>
      <c r="M37" t="s">
        <v>150</v>
      </c>
      <c r="N37" t="s">
        <v>324</v>
      </c>
      <c r="O37" t="s">
        <v>29</v>
      </c>
      <c r="P37" t="s">
        <v>29</v>
      </c>
      <c r="Q37" t="s">
        <v>29</v>
      </c>
      <c r="R37" t="s">
        <v>29</v>
      </c>
      <c r="S37" t="s">
        <v>29</v>
      </c>
      <c r="T37" t="s">
        <v>29</v>
      </c>
      <c r="U37" t="s">
        <v>29</v>
      </c>
      <c r="V37" t="s">
        <v>37</v>
      </c>
      <c r="W37" t="s">
        <v>29</v>
      </c>
      <c r="X37" t="s">
        <v>29</v>
      </c>
      <c r="Y37" t="str">
        <f t="shared" si="1"/>
        <v>NEW</v>
      </c>
      <c r="Z37" s="3" t="s">
        <v>29</v>
      </c>
      <c r="AA37" t="s">
        <v>372</v>
      </c>
      <c r="AB37" s="3" t="s">
        <v>644</v>
      </c>
      <c r="AC37" t="s">
        <v>645</v>
      </c>
      <c r="AD37" t="s">
        <v>356</v>
      </c>
    </row>
    <row r="38" spans="1:30" ht="28.8" x14ac:dyDescent="0.3">
      <c r="A38" t="s">
        <v>218</v>
      </c>
      <c r="B38">
        <v>2</v>
      </c>
      <c r="C38" t="s">
        <v>99</v>
      </c>
      <c r="D38" t="s">
        <v>29</v>
      </c>
      <c r="E38" t="s">
        <v>29</v>
      </c>
      <c r="F38" t="s">
        <v>29</v>
      </c>
      <c r="G38" s="3" t="s">
        <v>646</v>
      </c>
      <c r="H38" t="s">
        <v>55</v>
      </c>
      <c r="I38">
        <v>1</v>
      </c>
      <c r="J38">
        <v>3</v>
      </c>
      <c r="K38" t="s">
        <v>220</v>
      </c>
      <c r="L38" t="s">
        <v>145</v>
      </c>
      <c r="M38" t="s">
        <v>107</v>
      </c>
      <c r="N38" t="s">
        <v>34</v>
      </c>
      <c r="O38" t="s">
        <v>29</v>
      </c>
      <c r="P38" t="s">
        <v>29</v>
      </c>
      <c r="Q38" t="s">
        <v>29</v>
      </c>
      <c r="R38" t="s">
        <v>29</v>
      </c>
      <c r="S38" t="s">
        <v>29</v>
      </c>
      <c r="T38" t="s">
        <v>29</v>
      </c>
      <c r="U38" t="s">
        <v>29</v>
      </c>
      <c r="V38" t="s">
        <v>37</v>
      </c>
      <c r="W38" t="s">
        <v>29</v>
      </c>
      <c r="X38" t="s">
        <v>29</v>
      </c>
      <c r="Y38" t="str">
        <f t="shared" si="1"/>
        <v>NEW</v>
      </c>
      <c r="Z38" s="3" t="s">
        <v>647</v>
      </c>
      <c r="AA38" t="s">
        <v>382</v>
      </c>
      <c r="AB38" s="3" t="s">
        <v>648</v>
      </c>
      <c r="AC38" t="s">
        <v>649</v>
      </c>
      <c r="AD38" t="s">
        <v>322</v>
      </c>
    </row>
    <row r="39" spans="1:30" ht="43.2" x14ac:dyDescent="0.3">
      <c r="A39" t="s">
        <v>650</v>
      </c>
      <c r="B39">
        <v>1</v>
      </c>
      <c r="C39" t="s">
        <v>27</v>
      </c>
      <c r="D39" t="s">
        <v>29</v>
      </c>
      <c r="E39" t="s">
        <v>29</v>
      </c>
      <c r="F39" t="s">
        <v>29</v>
      </c>
      <c r="G39" s="3" t="s">
        <v>651</v>
      </c>
      <c r="H39" t="s">
        <v>55</v>
      </c>
      <c r="I39">
        <v>1</v>
      </c>
      <c r="J39">
        <v>3</v>
      </c>
      <c r="K39" t="s">
        <v>652</v>
      </c>
      <c r="L39" t="s">
        <v>145</v>
      </c>
      <c r="M39" t="s">
        <v>180</v>
      </c>
      <c r="N39" t="s">
        <v>216</v>
      </c>
      <c r="O39" t="s">
        <v>29</v>
      </c>
      <c r="P39" t="s">
        <v>29</v>
      </c>
      <c r="Q39" t="s">
        <v>29</v>
      </c>
      <c r="R39" t="s">
        <v>29</v>
      </c>
      <c r="S39" t="s">
        <v>29</v>
      </c>
      <c r="T39" t="s">
        <v>29</v>
      </c>
      <c r="U39" t="s">
        <v>29</v>
      </c>
      <c r="V39" t="s">
        <v>37</v>
      </c>
      <c r="W39" t="s">
        <v>29</v>
      </c>
      <c r="X39" t="s">
        <v>29</v>
      </c>
      <c r="Y39" t="str">
        <f t="shared" si="1"/>
        <v>NEW</v>
      </c>
      <c r="Z39" s="3" t="s">
        <v>653</v>
      </c>
      <c r="AA39" t="s">
        <v>361</v>
      </c>
      <c r="AB39" s="3" t="s">
        <v>654</v>
      </c>
      <c r="AC39" t="s">
        <v>436</v>
      </c>
      <c r="AD39" t="s">
        <v>322</v>
      </c>
    </row>
    <row r="40" spans="1:30" x14ac:dyDescent="0.3">
      <c r="A40" t="s">
        <v>655</v>
      </c>
      <c r="B40">
        <v>1</v>
      </c>
      <c r="C40" t="s">
        <v>27</v>
      </c>
      <c r="D40" t="s">
        <v>656</v>
      </c>
      <c r="E40" t="s">
        <v>29</v>
      </c>
      <c r="F40" t="s">
        <v>29</v>
      </c>
      <c r="G40" s="3" t="s">
        <v>657</v>
      </c>
      <c r="H40" t="s">
        <v>31</v>
      </c>
      <c r="I40">
        <v>0</v>
      </c>
      <c r="J40">
        <v>0</v>
      </c>
      <c r="K40" t="s">
        <v>658</v>
      </c>
      <c r="L40" t="s">
        <v>145</v>
      </c>
      <c r="M40" t="s">
        <v>65</v>
      </c>
      <c r="N40" t="s">
        <v>324</v>
      </c>
      <c r="O40" t="s">
        <v>35</v>
      </c>
      <c r="P40" t="s">
        <v>36</v>
      </c>
      <c r="Q40" t="s">
        <v>29</v>
      </c>
      <c r="R40" t="s">
        <v>29</v>
      </c>
      <c r="S40" t="s">
        <v>29</v>
      </c>
      <c r="T40" t="s">
        <v>29</v>
      </c>
      <c r="U40" t="s">
        <v>29</v>
      </c>
      <c r="V40" t="s">
        <v>37</v>
      </c>
      <c r="W40" t="s">
        <v>29</v>
      </c>
      <c r="X40" t="s">
        <v>29</v>
      </c>
      <c r="Y40" t="str">
        <f t="shared" si="1"/>
        <v>NEW</v>
      </c>
      <c r="Z40" s="3" t="s">
        <v>659</v>
      </c>
      <c r="AA40" t="s">
        <v>320</v>
      </c>
      <c r="AB40" s="3" t="s">
        <v>29</v>
      </c>
      <c r="AC40" t="s">
        <v>351</v>
      </c>
      <c r="AD40" t="s">
        <v>322</v>
      </c>
    </row>
    <row r="41" spans="1:30" ht="43.2" x14ac:dyDescent="0.3">
      <c r="A41" t="s">
        <v>660</v>
      </c>
      <c r="B41">
        <v>0</v>
      </c>
      <c r="C41" t="s">
        <v>99</v>
      </c>
      <c r="D41" t="s">
        <v>29</v>
      </c>
      <c r="E41" t="s">
        <v>29</v>
      </c>
      <c r="F41" t="s">
        <v>29</v>
      </c>
      <c r="G41" s="3" t="s">
        <v>661</v>
      </c>
      <c r="H41" t="s">
        <v>31</v>
      </c>
      <c r="I41">
        <v>0</v>
      </c>
      <c r="J41">
        <v>0</v>
      </c>
      <c r="K41" t="s">
        <v>660</v>
      </c>
      <c r="L41" t="s">
        <v>145</v>
      </c>
      <c r="M41" t="s">
        <v>65</v>
      </c>
      <c r="N41" t="s">
        <v>324</v>
      </c>
      <c r="O41" t="s">
        <v>29</v>
      </c>
      <c r="P41" t="s">
        <v>29</v>
      </c>
      <c r="Q41" t="s">
        <v>29</v>
      </c>
      <c r="R41" t="s">
        <v>29</v>
      </c>
      <c r="S41" t="s">
        <v>29</v>
      </c>
      <c r="T41" t="s">
        <v>29</v>
      </c>
      <c r="U41" t="s">
        <v>29</v>
      </c>
      <c r="V41" t="s">
        <v>37</v>
      </c>
      <c r="W41" t="s">
        <v>29</v>
      </c>
      <c r="X41" t="s">
        <v>29</v>
      </c>
      <c r="Y41" t="str">
        <f t="shared" si="1"/>
        <v>NEW</v>
      </c>
      <c r="Z41" s="3" t="s">
        <v>29</v>
      </c>
      <c r="AA41" t="s">
        <v>361</v>
      </c>
      <c r="AB41" s="3" t="s">
        <v>662</v>
      </c>
      <c r="AC41" t="s">
        <v>663</v>
      </c>
      <c r="AD41" t="s">
        <v>330</v>
      </c>
    </row>
    <row r="42" spans="1:30" x14ac:dyDescent="0.3">
      <c r="A42" t="s">
        <v>664</v>
      </c>
      <c r="B42">
        <v>3</v>
      </c>
      <c r="C42" t="s">
        <v>438</v>
      </c>
      <c r="D42" t="s">
        <v>467</v>
      </c>
      <c r="E42" t="s">
        <v>29</v>
      </c>
      <c r="F42" t="s">
        <v>29</v>
      </c>
      <c r="G42" s="3" t="s">
        <v>665</v>
      </c>
      <c r="H42" t="s">
        <v>55</v>
      </c>
      <c r="I42">
        <v>1</v>
      </c>
      <c r="J42">
        <v>4</v>
      </c>
      <c r="K42" t="s">
        <v>664</v>
      </c>
      <c r="L42" t="s">
        <v>145</v>
      </c>
      <c r="M42" t="s">
        <v>180</v>
      </c>
      <c r="N42" t="s">
        <v>535</v>
      </c>
      <c r="O42" t="s">
        <v>56</v>
      </c>
      <c r="P42" t="s">
        <v>550</v>
      </c>
      <c r="Q42" t="s">
        <v>29</v>
      </c>
      <c r="R42" t="s">
        <v>29</v>
      </c>
      <c r="S42" t="s">
        <v>29</v>
      </c>
      <c r="T42" t="s">
        <v>29</v>
      </c>
      <c r="U42" t="s">
        <v>29</v>
      </c>
      <c r="V42" t="s">
        <v>37</v>
      </c>
      <c r="W42" t="s">
        <v>29</v>
      </c>
      <c r="X42" t="s">
        <v>29</v>
      </c>
      <c r="Y42" t="str">
        <f t="shared" si="1"/>
        <v>NEW</v>
      </c>
      <c r="Z42" s="3" t="s">
        <v>29</v>
      </c>
      <c r="AA42" t="s">
        <v>320</v>
      </c>
      <c r="AB42" s="3" t="s">
        <v>29</v>
      </c>
      <c r="AC42" t="s">
        <v>436</v>
      </c>
      <c r="AD42" t="s">
        <v>330</v>
      </c>
    </row>
    <row r="43" spans="1:30" x14ac:dyDescent="0.3">
      <c r="A43" t="s">
        <v>666</v>
      </c>
      <c r="B43">
        <v>3</v>
      </c>
      <c r="C43" t="s">
        <v>438</v>
      </c>
      <c r="D43" t="s">
        <v>667</v>
      </c>
      <c r="E43" t="s">
        <v>29</v>
      </c>
      <c r="F43" t="s">
        <v>29</v>
      </c>
      <c r="G43" s="3" t="s">
        <v>668</v>
      </c>
      <c r="H43" t="s">
        <v>55</v>
      </c>
      <c r="I43">
        <v>1</v>
      </c>
      <c r="J43">
        <v>4</v>
      </c>
      <c r="K43" t="s">
        <v>666</v>
      </c>
      <c r="L43" t="s">
        <v>145</v>
      </c>
      <c r="M43" t="s">
        <v>180</v>
      </c>
      <c r="N43" t="s">
        <v>535</v>
      </c>
      <c r="O43" t="s">
        <v>56</v>
      </c>
      <c r="P43" t="s">
        <v>36</v>
      </c>
      <c r="Q43" t="s">
        <v>29</v>
      </c>
      <c r="R43" t="s">
        <v>29</v>
      </c>
      <c r="S43" t="s">
        <v>29</v>
      </c>
      <c r="T43" t="s">
        <v>29</v>
      </c>
      <c r="U43" t="s">
        <v>29</v>
      </c>
      <c r="V43" t="s">
        <v>37</v>
      </c>
      <c r="W43" t="s">
        <v>29</v>
      </c>
      <c r="X43" t="s">
        <v>29</v>
      </c>
      <c r="Y43" t="str">
        <f t="shared" si="1"/>
        <v>NEW</v>
      </c>
      <c r="Z43" s="3" t="s">
        <v>29</v>
      </c>
      <c r="AA43" t="s">
        <v>320</v>
      </c>
      <c r="AB43" s="3" t="s">
        <v>29</v>
      </c>
      <c r="AC43" t="s">
        <v>29</v>
      </c>
      <c r="AD43" t="s">
        <v>356</v>
      </c>
    </row>
    <row r="44" spans="1:30" x14ac:dyDescent="0.3">
      <c r="A44" t="s">
        <v>669</v>
      </c>
      <c r="B44">
        <v>3</v>
      </c>
      <c r="C44" t="s">
        <v>99</v>
      </c>
      <c r="D44" t="s">
        <v>164</v>
      </c>
      <c r="E44" t="s">
        <v>29</v>
      </c>
      <c r="F44" t="s">
        <v>29</v>
      </c>
      <c r="G44" s="3" t="s">
        <v>670</v>
      </c>
      <c r="H44" t="s">
        <v>31</v>
      </c>
      <c r="I44">
        <v>0</v>
      </c>
      <c r="J44">
        <v>0</v>
      </c>
      <c r="K44" t="s">
        <v>671</v>
      </c>
      <c r="L44" t="s">
        <v>145</v>
      </c>
      <c r="M44" t="s">
        <v>74</v>
      </c>
      <c r="N44" t="s">
        <v>167</v>
      </c>
      <c r="O44" t="s">
        <v>35</v>
      </c>
      <c r="P44" t="s">
        <v>60</v>
      </c>
      <c r="Q44" t="s">
        <v>29</v>
      </c>
      <c r="R44" t="s">
        <v>29</v>
      </c>
      <c r="S44" t="s">
        <v>29</v>
      </c>
      <c r="T44" t="s">
        <v>29</v>
      </c>
      <c r="U44" t="s">
        <v>29</v>
      </c>
      <c r="V44" t="s">
        <v>37</v>
      </c>
      <c r="W44" t="s">
        <v>29</v>
      </c>
      <c r="X44" t="s">
        <v>29</v>
      </c>
      <c r="Y44" t="str">
        <f t="shared" si="1"/>
        <v>NEW</v>
      </c>
      <c r="Z44" s="3" t="s">
        <v>29</v>
      </c>
      <c r="AA44" t="s">
        <v>320</v>
      </c>
      <c r="AB44" s="3" t="s">
        <v>29</v>
      </c>
      <c r="AC44" t="s">
        <v>436</v>
      </c>
      <c r="AD44" t="s">
        <v>330</v>
      </c>
    </row>
    <row r="45" spans="1:30" ht="57.6" x14ac:dyDescent="0.3">
      <c r="A45" t="s">
        <v>672</v>
      </c>
      <c r="B45">
        <v>3</v>
      </c>
      <c r="C45" t="s">
        <v>99</v>
      </c>
      <c r="D45" t="s">
        <v>29</v>
      </c>
      <c r="E45" t="s">
        <v>29</v>
      </c>
      <c r="F45" t="s">
        <v>29</v>
      </c>
      <c r="G45" s="3" t="s">
        <v>673</v>
      </c>
      <c r="H45" t="s">
        <v>55</v>
      </c>
      <c r="I45">
        <v>1</v>
      </c>
      <c r="J45">
        <v>2</v>
      </c>
      <c r="K45" t="s">
        <v>674</v>
      </c>
      <c r="L45" t="s">
        <v>145</v>
      </c>
      <c r="M45" t="s">
        <v>107</v>
      </c>
      <c r="N45" t="s">
        <v>107</v>
      </c>
      <c r="O45" t="s">
        <v>29</v>
      </c>
      <c r="P45" t="s">
        <v>29</v>
      </c>
      <c r="Q45" t="s">
        <v>29</v>
      </c>
      <c r="R45" t="s">
        <v>29</v>
      </c>
      <c r="S45" t="s">
        <v>29</v>
      </c>
      <c r="T45" t="s">
        <v>29</v>
      </c>
      <c r="U45" t="s">
        <v>29</v>
      </c>
      <c r="V45" t="s">
        <v>37</v>
      </c>
      <c r="W45" t="s">
        <v>29</v>
      </c>
      <c r="X45" t="s">
        <v>29</v>
      </c>
      <c r="Y45" t="str">
        <f t="shared" si="1"/>
        <v>NEW</v>
      </c>
      <c r="Z45" s="3" t="s">
        <v>675</v>
      </c>
      <c r="AA45" t="s">
        <v>382</v>
      </c>
      <c r="AB45" s="3" t="s">
        <v>676</v>
      </c>
      <c r="AC45" t="s">
        <v>436</v>
      </c>
      <c r="AD45" t="s">
        <v>322</v>
      </c>
    </row>
    <row r="46" spans="1:30" x14ac:dyDescent="0.3">
      <c r="A46" t="s">
        <v>677</v>
      </c>
      <c r="B46">
        <v>3</v>
      </c>
      <c r="C46" t="s">
        <v>438</v>
      </c>
      <c r="D46" t="s">
        <v>157</v>
      </c>
      <c r="E46" t="s">
        <v>29</v>
      </c>
      <c r="F46" t="s">
        <v>29</v>
      </c>
      <c r="G46" s="3" t="s">
        <v>678</v>
      </c>
      <c r="H46" t="s">
        <v>55</v>
      </c>
      <c r="I46">
        <v>1</v>
      </c>
      <c r="J46">
        <v>4</v>
      </c>
      <c r="K46" t="s">
        <v>679</v>
      </c>
      <c r="L46" t="s">
        <v>145</v>
      </c>
      <c r="M46" t="s">
        <v>150</v>
      </c>
      <c r="N46" t="s">
        <v>324</v>
      </c>
      <c r="O46" t="s">
        <v>56</v>
      </c>
      <c r="P46" t="s">
        <v>60</v>
      </c>
      <c r="Q46" t="s">
        <v>29</v>
      </c>
      <c r="R46" t="s">
        <v>29</v>
      </c>
      <c r="S46" t="s">
        <v>29</v>
      </c>
      <c r="T46" t="s">
        <v>29</v>
      </c>
      <c r="U46" t="s">
        <v>29</v>
      </c>
      <c r="V46" t="s">
        <v>37</v>
      </c>
      <c r="W46" t="s">
        <v>29</v>
      </c>
      <c r="X46" t="s">
        <v>29</v>
      </c>
      <c r="Y46" t="str">
        <f t="shared" si="1"/>
        <v>NEW</v>
      </c>
      <c r="Z46" s="3" t="s">
        <v>29</v>
      </c>
      <c r="AA46" t="s">
        <v>320</v>
      </c>
      <c r="AB46" s="3" t="s">
        <v>29</v>
      </c>
      <c r="AC46" t="s">
        <v>29</v>
      </c>
      <c r="AD46" t="s">
        <v>330</v>
      </c>
    </row>
    <row r="47" spans="1:30" x14ac:dyDescent="0.3">
      <c r="A47" t="s">
        <v>680</v>
      </c>
      <c r="B47">
        <v>2</v>
      </c>
      <c r="C47" t="s">
        <v>27</v>
      </c>
      <c r="D47" t="s">
        <v>126</v>
      </c>
      <c r="E47" t="s">
        <v>29</v>
      </c>
      <c r="F47" t="s">
        <v>29</v>
      </c>
      <c r="G47" s="3" t="s">
        <v>681</v>
      </c>
      <c r="H47" t="s">
        <v>55</v>
      </c>
      <c r="I47">
        <v>1</v>
      </c>
      <c r="J47">
        <v>3</v>
      </c>
      <c r="K47" t="s">
        <v>682</v>
      </c>
      <c r="L47" t="s">
        <v>145</v>
      </c>
      <c r="M47" t="s">
        <v>107</v>
      </c>
      <c r="N47" t="s">
        <v>683</v>
      </c>
      <c r="O47" t="s">
        <v>56</v>
      </c>
      <c r="P47" t="s">
        <v>36</v>
      </c>
      <c r="Q47" t="s">
        <v>29</v>
      </c>
      <c r="R47" t="s">
        <v>29</v>
      </c>
      <c r="S47" t="s">
        <v>29</v>
      </c>
      <c r="T47" t="s">
        <v>29</v>
      </c>
      <c r="U47" t="s">
        <v>29</v>
      </c>
      <c r="V47" t="s">
        <v>37</v>
      </c>
      <c r="W47" t="s">
        <v>29</v>
      </c>
      <c r="X47" t="s">
        <v>29</v>
      </c>
      <c r="Y47" t="str">
        <f t="shared" si="1"/>
        <v>NEW</v>
      </c>
      <c r="Z47" s="3" t="s">
        <v>684</v>
      </c>
      <c r="AA47" t="s">
        <v>320</v>
      </c>
      <c r="AB47" s="3" t="s">
        <v>29</v>
      </c>
      <c r="AC47" t="s">
        <v>29</v>
      </c>
      <c r="AD47" t="s">
        <v>330</v>
      </c>
    </row>
    <row r="48" spans="1:30" x14ac:dyDescent="0.3">
      <c r="A48" t="s">
        <v>685</v>
      </c>
      <c r="B48">
        <v>2</v>
      </c>
      <c r="C48" t="s">
        <v>27</v>
      </c>
      <c r="D48" t="s">
        <v>72</v>
      </c>
      <c r="E48" t="s">
        <v>29</v>
      </c>
      <c r="F48" t="s">
        <v>29</v>
      </c>
      <c r="G48" s="3" t="s">
        <v>686</v>
      </c>
      <c r="H48" t="s">
        <v>55</v>
      </c>
      <c r="I48">
        <v>1</v>
      </c>
      <c r="J48">
        <v>3</v>
      </c>
      <c r="K48" t="s">
        <v>687</v>
      </c>
      <c r="L48" t="s">
        <v>145</v>
      </c>
      <c r="M48" t="s">
        <v>74</v>
      </c>
      <c r="N48" t="s">
        <v>167</v>
      </c>
      <c r="O48" t="s">
        <v>56</v>
      </c>
      <c r="P48" t="s">
        <v>60</v>
      </c>
      <c r="Q48" t="s">
        <v>29</v>
      </c>
      <c r="R48" t="s">
        <v>29</v>
      </c>
      <c r="S48" t="s">
        <v>29</v>
      </c>
      <c r="T48" t="s">
        <v>29</v>
      </c>
      <c r="U48" t="s">
        <v>29</v>
      </c>
      <c r="V48" t="s">
        <v>37</v>
      </c>
      <c r="W48" t="s">
        <v>29</v>
      </c>
      <c r="X48" t="s">
        <v>29</v>
      </c>
      <c r="Y48" t="str">
        <f t="shared" si="1"/>
        <v>NEW</v>
      </c>
      <c r="Z48" s="3" t="s">
        <v>29</v>
      </c>
      <c r="AA48" t="s">
        <v>320</v>
      </c>
      <c r="AB48" s="3" t="s">
        <v>29</v>
      </c>
      <c r="AC48" t="s">
        <v>351</v>
      </c>
      <c r="AD48" t="s">
        <v>330</v>
      </c>
    </row>
    <row r="49" spans="1:30" x14ac:dyDescent="0.3">
      <c r="A49" t="s">
        <v>688</v>
      </c>
      <c r="B49">
        <v>3</v>
      </c>
      <c r="C49" t="s">
        <v>438</v>
      </c>
      <c r="D49" t="s">
        <v>689</v>
      </c>
      <c r="E49" t="s">
        <v>29</v>
      </c>
      <c r="F49" t="s">
        <v>29</v>
      </c>
      <c r="G49" s="3" t="s">
        <v>690</v>
      </c>
      <c r="H49" t="s">
        <v>55</v>
      </c>
      <c r="I49">
        <v>1</v>
      </c>
      <c r="J49">
        <v>4</v>
      </c>
      <c r="K49" t="s">
        <v>688</v>
      </c>
      <c r="L49" t="s">
        <v>145</v>
      </c>
      <c r="M49" t="s">
        <v>180</v>
      </c>
      <c r="N49" t="s">
        <v>324</v>
      </c>
      <c r="O49" t="s">
        <v>56</v>
      </c>
      <c r="P49" t="s">
        <v>36</v>
      </c>
      <c r="Q49" t="s">
        <v>29</v>
      </c>
      <c r="R49" t="s">
        <v>29</v>
      </c>
      <c r="S49" t="s">
        <v>29</v>
      </c>
      <c r="T49" t="s">
        <v>29</v>
      </c>
      <c r="U49" t="s">
        <v>29</v>
      </c>
      <c r="V49" t="s">
        <v>37</v>
      </c>
      <c r="W49" t="s">
        <v>29</v>
      </c>
      <c r="X49" t="s">
        <v>29</v>
      </c>
      <c r="Y49" t="str">
        <f t="shared" si="1"/>
        <v>NEW</v>
      </c>
      <c r="Z49" s="3" t="s">
        <v>29</v>
      </c>
      <c r="AA49" t="s">
        <v>320</v>
      </c>
      <c r="AB49" s="3" t="s">
        <v>29</v>
      </c>
      <c r="AC49" t="s">
        <v>436</v>
      </c>
      <c r="AD49" t="s">
        <v>356</v>
      </c>
    </row>
    <row r="50" spans="1:30" x14ac:dyDescent="0.3">
      <c r="A50" t="s">
        <v>691</v>
      </c>
      <c r="B50">
        <v>3</v>
      </c>
      <c r="C50" t="s">
        <v>99</v>
      </c>
      <c r="D50" t="s">
        <v>498</v>
      </c>
      <c r="E50" t="s">
        <v>415</v>
      </c>
      <c r="F50" t="s">
        <v>29</v>
      </c>
      <c r="G50" s="3" t="s">
        <v>692</v>
      </c>
      <c r="H50" t="s">
        <v>55</v>
      </c>
      <c r="I50">
        <v>1</v>
      </c>
      <c r="J50">
        <v>1</v>
      </c>
      <c r="K50" t="s">
        <v>693</v>
      </c>
      <c r="L50" t="s">
        <v>145</v>
      </c>
      <c r="M50" t="s">
        <v>180</v>
      </c>
      <c r="N50" t="s">
        <v>324</v>
      </c>
      <c r="O50" t="s">
        <v>56</v>
      </c>
      <c r="P50" s="1" t="s">
        <v>185</v>
      </c>
      <c r="Q50" t="s">
        <v>56</v>
      </c>
      <c r="R50" s="1" t="s">
        <v>185</v>
      </c>
      <c r="S50" t="s">
        <v>29</v>
      </c>
      <c r="T50" t="s">
        <v>29</v>
      </c>
      <c r="U50" t="s">
        <v>29</v>
      </c>
      <c r="V50" t="s">
        <v>37</v>
      </c>
      <c r="W50" t="s">
        <v>29</v>
      </c>
      <c r="X50" t="s">
        <v>29</v>
      </c>
      <c r="Y50" t="str">
        <f t="shared" si="1"/>
        <v>NEW</v>
      </c>
      <c r="Z50" s="3" t="s">
        <v>29</v>
      </c>
      <c r="AA50" t="s">
        <v>320</v>
      </c>
      <c r="AB50" s="3" t="s">
        <v>29</v>
      </c>
      <c r="AC50" t="s">
        <v>436</v>
      </c>
      <c r="AD50" t="s">
        <v>330</v>
      </c>
    </row>
    <row r="51" spans="1:30" x14ac:dyDescent="0.3">
      <c r="A51" t="s">
        <v>694</v>
      </c>
      <c r="B51">
        <v>3</v>
      </c>
      <c r="C51" t="s">
        <v>438</v>
      </c>
      <c r="D51" t="s">
        <v>63</v>
      </c>
      <c r="E51" t="s">
        <v>68</v>
      </c>
      <c r="F51" t="s">
        <v>656</v>
      </c>
      <c r="G51" s="3" t="s">
        <v>695</v>
      </c>
      <c r="H51" t="s">
        <v>31</v>
      </c>
      <c r="I51">
        <v>0</v>
      </c>
      <c r="J51">
        <v>0</v>
      </c>
      <c r="K51" t="s">
        <v>696</v>
      </c>
      <c r="L51" t="s">
        <v>145</v>
      </c>
      <c r="M51" t="s">
        <v>65</v>
      </c>
      <c r="N51" t="s">
        <v>324</v>
      </c>
      <c r="O51" t="s">
        <v>35</v>
      </c>
      <c r="P51" t="s">
        <v>36</v>
      </c>
      <c r="Q51" t="s">
        <v>35</v>
      </c>
      <c r="R51" t="s">
        <v>36</v>
      </c>
      <c r="S51" t="s">
        <v>35</v>
      </c>
      <c r="T51" t="s">
        <v>36</v>
      </c>
      <c r="U51" t="s">
        <v>29</v>
      </c>
      <c r="V51" t="s">
        <v>37</v>
      </c>
      <c r="W51" t="s">
        <v>29</v>
      </c>
      <c r="X51" t="s">
        <v>29</v>
      </c>
      <c r="Y51" t="str">
        <f t="shared" si="1"/>
        <v>NEW</v>
      </c>
      <c r="Z51" s="3" t="s">
        <v>29</v>
      </c>
      <c r="AA51" t="s">
        <v>320</v>
      </c>
      <c r="AB51" s="3" t="s">
        <v>29</v>
      </c>
      <c r="AC51" t="s">
        <v>29</v>
      </c>
      <c r="AD51" t="s">
        <v>330</v>
      </c>
    </row>
  </sheetData>
  <autoFilter ref="A1:AD51" xr:uid="{00000000-0009-0000-0000-000006000000}"/>
  <conditionalFormatting sqref="Y2:Y51">
    <cfRule type="cellIs" dxfId="8" priority="1" operator="equal">
      <formula>"NEW"</formula>
    </cfRule>
  </conditionalFormatting>
  <dataValidations count="9">
    <dataValidation type="list" allowBlank="1" sqref="L2:L251" xr:uid="{00000000-0002-0000-0600-000000000000}">
      <formula1>list_Class</formula1>
    </dataValidation>
    <dataValidation type="list" allowBlank="1" sqref="M2:M251" xr:uid="{00000000-0002-0000-0600-000001000000}">
      <formula1>list_Folder</formula1>
    </dataValidation>
    <dataValidation type="list" allowBlank="1" sqref="C2:C251" xr:uid="{00000000-0002-0000-0600-000002000000}">
      <formula1>list_Rarity</formula1>
    </dataValidation>
    <dataValidation type="list" allowBlank="1" sqref="H2:H251" xr:uid="{00000000-0002-0000-0600-000003000000}">
      <formula1>list_Shape</formula1>
    </dataValidation>
    <dataValidation type="list" allowBlank="1" sqref="O2:O251 S2:S251 Q2:Q251" xr:uid="{00000000-0002-0000-0600-000004000000}">
      <formula1>list_Aim</formula1>
    </dataValidation>
    <dataValidation type="list" allowBlank="1" sqref="D2:F251" xr:uid="{00000000-0002-0000-0600-000007000000}">
      <formula1>list_Effect</formula1>
    </dataValidation>
    <dataValidation type="list" allowBlank="1" sqref="V2:V251" xr:uid="{00000000-0002-0000-0600-00000A000000}">
      <formula1>list_Bool</formula1>
    </dataValidation>
    <dataValidation type="list" allowBlank="1" sqref="AA2:AA251" xr:uid="{00000000-0002-0000-0600-00000B000000}">
      <formula1>list_Buildable</formula1>
    </dataValidation>
    <dataValidation type="list" allowBlank="1" sqref="AD2:AD251" xr:uid="{00000000-0002-0000-0600-00000C000000}">
      <formula1>list_Priority</formula1>
    </dataValidation>
  </dataValidations>
  <hyperlinks>
    <hyperlink ref="P20" r:id="rId1" xr:uid="{00000000-0004-0000-0600-000000000000}"/>
    <hyperlink ref="P50" r:id="rId2" xr:uid="{00000000-0004-0000-0600-000001000000}"/>
    <hyperlink ref="R50" r:id="rId3" xr:uid="{00000000-0004-0000-06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44140625" customWidth="1"/>
    <col min="2" max="2" width="9.109375" customWidth="1"/>
    <col min="3" max="3" width="11.6640625" customWidth="1"/>
    <col min="4" max="4" width="11.33203125" customWidth="1"/>
    <col min="5" max="5" width="18.44140625" customWidth="1"/>
    <col min="6" max="6" width="9.109375" customWidth="1"/>
    <col min="7" max="7" width="52" style="3" customWidth="1"/>
    <col min="8" max="8" width="12.6640625" customWidth="1"/>
    <col min="9" max="9" width="10.77734375" customWidth="1"/>
    <col min="10" max="10" width="11.109375" customWidth="1"/>
    <col min="11" max="11" width="18"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31.8867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311</v>
      </c>
      <c r="AB1" s="4" t="s">
        <v>312</v>
      </c>
      <c r="AC1" s="2" t="s">
        <v>313</v>
      </c>
      <c r="AD1" s="2" t="s">
        <v>314</v>
      </c>
    </row>
    <row r="2" spans="1:30" x14ac:dyDescent="0.3">
      <c r="A2" t="s">
        <v>697</v>
      </c>
      <c r="B2">
        <v>1</v>
      </c>
      <c r="C2" t="s">
        <v>44</v>
      </c>
      <c r="D2" t="s">
        <v>698</v>
      </c>
      <c r="E2" t="s">
        <v>29</v>
      </c>
      <c r="F2" t="s">
        <v>29</v>
      </c>
      <c r="G2" s="3" t="s">
        <v>699</v>
      </c>
      <c r="H2" t="s">
        <v>55</v>
      </c>
      <c r="I2">
        <v>1</v>
      </c>
      <c r="J2">
        <v>1</v>
      </c>
      <c r="K2" t="s">
        <v>697</v>
      </c>
      <c r="L2" t="s">
        <v>246</v>
      </c>
      <c r="M2" t="s">
        <v>79</v>
      </c>
      <c r="N2" t="s">
        <v>324</v>
      </c>
      <c r="O2" t="s">
        <v>56</v>
      </c>
      <c r="P2" t="s">
        <v>36</v>
      </c>
      <c r="Q2" t="s">
        <v>29</v>
      </c>
      <c r="R2" t="s">
        <v>29</v>
      </c>
      <c r="S2" t="s">
        <v>29</v>
      </c>
      <c r="T2" t="s">
        <v>29</v>
      </c>
      <c r="U2" t="s">
        <v>29</v>
      </c>
      <c r="V2" t="s">
        <v>37</v>
      </c>
      <c r="W2" t="s">
        <v>29</v>
      </c>
      <c r="X2" t="s">
        <v>29</v>
      </c>
      <c r="Y2" t="str">
        <f t="shared" ref="Y2:Y33" si="0">IF($X2="","NEW","Live")</f>
        <v>NEW</v>
      </c>
      <c r="Z2" s="3" t="s">
        <v>29</v>
      </c>
      <c r="AA2" t="s">
        <v>320</v>
      </c>
      <c r="AB2" s="3" t="s">
        <v>29</v>
      </c>
      <c r="AC2" t="s">
        <v>486</v>
      </c>
      <c r="AD2" t="s">
        <v>322</v>
      </c>
    </row>
    <row r="3" spans="1:30" x14ac:dyDescent="0.3">
      <c r="A3" t="s">
        <v>700</v>
      </c>
      <c r="B3">
        <v>1</v>
      </c>
      <c r="C3" t="s">
        <v>27</v>
      </c>
      <c r="D3" t="s">
        <v>266</v>
      </c>
      <c r="E3" t="s">
        <v>701</v>
      </c>
      <c r="F3" t="s">
        <v>29</v>
      </c>
      <c r="G3" s="3" t="s">
        <v>702</v>
      </c>
      <c r="H3" t="s">
        <v>55</v>
      </c>
      <c r="I3">
        <v>1</v>
      </c>
      <c r="J3">
        <v>1</v>
      </c>
      <c r="K3" t="s">
        <v>703</v>
      </c>
      <c r="L3" t="s">
        <v>246</v>
      </c>
      <c r="M3" t="s">
        <v>79</v>
      </c>
      <c r="N3" t="s">
        <v>259</v>
      </c>
      <c r="O3" t="s">
        <v>56</v>
      </c>
      <c r="P3" t="s">
        <v>36</v>
      </c>
      <c r="Q3" t="s">
        <v>56</v>
      </c>
      <c r="R3" t="s">
        <v>36</v>
      </c>
      <c r="S3" t="s">
        <v>29</v>
      </c>
      <c r="T3" t="s">
        <v>29</v>
      </c>
      <c r="U3" t="s">
        <v>29</v>
      </c>
      <c r="V3" t="s">
        <v>37</v>
      </c>
      <c r="W3" t="s">
        <v>29</v>
      </c>
      <c r="X3" t="s">
        <v>29</v>
      </c>
      <c r="Y3" t="str">
        <f t="shared" si="0"/>
        <v>NEW</v>
      </c>
      <c r="Z3" s="3" t="s">
        <v>29</v>
      </c>
      <c r="AA3" t="s">
        <v>320</v>
      </c>
      <c r="AB3" s="3" t="s">
        <v>29</v>
      </c>
      <c r="AC3" t="s">
        <v>29</v>
      </c>
      <c r="AD3" t="s">
        <v>322</v>
      </c>
    </row>
    <row r="4" spans="1:30" x14ac:dyDescent="0.3">
      <c r="A4" t="s">
        <v>704</v>
      </c>
      <c r="B4">
        <v>2</v>
      </c>
      <c r="C4" t="s">
        <v>27</v>
      </c>
      <c r="D4" t="s">
        <v>467</v>
      </c>
      <c r="E4" t="s">
        <v>29</v>
      </c>
      <c r="F4" t="s">
        <v>29</v>
      </c>
      <c r="G4" s="3" t="s">
        <v>705</v>
      </c>
      <c r="H4" t="s">
        <v>55</v>
      </c>
      <c r="I4">
        <v>1</v>
      </c>
      <c r="J4">
        <v>1</v>
      </c>
      <c r="K4" t="s">
        <v>704</v>
      </c>
      <c r="L4" t="s">
        <v>246</v>
      </c>
      <c r="M4" t="s">
        <v>79</v>
      </c>
      <c r="N4" t="s">
        <v>324</v>
      </c>
      <c r="O4" t="s">
        <v>56</v>
      </c>
      <c r="P4" t="s">
        <v>36</v>
      </c>
      <c r="Q4" t="s">
        <v>29</v>
      </c>
      <c r="R4" t="s">
        <v>29</v>
      </c>
      <c r="S4" t="s">
        <v>29</v>
      </c>
      <c r="T4" t="s">
        <v>29</v>
      </c>
      <c r="U4" t="s">
        <v>29</v>
      </c>
      <c r="V4" t="s">
        <v>37</v>
      </c>
      <c r="W4" t="s">
        <v>29</v>
      </c>
      <c r="X4" t="s">
        <v>29</v>
      </c>
      <c r="Y4" t="str">
        <f t="shared" si="0"/>
        <v>NEW</v>
      </c>
      <c r="Z4" s="3" t="s">
        <v>29</v>
      </c>
      <c r="AA4" t="s">
        <v>320</v>
      </c>
      <c r="AB4" s="3" t="s">
        <v>29</v>
      </c>
      <c r="AC4" t="s">
        <v>486</v>
      </c>
      <c r="AD4" t="s">
        <v>330</v>
      </c>
    </row>
    <row r="5" spans="1:30" x14ac:dyDescent="0.3">
      <c r="A5" t="s">
        <v>706</v>
      </c>
      <c r="B5">
        <v>0</v>
      </c>
      <c r="C5" t="s">
        <v>44</v>
      </c>
      <c r="D5" t="s">
        <v>244</v>
      </c>
      <c r="E5" t="s">
        <v>29</v>
      </c>
      <c r="F5" t="s">
        <v>29</v>
      </c>
      <c r="G5" s="3" t="s">
        <v>707</v>
      </c>
      <c r="H5" t="s">
        <v>31</v>
      </c>
      <c r="I5">
        <v>0</v>
      </c>
      <c r="J5">
        <v>0</v>
      </c>
      <c r="K5" t="s">
        <v>706</v>
      </c>
      <c r="L5" t="s">
        <v>246</v>
      </c>
      <c r="M5" t="s">
        <v>33</v>
      </c>
      <c r="N5" t="s">
        <v>34</v>
      </c>
      <c r="O5" t="s">
        <v>35</v>
      </c>
      <c r="P5" t="s">
        <v>36</v>
      </c>
      <c r="Q5" t="s">
        <v>29</v>
      </c>
      <c r="R5" t="s">
        <v>29</v>
      </c>
      <c r="S5" t="s">
        <v>29</v>
      </c>
      <c r="T5" t="s">
        <v>29</v>
      </c>
      <c r="U5" t="s">
        <v>29</v>
      </c>
      <c r="V5" t="s">
        <v>37</v>
      </c>
      <c r="W5" t="s">
        <v>29</v>
      </c>
      <c r="X5" t="s">
        <v>29</v>
      </c>
      <c r="Y5" t="str">
        <f t="shared" si="0"/>
        <v>NEW</v>
      </c>
      <c r="Z5" s="3" t="s">
        <v>29</v>
      </c>
      <c r="AA5" t="s">
        <v>320</v>
      </c>
      <c r="AB5" s="3" t="s">
        <v>29</v>
      </c>
      <c r="AC5" t="s">
        <v>29</v>
      </c>
      <c r="AD5" t="s">
        <v>322</v>
      </c>
    </row>
    <row r="6" spans="1:30" x14ac:dyDescent="0.3">
      <c r="A6" t="s">
        <v>708</v>
      </c>
      <c r="B6">
        <v>1</v>
      </c>
      <c r="C6" t="s">
        <v>44</v>
      </c>
      <c r="D6" t="s">
        <v>279</v>
      </c>
      <c r="E6" t="s">
        <v>29</v>
      </c>
      <c r="F6" t="s">
        <v>29</v>
      </c>
      <c r="G6" s="3" t="s">
        <v>709</v>
      </c>
      <c r="H6" t="s">
        <v>55</v>
      </c>
      <c r="I6">
        <v>1</v>
      </c>
      <c r="J6">
        <v>1</v>
      </c>
      <c r="K6" t="s">
        <v>708</v>
      </c>
      <c r="L6" t="s">
        <v>246</v>
      </c>
      <c r="M6" t="s">
        <v>150</v>
      </c>
      <c r="N6" t="s">
        <v>598</v>
      </c>
      <c r="O6" t="s">
        <v>56</v>
      </c>
      <c r="P6" t="s">
        <v>36</v>
      </c>
      <c r="Q6" t="s">
        <v>29</v>
      </c>
      <c r="R6" t="s">
        <v>29</v>
      </c>
      <c r="S6" t="s">
        <v>29</v>
      </c>
      <c r="T6" t="s">
        <v>29</v>
      </c>
      <c r="U6" t="s">
        <v>29</v>
      </c>
      <c r="V6" t="s">
        <v>37</v>
      </c>
      <c r="W6" t="s">
        <v>29</v>
      </c>
      <c r="X6" t="s">
        <v>29</v>
      </c>
      <c r="Y6" t="str">
        <f t="shared" si="0"/>
        <v>NEW</v>
      </c>
      <c r="Z6" s="3" t="s">
        <v>29</v>
      </c>
      <c r="AA6" t="s">
        <v>320</v>
      </c>
      <c r="AB6" s="3" t="s">
        <v>29</v>
      </c>
      <c r="AC6" t="s">
        <v>29</v>
      </c>
      <c r="AD6" t="s">
        <v>330</v>
      </c>
    </row>
    <row r="7" spans="1:30" x14ac:dyDescent="0.3">
      <c r="A7" t="s">
        <v>710</v>
      </c>
      <c r="B7">
        <v>2</v>
      </c>
      <c r="C7" t="s">
        <v>99</v>
      </c>
      <c r="D7" t="s">
        <v>495</v>
      </c>
      <c r="E7" t="s">
        <v>262</v>
      </c>
      <c r="F7" t="s">
        <v>29</v>
      </c>
      <c r="G7" s="3" t="s">
        <v>711</v>
      </c>
      <c r="H7" t="s">
        <v>55</v>
      </c>
      <c r="I7">
        <v>1</v>
      </c>
      <c r="J7">
        <v>1</v>
      </c>
      <c r="K7" t="s">
        <v>712</v>
      </c>
      <c r="L7" t="s">
        <v>246</v>
      </c>
      <c r="M7" t="s">
        <v>79</v>
      </c>
      <c r="N7" t="s">
        <v>324</v>
      </c>
      <c r="O7" t="s">
        <v>56</v>
      </c>
      <c r="P7" t="s">
        <v>36</v>
      </c>
      <c r="Q7" t="s">
        <v>56</v>
      </c>
      <c r="R7" t="s">
        <v>36</v>
      </c>
      <c r="S7" t="s">
        <v>29</v>
      </c>
      <c r="T7" t="s">
        <v>29</v>
      </c>
      <c r="U7" t="s">
        <v>29</v>
      </c>
      <c r="V7" t="s">
        <v>37</v>
      </c>
      <c r="W7" t="s">
        <v>29</v>
      </c>
      <c r="X7" t="s">
        <v>29</v>
      </c>
      <c r="Y7" t="str">
        <f t="shared" si="0"/>
        <v>NEW</v>
      </c>
      <c r="Z7" s="3" t="s">
        <v>29</v>
      </c>
      <c r="AA7" t="s">
        <v>320</v>
      </c>
      <c r="AB7" s="3" t="s">
        <v>29</v>
      </c>
      <c r="AC7" t="s">
        <v>29</v>
      </c>
      <c r="AD7" t="s">
        <v>330</v>
      </c>
    </row>
    <row r="8" spans="1:30" x14ac:dyDescent="0.3">
      <c r="A8" t="s">
        <v>713</v>
      </c>
      <c r="B8">
        <v>1</v>
      </c>
      <c r="C8" t="s">
        <v>27</v>
      </c>
      <c r="D8" t="s">
        <v>72</v>
      </c>
      <c r="E8" t="s">
        <v>29</v>
      </c>
      <c r="F8" t="s">
        <v>29</v>
      </c>
      <c r="G8" s="3" t="s">
        <v>170</v>
      </c>
      <c r="H8" t="s">
        <v>31</v>
      </c>
      <c r="I8">
        <v>0</v>
      </c>
      <c r="J8">
        <v>0</v>
      </c>
      <c r="K8" t="s">
        <v>713</v>
      </c>
      <c r="L8" t="s">
        <v>246</v>
      </c>
      <c r="M8" t="s">
        <v>74</v>
      </c>
      <c r="N8" t="s">
        <v>167</v>
      </c>
      <c r="O8" t="s">
        <v>35</v>
      </c>
      <c r="P8" t="s">
        <v>36</v>
      </c>
      <c r="Q8" t="s">
        <v>29</v>
      </c>
      <c r="R8" t="s">
        <v>29</v>
      </c>
      <c r="S8" t="s">
        <v>29</v>
      </c>
      <c r="T8" t="s">
        <v>29</v>
      </c>
      <c r="U8" t="s">
        <v>29</v>
      </c>
      <c r="V8" t="s">
        <v>37</v>
      </c>
      <c r="W8" t="s">
        <v>29</v>
      </c>
      <c r="X8" t="s">
        <v>29</v>
      </c>
      <c r="Y8" t="str">
        <f t="shared" si="0"/>
        <v>NEW</v>
      </c>
      <c r="Z8" s="3" t="s">
        <v>714</v>
      </c>
      <c r="AA8" t="s">
        <v>320</v>
      </c>
      <c r="AB8" s="3" t="s">
        <v>29</v>
      </c>
      <c r="AC8" t="s">
        <v>29</v>
      </c>
      <c r="AD8" t="s">
        <v>322</v>
      </c>
    </row>
    <row r="9" spans="1:30" x14ac:dyDescent="0.3">
      <c r="A9" t="s">
        <v>715</v>
      </c>
      <c r="B9">
        <v>1</v>
      </c>
      <c r="C9" t="s">
        <v>44</v>
      </c>
      <c r="D9" t="s">
        <v>143</v>
      </c>
      <c r="E9" t="s">
        <v>29</v>
      </c>
      <c r="F9" t="s">
        <v>29</v>
      </c>
      <c r="G9" s="3" t="s">
        <v>332</v>
      </c>
      <c r="H9" t="s">
        <v>31</v>
      </c>
      <c r="I9">
        <v>0</v>
      </c>
      <c r="J9">
        <v>0</v>
      </c>
      <c r="K9" t="s">
        <v>715</v>
      </c>
      <c r="L9" t="s">
        <v>246</v>
      </c>
      <c r="M9" t="s">
        <v>33</v>
      </c>
      <c r="N9" t="s">
        <v>34</v>
      </c>
      <c r="O9" t="s">
        <v>35</v>
      </c>
      <c r="P9" t="s">
        <v>36</v>
      </c>
      <c r="Q9" t="s">
        <v>29</v>
      </c>
      <c r="R9" t="s">
        <v>29</v>
      </c>
      <c r="S9" t="s">
        <v>29</v>
      </c>
      <c r="T9" t="s">
        <v>29</v>
      </c>
      <c r="U9" t="s">
        <v>29</v>
      </c>
      <c r="V9" t="s">
        <v>37</v>
      </c>
      <c r="W9" t="s">
        <v>29</v>
      </c>
      <c r="X9" t="s">
        <v>29</v>
      </c>
      <c r="Y9" t="str">
        <f t="shared" si="0"/>
        <v>NEW</v>
      </c>
      <c r="Z9" s="3" t="s">
        <v>29</v>
      </c>
      <c r="AA9" t="s">
        <v>320</v>
      </c>
      <c r="AB9" s="3" t="s">
        <v>29</v>
      </c>
      <c r="AC9" t="s">
        <v>486</v>
      </c>
      <c r="AD9" t="s">
        <v>330</v>
      </c>
    </row>
    <row r="10" spans="1:30" x14ac:dyDescent="0.3">
      <c r="A10" t="s">
        <v>716</v>
      </c>
      <c r="B10">
        <v>0</v>
      </c>
      <c r="C10" t="s">
        <v>44</v>
      </c>
      <c r="D10" t="s">
        <v>266</v>
      </c>
      <c r="E10" t="s">
        <v>29</v>
      </c>
      <c r="F10" t="s">
        <v>29</v>
      </c>
      <c r="G10" s="3" t="s">
        <v>531</v>
      </c>
      <c r="H10" t="s">
        <v>55</v>
      </c>
      <c r="I10">
        <v>1</v>
      </c>
      <c r="J10">
        <v>3</v>
      </c>
      <c r="K10" t="s">
        <v>717</v>
      </c>
      <c r="L10" t="s">
        <v>246</v>
      </c>
      <c r="M10" t="s">
        <v>180</v>
      </c>
      <c r="N10" t="s">
        <v>324</v>
      </c>
      <c r="O10" t="s">
        <v>56</v>
      </c>
      <c r="P10" t="s">
        <v>36</v>
      </c>
      <c r="Q10" t="s">
        <v>29</v>
      </c>
      <c r="R10" t="s">
        <v>29</v>
      </c>
      <c r="S10" t="s">
        <v>29</v>
      </c>
      <c r="T10" t="s">
        <v>29</v>
      </c>
      <c r="U10" t="s">
        <v>29</v>
      </c>
      <c r="V10" t="s">
        <v>37</v>
      </c>
      <c r="W10" t="s">
        <v>29</v>
      </c>
      <c r="X10" t="s">
        <v>29</v>
      </c>
      <c r="Y10" t="str">
        <f t="shared" si="0"/>
        <v>NEW</v>
      </c>
      <c r="Z10" s="3" t="s">
        <v>29</v>
      </c>
      <c r="AA10" t="s">
        <v>320</v>
      </c>
      <c r="AB10" s="3" t="s">
        <v>29</v>
      </c>
      <c r="AC10" t="s">
        <v>29</v>
      </c>
      <c r="AD10" t="s">
        <v>322</v>
      </c>
    </row>
    <row r="11" spans="1:30" x14ac:dyDescent="0.3">
      <c r="A11" t="s">
        <v>718</v>
      </c>
      <c r="B11">
        <v>2</v>
      </c>
      <c r="C11" t="s">
        <v>27</v>
      </c>
      <c r="D11" t="s">
        <v>100</v>
      </c>
      <c r="E11" t="s">
        <v>29</v>
      </c>
      <c r="F11" t="s">
        <v>29</v>
      </c>
      <c r="G11" s="3" t="s">
        <v>719</v>
      </c>
      <c r="H11" t="s">
        <v>31</v>
      </c>
      <c r="I11">
        <v>0</v>
      </c>
      <c r="J11">
        <v>0</v>
      </c>
      <c r="K11" t="s">
        <v>720</v>
      </c>
      <c r="L11" t="s">
        <v>246</v>
      </c>
      <c r="M11" t="s">
        <v>79</v>
      </c>
      <c r="N11" t="s">
        <v>324</v>
      </c>
      <c r="O11" t="s">
        <v>35</v>
      </c>
      <c r="P11" t="s">
        <v>102</v>
      </c>
      <c r="Q11" t="s">
        <v>29</v>
      </c>
      <c r="R11" t="s">
        <v>29</v>
      </c>
      <c r="S11" t="s">
        <v>29</v>
      </c>
      <c r="T11" t="s">
        <v>29</v>
      </c>
      <c r="U11" t="s">
        <v>29</v>
      </c>
      <c r="V11" t="s">
        <v>37</v>
      </c>
      <c r="W11" t="s">
        <v>29</v>
      </c>
      <c r="X11" t="s">
        <v>29</v>
      </c>
      <c r="Y11" t="str">
        <f t="shared" si="0"/>
        <v>NEW</v>
      </c>
      <c r="Z11" s="3" t="s">
        <v>29</v>
      </c>
      <c r="AA11" t="s">
        <v>320</v>
      </c>
      <c r="AB11" s="3" t="s">
        <v>29</v>
      </c>
      <c r="AC11" t="s">
        <v>351</v>
      </c>
      <c r="AD11" t="s">
        <v>330</v>
      </c>
    </row>
    <row r="12" spans="1:30" x14ac:dyDescent="0.3">
      <c r="A12" t="s">
        <v>721</v>
      </c>
      <c r="B12">
        <v>0</v>
      </c>
      <c r="C12" t="s">
        <v>27</v>
      </c>
      <c r="D12" t="s">
        <v>173</v>
      </c>
      <c r="E12" t="s">
        <v>29</v>
      </c>
      <c r="F12" t="s">
        <v>29</v>
      </c>
      <c r="G12" s="3" t="s">
        <v>722</v>
      </c>
      <c r="H12" t="s">
        <v>55</v>
      </c>
      <c r="I12">
        <v>1</v>
      </c>
      <c r="J12">
        <v>3</v>
      </c>
      <c r="K12" t="s">
        <v>721</v>
      </c>
      <c r="L12" t="s">
        <v>246</v>
      </c>
      <c r="M12" t="s">
        <v>176</v>
      </c>
      <c r="N12" t="s">
        <v>176</v>
      </c>
      <c r="O12" t="s">
        <v>56</v>
      </c>
      <c r="P12" t="s">
        <v>36</v>
      </c>
      <c r="Q12" t="s">
        <v>29</v>
      </c>
      <c r="R12" t="s">
        <v>29</v>
      </c>
      <c r="S12" t="s">
        <v>29</v>
      </c>
      <c r="T12" t="s">
        <v>29</v>
      </c>
      <c r="U12" t="s">
        <v>29</v>
      </c>
      <c r="V12" t="s">
        <v>37</v>
      </c>
      <c r="W12" t="s">
        <v>29</v>
      </c>
      <c r="X12" t="s">
        <v>29</v>
      </c>
      <c r="Y12" t="str">
        <f t="shared" si="0"/>
        <v>NEW</v>
      </c>
      <c r="Z12" s="3" t="s">
        <v>29</v>
      </c>
      <c r="AA12" t="s">
        <v>320</v>
      </c>
      <c r="AB12" s="3" t="s">
        <v>29</v>
      </c>
      <c r="AC12" t="s">
        <v>29</v>
      </c>
      <c r="AD12" t="s">
        <v>322</v>
      </c>
    </row>
    <row r="13" spans="1:30" x14ac:dyDescent="0.3">
      <c r="A13" t="s">
        <v>723</v>
      </c>
      <c r="B13">
        <v>1</v>
      </c>
      <c r="C13" t="s">
        <v>99</v>
      </c>
      <c r="D13" t="s">
        <v>173</v>
      </c>
      <c r="E13" t="s">
        <v>244</v>
      </c>
      <c r="F13" t="s">
        <v>29</v>
      </c>
      <c r="G13" s="3" t="s">
        <v>724</v>
      </c>
      <c r="H13" t="s">
        <v>55</v>
      </c>
      <c r="I13">
        <v>1</v>
      </c>
      <c r="J13">
        <v>3</v>
      </c>
      <c r="K13" t="s">
        <v>723</v>
      </c>
      <c r="L13" t="s">
        <v>246</v>
      </c>
      <c r="M13" t="s">
        <v>176</v>
      </c>
      <c r="N13" t="s">
        <v>392</v>
      </c>
      <c r="O13" t="s">
        <v>56</v>
      </c>
      <c r="P13" t="s">
        <v>36</v>
      </c>
      <c r="Q13" t="s">
        <v>35</v>
      </c>
      <c r="R13" t="s">
        <v>36</v>
      </c>
      <c r="S13" t="s">
        <v>29</v>
      </c>
      <c r="T13" t="s">
        <v>29</v>
      </c>
      <c r="U13" t="s">
        <v>29</v>
      </c>
      <c r="V13" t="s">
        <v>37</v>
      </c>
      <c r="W13" t="s">
        <v>29</v>
      </c>
      <c r="X13" t="s">
        <v>29</v>
      </c>
      <c r="Y13" t="str">
        <f t="shared" si="0"/>
        <v>NEW</v>
      </c>
      <c r="Z13" s="3" t="s">
        <v>29</v>
      </c>
      <c r="AA13" t="s">
        <v>320</v>
      </c>
      <c r="AB13" s="3" t="s">
        <v>29</v>
      </c>
      <c r="AC13" t="s">
        <v>351</v>
      </c>
      <c r="AD13" t="s">
        <v>322</v>
      </c>
    </row>
    <row r="14" spans="1:30" x14ac:dyDescent="0.3">
      <c r="A14" t="s">
        <v>725</v>
      </c>
      <c r="B14">
        <v>1</v>
      </c>
      <c r="C14" t="s">
        <v>44</v>
      </c>
      <c r="D14" t="s">
        <v>173</v>
      </c>
      <c r="E14" t="s">
        <v>50</v>
      </c>
      <c r="F14" t="s">
        <v>29</v>
      </c>
      <c r="G14" s="3" t="s">
        <v>726</v>
      </c>
      <c r="H14" t="s">
        <v>55</v>
      </c>
      <c r="I14">
        <v>1</v>
      </c>
      <c r="J14">
        <v>2</v>
      </c>
      <c r="K14" t="s">
        <v>725</v>
      </c>
      <c r="L14" t="s">
        <v>246</v>
      </c>
      <c r="M14" t="s">
        <v>176</v>
      </c>
      <c r="N14" t="s">
        <v>176</v>
      </c>
      <c r="O14" t="s">
        <v>56</v>
      </c>
      <c r="P14" t="s">
        <v>36</v>
      </c>
      <c r="Q14" t="s">
        <v>35</v>
      </c>
      <c r="R14" t="s">
        <v>36</v>
      </c>
      <c r="S14" t="s">
        <v>29</v>
      </c>
      <c r="T14" t="s">
        <v>29</v>
      </c>
      <c r="U14" t="s">
        <v>29</v>
      </c>
      <c r="V14" t="s">
        <v>37</v>
      </c>
      <c r="W14" t="s">
        <v>29</v>
      </c>
      <c r="X14" t="s">
        <v>29</v>
      </c>
      <c r="Y14" t="str">
        <f t="shared" si="0"/>
        <v>NEW</v>
      </c>
      <c r="Z14" s="3" t="s">
        <v>29</v>
      </c>
      <c r="AA14" t="s">
        <v>320</v>
      </c>
      <c r="AB14" s="3" t="s">
        <v>29</v>
      </c>
      <c r="AC14" t="s">
        <v>486</v>
      </c>
      <c r="AD14" t="s">
        <v>330</v>
      </c>
    </row>
    <row r="15" spans="1:30" x14ac:dyDescent="0.3">
      <c r="A15" t="s">
        <v>727</v>
      </c>
      <c r="B15">
        <v>1</v>
      </c>
      <c r="C15" t="s">
        <v>27</v>
      </c>
      <c r="D15" t="s">
        <v>266</v>
      </c>
      <c r="E15" t="s">
        <v>154</v>
      </c>
      <c r="F15" t="s">
        <v>29</v>
      </c>
      <c r="G15" s="3" t="s">
        <v>728</v>
      </c>
      <c r="H15" t="s">
        <v>55</v>
      </c>
      <c r="I15">
        <v>1</v>
      </c>
      <c r="J15">
        <v>1</v>
      </c>
      <c r="K15" t="s">
        <v>727</v>
      </c>
      <c r="L15" t="s">
        <v>246</v>
      </c>
      <c r="M15" t="s">
        <v>79</v>
      </c>
      <c r="N15" t="s">
        <v>360</v>
      </c>
      <c r="O15" t="s">
        <v>56</v>
      </c>
      <c r="P15" t="s">
        <v>36</v>
      </c>
      <c r="Q15" t="s">
        <v>56</v>
      </c>
      <c r="R15" t="s">
        <v>36</v>
      </c>
      <c r="S15" t="s">
        <v>29</v>
      </c>
      <c r="T15" t="s">
        <v>29</v>
      </c>
      <c r="U15" t="s">
        <v>29</v>
      </c>
      <c r="V15" t="s">
        <v>37</v>
      </c>
      <c r="W15" t="s">
        <v>29</v>
      </c>
      <c r="X15" t="s">
        <v>29</v>
      </c>
      <c r="Y15" t="str">
        <f t="shared" si="0"/>
        <v>NEW</v>
      </c>
      <c r="Z15" s="3" t="s">
        <v>29</v>
      </c>
      <c r="AA15" t="s">
        <v>320</v>
      </c>
      <c r="AB15" s="3" t="s">
        <v>29</v>
      </c>
      <c r="AC15" t="s">
        <v>29</v>
      </c>
      <c r="AD15" t="s">
        <v>322</v>
      </c>
    </row>
    <row r="16" spans="1:30" x14ac:dyDescent="0.3">
      <c r="A16" t="s">
        <v>729</v>
      </c>
      <c r="B16">
        <v>2</v>
      </c>
      <c r="C16" t="s">
        <v>99</v>
      </c>
      <c r="D16" t="s">
        <v>244</v>
      </c>
      <c r="E16" t="s">
        <v>262</v>
      </c>
      <c r="F16" t="s">
        <v>29</v>
      </c>
      <c r="G16" s="3" t="s">
        <v>730</v>
      </c>
      <c r="H16" t="s">
        <v>31</v>
      </c>
      <c r="I16">
        <v>0</v>
      </c>
      <c r="J16">
        <v>0</v>
      </c>
      <c r="K16" t="s">
        <v>731</v>
      </c>
      <c r="L16" t="s">
        <v>246</v>
      </c>
      <c r="M16" t="s">
        <v>33</v>
      </c>
      <c r="N16" t="s">
        <v>34</v>
      </c>
      <c r="O16" t="s">
        <v>35</v>
      </c>
      <c r="P16" t="s">
        <v>36</v>
      </c>
      <c r="Q16" t="s">
        <v>35</v>
      </c>
      <c r="R16" t="s">
        <v>388</v>
      </c>
      <c r="S16" t="s">
        <v>29</v>
      </c>
      <c r="T16" t="s">
        <v>29</v>
      </c>
      <c r="U16" t="s">
        <v>29</v>
      </c>
      <c r="V16" t="s">
        <v>37</v>
      </c>
      <c r="W16" t="s">
        <v>29</v>
      </c>
      <c r="X16" t="s">
        <v>29</v>
      </c>
      <c r="Y16" t="str">
        <f t="shared" si="0"/>
        <v>NEW</v>
      </c>
      <c r="Z16" s="3" t="s">
        <v>29</v>
      </c>
      <c r="AA16" t="s">
        <v>320</v>
      </c>
      <c r="AB16" s="3" t="s">
        <v>29</v>
      </c>
      <c r="AC16" t="s">
        <v>351</v>
      </c>
      <c r="AD16" t="s">
        <v>330</v>
      </c>
    </row>
    <row r="17" spans="1:30" ht="43.2" x14ac:dyDescent="0.3">
      <c r="A17" t="s">
        <v>732</v>
      </c>
      <c r="B17">
        <v>1</v>
      </c>
      <c r="C17" t="s">
        <v>27</v>
      </c>
      <c r="D17" t="s">
        <v>29</v>
      </c>
      <c r="E17" t="s">
        <v>29</v>
      </c>
      <c r="F17" t="s">
        <v>29</v>
      </c>
      <c r="G17" s="3" t="s">
        <v>733</v>
      </c>
      <c r="H17" t="s">
        <v>55</v>
      </c>
      <c r="I17">
        <v>1</v>
      </c>
      <c r="J17">
        <v>4</v>
      </c>
      <c r="K17" t="s">
        <v>734</v>
      </c>
      <c r="L17" t="s">
        <v>246</v>
      </c>
      <c r="M17" t="s">
        <v>176</v>
      </c>
      <c r="N17" t="s">
        <v>176</v>
      </c>
      <c r="O17" t="s">
        <v>29</v>
      </c>
      <c r="P17" t="s">
        <v>29</v>
      </c>
      <c r="Q17" t="s">
        <v>29</v>
      </c>
      <c r="R17" t="s">
        <v>29</v>
      </c>
      <c r="S17" t="s">
        <v>29</v>
      </c>
      <c r="T17" t="s">
        <v>29</v>
      </c>
      <c r="U17" t="s">
        <v>29</v>
      </c>
      <c r="V17" t="s">
        <v>37</v>
      </c>
      <c r="W17" t="s">
        <v>29</v>
      </c>
      <c r="X17" t="s">
        <v>29</v>
      </c>
      <c r="Y17" t="str">
        <f t="shared" si="0"/>
        <v>NEW</v>
      </c>
      <c r="Z17" s="3" t="s">
        <v>735</v>
      </c>
      <c r="AA17" t="s">
        <v>361</v>
      </c>
      <c r="AB17" s="3" t="s">
        <v>736</v>
      </c>
      <c r="AC17" t="s">
        <v>363</v>
      </c>
      <c r="AD17" t="s">
        <v>356</v>
      </c>
    </row>
    <row r="18" spans="1:30" ht="28.8" x14ac:dyDescent="0.3">
      <c r="A18" t="s">
        <v>737</v>
      </c>
      <c r="B18">
        <v>2</v>
      </c>
      <c r="C18" t="s">
        <v>99</v>
      </c>
      <c r="D18" t="s">
        <v>29</v>
      </c>
      <c r="E18" t="s">
        <v>29</v>
      </c>
      <c r="F18" t="s">
        <v>29</v>
      </c>
      <c r="G18" s="3" t="s">
        <v>738</v>
      </c>
      <c r="H18" t="s">
        <v>55</v>
      </c>
      <c r="I18">
        <v>1</v>
      </c>
      <c r="J18">
        <v>3</v>
      </c>
      <c r="K18" t="s">
        <v>737</v>
      </c>
      <c r="L18" t="s">
        <v>246</v>
      </c>
      <c r="M18" t="s">
        <v>79</v>
      </c>
      <c r="N18" t="s">
        <v>360</v>
      </c>
      <c r="O18" t="s">
        <v>29</v>
      </c>
      <c r="P18" t="s">
        <v>29</v>
      </c>
      <c r="Q18" t="s">
        <v>29</v>
      </c>
      <c r="R18" t="s">
        <v>29</v>
      </c>
      <c r="S18" t="s">
        <v>29</v>
      </c>
      <c r="T18" t="s">
        <v>29</v>
      </c>
      <c r="U18" t="s">
        <v>29</v>
      </c>
      <c r="V18" t="s">
        <v>37</v>
      </c>
      <c r="W18" t="s">
        <v>29</v>
      </c>
      <c r="X18" t="s">
        <v>29</v>
      </c>
      <c r="Y18" t="str">
        <f t="shared" si="0"/>
        <v>NEW</v>
      </c>
      <c r="Z18" s="3" t="s">
        <v>29</v>
      </c>
      <c r="AA18" t="s">
        <v>361</v>
      </c>
      <c r="AB18" s="3" t="s">
        <v>739</v>
      </c>
      <c r="AC18" t="s">
        <v>740</v>
      </c>
      <c r="AD18" t="s">
        <v>322</v>
      </c>
    </row>
    <row r="19" spans="1:30" ht="28.8" x14ac:dyDescent="0.3">
      <c r="A19" t="s">
        <v>741</v>
      </c>
      <c r="B19">
        <v>2</v>
      </c>
      <c r="C19" t="s">
        <v>99</v>
      </c>
      <c r="D19" t="s">
        <v>29</v>
      </c>
      <c r="E19" t="s">
        <v>29</v>
      </c>
      <c r="F19" t="s">
        <v>29</v>
      </c>
      <c r="G19" s="3" t="s">
        <v>742</v>
      </c>
      <c r="H19" t="s">
        <v>55</v>
      </c>
      <c r="I19">
        <v>1</v>
      </c>
      <c r="J19">
        <v>3</v>
      </c>
      <c r="K19" t="s">
        <v>741</v>
      </c>
      <c r="L19" t="s">
        <v>246</v>
      </c>
      <c r="M19" t="s">
        <v>150</v>
      </c>
      <c r="N19" t="s">
        <v>176</v>
      </c>
      <c r="O19" t="s">
        <v>29</v>
      </c>
      <c r="P19" t="s">
        <v>29</v>
      </c>
      <c r="Q19" t="s">
        <v>29</v>
      </c>
      <c r="R19" t="s">
        <v>29</v>
      </c>
      <c r="S19" t="s">
        <v>29</v>
      </c>
      <c r="T19" t="s">
        <v>29</v>
      </c>
      <c r="U19" t="s">
        <v>29</v>
      </c>
      <c r="V19" t="s">
        <v>37</v>
      </c>
      <c r="W19" t="s">
        <v>29</v>
      </c>
      <c r="X19" t="s">
        <v>29</v>
      </c>
      <c r="Y19" t="str">
        <f t="shared" si="0"/>
        <v>NEW</v>
      </c>
      <c r="Z19" s="3" t="s">
        <v>29</v>
      </c>
      <c r="AA19" t="s">
        <v>382</v>
      </c>
      <c r="AB19" s="3" t="s">
        <v>743</v>
      </c>
      <c r="AC19" t="s">
        <v>744</v>
      </c>
      <c r="AD19" t="s">
        <v>330</v>
      </c>
    </row>
    <row r="20" spans="1:30" ht="28.8" x14ac:dyDescent="0.3">
      <c r="A20" t="s">
        <v>745</v>
      </c>
      <c r="B20">
        <v>1</v>
      </c>
      <c r="C20" t="s">
        <v>44</v>
      </c>
      <c r="D20" t="s">
        <v>29</v>
      </c>
      <c r="E20" t="s">
        <v>29</v>
      </c>
      <c r="F20" t="s">
        <v>29</v>
      </c>
      <c r="G20" s="3" t="s">
        <v>746</v>
      </c>
      <c r="H20" t="s">
        <v>55</v>
      </c>
      <c r="I20">
        <v>1</v>
      </c>
      <c r="J20">
        <v>2</v>
      </c>
      <c r="K20" t="s">
        <v>747</v>
      </c>
      <c r="L20" t="s">
        <v>246</v>
      </c>
      <c r="M20" t="s">
        <v>176</v>
      </c>
      <c r="N20" t="s">
        <v>176</v>
      </c>
      <c r="O20" t="s">
        <v>29</v>
      </c>
      <c r="P20" t="s">
        <v>29</v>
      </c>
      <c r="Q20" t="s">
        <v>29</v>
      </c>
      <c r="R20" t="s">
        <v>29</v>
      </c>
      <c r="S20" t="s">
        <v>29</v>
      </c>
      <c r="T20" t="s">
        <v>29</v>
      </c>
      <c r="U20" t="s">
        <v>29</v>
      </c>
      <c r="V20" t="s">
        <v>37</v>
      </c>
      <c r="W20" t="s">
        <v>29</v>
      </c>
      <c r="X20" t="s">
        <v>29</v>
      </c>
      <c r="Y20" t="str">
        <f t="shared" si="0"/>
        <v>NEW</v>
      </c>
      <c r="Z20" s="3" t="s">
        <v>29</v>
      </c>
      <c r="AA20" t="s">
        <v>372</v>
      </c>
      <c r="AB20" s="3" t="s">
        <v>748</v>
      </c>
      <c r="AC20" t="s">
        <v>403</v>
      </c>
      <c r="AD20" t="s">
        <v>356</v>
      </c>
    </row>
    <row r="21" spans="1:30" ht="43.2" x14ac:dyDescent="0.3">
      <c r="A21" t="s">
        <v>749</v>
      </c>
      <c r="B21">
        <v>2</v>
      </c>
      <c r="C21" t="s">
        <v>27</v>
      </c>
      <c r="D21" t="s">
        <v>29</v>
      </c>
      <c r="E21" t="s">
        <v>29</v>
      </c>
      <c r="F21" t="s">
        <v>29</v>
      </c>
      <c r="G21" s="3" t="s">
        <v>750</v>
      </c>
      <c r="H21" t="s">
        <v>55</v>
      </c>
      <c r="I21">
        <v>1</v>
      </c>
      <c r="J21">
        <v>1</v>
      </c>
      <c r="K21" t="s">
        <v>751</v>
      </c>
      <c r="L21" t="s">
        <v>246</v>
      </c>
      <c r="M21" t="s">
        <v>79</v>
      </c>
      <c r="N21" t="s">
        <v>324</v>
      </c>
      <c r="O21" t="s">
        <v>29</v>
      </c>
      <c r="P21" t="s">
        <v>29</v>
      </c>
      <c r="Q21" t="s">
        <v>29</v>
      </c>
      <c r="R21" t="s">
        <v>29</v>
      </c>
      <c r="S21" t="s">
        <v>29</v>
      </c>
      <c r="T21" t="s">
        <v>29</v>
      </c>
      <c r="U21" t="s">
        <v>29</v>
      </c>
      <c r="V21" t="s">
        <v>37</v>
      </c>
      <c r="W21" t="s">
        <v>29</v>
      </c>
      <c r="X21" t="s">
        <v>29</v>
      </c>
      <c r="Y21" t="str">
        <f t="shared" si="0"/>
        <v>NEW</v>
      </c>
      <c r="Z21" s="3" t="s">
        <v>752</v>
      </c>
      <c r="AA21" t="s">
        <v>361</v>
      </c>
      <c r="AB21" s="3" t="s">
        <v>753</v>
      </c>
      <c r="AC21" t="s">
        <v>754</v>
      </c>
      <c r="AD21" t="s">
        <v>322</v>
      </c>
    </row>
    <row r="22" spans="1:30" x14ac:dyDescent="0.3">
      <c r="A22" t="s">
        <v>755</v>
      </c>
      <c r="B22">
        <v>2</v>
      </c>
      <c r="C22" t="s">
        <v>27</v>
      </c>
      <c r="D22" t="s">
        <v>756</v>
      </c>
      <c r="E22" t="s">
        <v>29</v>
      </c>
      <c r="F22" t="s">
        <v>29</v>
      </c>
      <c r="G22" s="3" t="s">
        <v>757</v>
      </c>
      <c r="H22" t="s">
        <v>55</v>
      </c>
      <c r="I22">
        <v>1</v>
      </c>
      <c r="J22">
        <v>1</v>
      </c>
      <c r="K22" t="s">
        <v>758</v>
      </c>
      <c r="L22" t="s">
        <v>246</v>
      </c>
      <c r="M22" t="s">
        <v>150</v>
      </c>
      <c r="N22" t="s">
        <v>598</v>
      </c>
      <c r="O22" t="s">
        <v>56</v>
      </c>
      <c r="P22" t="s">
        <v>36</v>
      </c>
      <c r="Q22" t="s">
        <v>29</v>
      </c>
      <c r="R22" t="s">
        <v>29</v>
      </c>
      <c r="S22" t="s">
        <v>29</v>
      </c>
      <c r="T22" t="s">
        <v>29</v>
      </c>
      <c r="U22" t="s">
        <v>29</v>
      </c>
      <c r="V22" t="s">
        <v>37</v>
      </c>
      <c r="W22" t="s">
        <v>29</v>
      </c>
      <c r="X22" t="s">
        <v>29</v>
      </c>
      <c r="Y22" t="str">
        <f t="shared" si="0"/>
        <v>NEW</v>
      </c>
      <c r="Z22" s="3" t="s">
        <v>29</v>
      </c>
      <c r="AA22" t="s">
        <v>320</v>
      </c>
      <c r="AB22" s="3" t="s">
        <v>29</v>
      </c>
      <c r="AC22" t="s">
        <v>29</v>
      </c>
      <c r="AD22" t="s">
        <v>330</v>
      </c>
    </row>
    <row r="23" spans="1:30" x14ac:dyDescent="0.3">
      <c r="A23" t="s">
        <v>759</v>
      </c>
      <c r="B23">
        <v>2</v>
      </c>
      <c r="C23" t="s">
        <v>99</v>
      </c>
      <c r="D23" t="s">
        <v>270</v>
      </c>
      <c r="E23" t="s">
        <v>415</v>
      </c>
      <c r="F23" t="s">
        <v>29</v>
      </c>
      <c r="G23" s="3" t="s">
        <v>760</v>
      </c>
      <c r="H23" t="s">
        <v>55</v>
      </c>
      <c r="I23">
        <v>1</v>
      </c>
      <c r="J23">
        <v>1</v>
      </c>
      <c r="K23" t="s">
        <v>761</v>
      </c>
      <c r="L23" t="s">
        <v>246</v>
      </c>
      <c r="M23" t="s">
        <v>150</v>
      </c>
      <c r="N23" t="s">
        <v>598</v>
      </c>
      <c r="O23" t="s">
        <v>56</v>
      </c>
      <c r="P23" t="s">
        <v>36</v>
      </c>
      <c r="Q23" t="s">
        <v>56</v>
      </c>
      <c r="R23" t="s">
        <v>36</v>
      </c>
      <c r="S23" t="s">
        <v>29</v>
      </c>
      <c r="T23" t="s">
        <v>29</v>
      </c>
      <c r="U23" t="s">
        <v>29</v>
      </c>
      <c r="V23" t="s">
        <v>37</v>
      </c>
      <c r="W23" t="s">
        <v>29</v>
      </c>
      <c r="X23" t="s">
        <v>29</v>
      </c>
      <c r="Y23" t="str">
        <f t="shared" si="0"/>
        <v>NEW</v>
      </c>
      <c r="Z23" s="3" t="s">
        <v>29</v>
      </c>
      <c r="AA23" t="s">
        <v>320</v>
      </c>
      <c r="AB23" s="3" t="s">
        <v>29</v>
      </c>
      <c r="AC23" t="s">
        <v>29</v>
      </c>
      <c r="AD23" t="s">
        <v>330</v>
      </c>
    </row>
    <row r="24" spans="1:30" x14ac:dyDescent="0.3">
      <c r="A24" t="s">
        <v>762</v>
      </c>
      <c r="B24">
        <v>2</v>
      </c>
      <c r="C24" t="s">
        <v>99</v>
      </c>
      <c r="D24" t="s">
        <v>77</v>
      </c>
      <c r="E24" t="s">
        <v>279</v>
      </c>
      <c r="F24" t="s">
        <v>29</v>
      </c>
      <c r="G24" s="3" t="s">
        <v>763</v>
      </c>
      <c r="H24" t="s">
        <v>55</v>
      </c>
      <c r="I24">
        <v>1</v>
      </c>
      <c r="J24">
        <v>1</v>
      </c>
      <c r="K24" t="s">
        <v>762</v>
      </c>
      <c r="L24" t="s">
        <v>246</v>
      </c>
      <c r="M24" t="s">
        <v>79</v>
      </c>
      <c r="N24" t="s">
        <v>259</v>
      </c>
      <c r="O24" t="s">
        <v>56</v>
      </c>
      <c r="P24" t="s">
        <v>36</v>
      </c>
      <c r="Q24" t="s">
        <v>56</v>
      </c>
      <c r="R24" t="s">
        <v>36</v>
      </c>
      <c r="S24" t="s">
        <v>29</v>
      </c>
      <c r="T24" t="s">
        <v>29</v>
      </c>
      <c r="U24" t="s">
        <v>29</v>
      </c>
      <c r="V24" t="s">
        <v>37</v>
      </c>
      <c r="W24" t="s">
        <v>29</v>
      </c>
      <c r="X24" t="s">
        <v>29</v>
      </c>
      <c r="Y24" t="str">
        <f t="shared" si="0"/>
        <v>NEW</v>
      </c>
      <c r="Z24" s="3" t="s">
        <v>29</v>
      </c>
      <c r="AA24" t="s">
        <v>320</v>
      </c>
      <c r="AB24" s="3" t="s">
        <v>29</v>
      </c>
      <c r="AC24" t="s">
        <v>29</v>
      </c>
      <c r="AD24" t="s">
        <v>322</v>
      </c>
    </row>
    <row r="25" spans="1:30" x14ac:dyDescent="0.3">
      <c r="A25" t="s">
        <v>764</v>
      </c>
      <c r="B25">
        <v>2</v>
      </c>
      <c r="C25" t="s">
        <v>99</v>
      </c>
      <c r="D25" t="s">
        <v>266</v>
      </c>
      <c r="E25" t="s">
        <v>68</v>
      </c>
      <c r="F25" t="s">
        <v>29</v>
      </c>
      <c r="G25" s="3" t="s">
        <v>765</v>
      </c>
      <c r="H25" t="s">
        <v>31</v>
      </c>
      <c r="I25">
        <v>0</v>
      </c>
      <c r="J25">
        <v>0</v>
      </c>
      <c r="K25" t="s">
        <v>766</v>
      </c>
      <c r="L25" t="s">
        <v>246</v>
      </c>
      <c r="M25" t="s">
        <v>65</v>
      </c>
      <c r="N25" t="s">
        <v>324</v>
      </c>
      <c r="O25" t="s">
        <v>56</v>
      </c>
      <c r="P25" t="s">
        <v>36</v>
      </c>
      <c r="Q25" t="s">
        <v>35</v>
      </c>
      <c r="R25" t="s">
        <v>36</v>
      </c>
      <c r="S25" t="s">
        <v>29</v>
      </c>
      <c r="T25" t="s">
        <v>29</v>
      </c>
      <c r="U25" t="s">
        <v>29</v>
      </c>
      <c r="V25" t="s">
        <v>37</v>
      </c>
      <c r="W25" t="s">
        <v>29</v>
      </c>
      <c r="X25" t="s">
        <v>29</v>
      </c>
      <c r="Y25" t="str">
        <f t="shared" si="0"/>
        <v>NEW</v>
      </c>
      <c r="Z25" s="3" t="s">
        <v>29</v>
      </c>
      <c r="AA25" t="s">
        <v>320</v>
      </c>
      <c r="AB25" s="3" t="s">
        <v>29</v>
      </c>
      <c r="AC25" t="s">
        <v>29</v>
      </c>
      <c r="AD25" t="s">
        <v>330</v>
      </c>
    </row>
    <row r="26" spans="1:30" x14ac:dyDescent="0.3">
      <c r="A26" t="s">
        <v>767</v>
      </c>
      <c r="B26">
        <v>1</v>
      </c>
      <c r="C26" t="s">
        <v>44</v>
      </c>
      <c r="D26" t="s">
        <v>408</v>
      </c>
      <c r="E26" t="s">
        <v>29</v>
      </c>
      <c r="F26" t="s">
        <v>29</v>
      </c>
      <c r="G26" s="3" t="s">
        <v>768</v>
      </c>
      <c r="H26" t="s">
        <v>31</v>
      </c>
      <c r="I26">
        <v>0</v>
      </c>
      <c r="J26">
        <v>0</v>
      </c>
      <c r="K26" t="s">
        <v>767</v>
      </c>
      <c r="L26" t="s">
        <v>246</v>
      </c>
      <c r="M26" t="s">
        <v>65</v>
      </c>
      <c r="N26" t="s">
        <v>324</v>
      </c>
      <c r="O26" t="s">
        <v>35</v>
      </c>
      <c r="P26" t="s">
        <v>36</v>
      </c>
      <c r="Q26" t="s">
        <v>29</v>
      </c>
      <c r="R26" t="s">
        <v>29</v>
      </c>
      <c r="S26" t="s">
        <v>29</v>
      </c>
      <c r="T26" t="s">
        <v>29</v>
      </c>
      <c r="U26" t="s">
        <v>29</v>
      </c>
      <c r="V26" t="s">
        <v>37</v>
      </c>
      <c r="W26" t="s">
        <v>29</v>
      </c>
      <c r="X26" t="s">
        <v>29</v>
      </c>
      <c r="Y26" t="str">
        <f t="shared" si="0"/>
        <v>NEW</v>
      </c>
      <c r="Z26" s="3" t="s">
        <v>769</v>
      </c>
      <c r="AA26" t="s">
        <v>320</v>
      </c>
      <c r="AB26" s="3" t="s">
        <v>29</v>
      </c>
      <c r="AC26" t="s">
        <v>29</v>
      </c>
      <c r="AD26" t="s">
        <v>330</v>
      </c>
    </row>
    <row r="27" spans="1:30" x14ac:dyDescent="0.3">
      <c r="A27" t="s">
        <v>133</v>
      </c>
      <c r="B27">
        <v>1</v>
      </c>
      <c r="C27" t="s">
        <v>27</v>
      </c>
      <c r="D27" t="s">
        <v>656</v>
      </c>
      <c r="E27" t="s">
        <v>29</v>
      </c>
      <c r="F27" t="s">
        <v>29</v>
      </c>
      <c r="G27" s="3" t="s">
        <v>657</v>
      </c>
      <c r="H27" t="s">
        <v>31</v>
      </c>
      <c r="I27">
        <v>0</v>
      </c>
      <c r="J27">
        <v>0</v>
      </c>
      <c r="K27" t="s">
        <v>133</v>
      </c>
      <c r="L27" t="s">
        <v>246</v>
      </c>
      <c r="M27" t="s">
        <v>65</v>
      </c>
      <c r="N27" t="s">
        <v>324</v>
      </c>
      <c r="O27" t="s">
        <v>35</v>
      </c>
      <c r="P27" t="s">
        <v>36</v>
      </c>
      <c r="Q27" t="s">
        <v>29</v>
      </c>
      <c r="R27" t="s">
        <v>29</v>
      </c>
      <c r="S27" t="s">
        <v>29</v>
      </c>
      <c r="T27" t="s">
        <v>29</v>
      </c>
      <c r="U27" t="s">
        <v>29</v>
      </c>
      <c r="V27" t="s">
        <v>37</v>
      </c>
      <c r="W27" t="s">
        <v>29</v>
      </c>
      <c r="X27" t="s">
        <v>29</v>
      </c>
      <c r="Y27" t="str">
        <f t="shared" si="0"/>
        <v>NEW</v>
      </c>
      <c r="Z27" s="3" t="s">
        <v>29</v>
      </c>
      <c r="AA27" t="s">
        <v>320</v>
      </c>
      <c r="AB27" s="3" t="s">
        <v>29</v>
      </c>
      <c r="AC27" t="s">
        <v>486</v>
      </c>
      <c r="AD27" t="s">
        <v>322</v>
      </c>
    </row>
    <row r="28" spans="1:30" x14ac:dyDescent="0.3">
      <c r="A28" t="s">
        <v>770</v>
      </c>
      <c r="B28">
        <v>1</v>
      </c>
      <c r="C28" t="s">
        <v>44</v>
      </c>
      <c r="D28" t="s">
        <v>771</v>
      </c>
      <c r="E28" t="s">
        <v>29</v>
      </c>
      <c r="F28" t="s">
        <v>29</v>
      </c>
      <c r="G28" s="3" t="s">
        <v>772</v>
      </c>
      <c r="H28" t="s">
        <v>55</v>
      </c>
      <c r="I28">
        <v>1</v>
      </c>
      <c r="J28">
        <v>2</v>
      </c>
      <c r="K28" t="s">
        <v>773</v>
      </c>
      <c r="L28" t="s">
        <v>246</v>
      </c>
      <c r="M28" t="s">
        <v>150</v>
      </c>
      <c r="N28" t="s">
        <v>324</v>
      </c>
      <c r="O28" t="s">
        <v>56</v>
      </c>
      <c r="P28" t="s">
        <v>36</v>
      </c>
      <c r="Q28" t="s">
        <v>29</v>
      </c>
      <c r="R28" t="s">
        <v>29</v>
      </c>
      <c r="S28" t="s">
        <v>29</v>
      </c>
      <c r="T28" t="s">
        <v>29</v>
      </c>
      <c r="U28" t="s">
        <v>29</v>
      </c>
      <c r="V28" t="s">
        <v>37</v>
      </c>
      <c r="W28" t="s">
        <v>29</v>
      </c>
      <c r="X28" t="s">
        <v>29</v>
      </c>
      <c r="Y28" t="str">
        <f t="shared" si="0"/>
        <v>NEW</v>
      </c>
      <c r="Z28" s="3" t="s">
        <v>29</v>
      </c>
      <c r="AA28" t="s">
        <v>320</v>
      </c>
      <c r="AB28" s="3" t="s">
        <v>29</v>
      </c>
      <c r="AC28" t="s">
        <v>29</v>
      </c>
      <c r="AD28" t="s">
        <v>330</v>
      </c>
    </row>
    <row r="29" spans="1:30" x14ac:dyDescent="0.3">
      <c r="A29" t="s">
        <v>774</v>
      </c>
      <c r="B29">
        <v>3</v>
      </c>
      <c r="C29" t="s">
        <v>99</v>
      </c>
      <c r="D29" t="s">
        <v>270</v>
      </c>
      <c r="E29" t="s">
        <v>29</v>
      </c>
      <c r="F29" t="s">
        <v>29</v>
      </c>
      <c r="G29" s="3" t="s">
        <v>775</v>
      </c>
      <c r="H29" t="s">
        <v>55</v>
      </c>
      <c r="I29">
        <v>1</v>
      </c>
      <c r="J29">
        <v>3</v>
      </c>
      <c r="K29" t="s">
        <v>776</v>
      </c>
      <c r="L29" t="s">
        <v>246</v>
      </c>
      <c r="M29" t="s">
        <v>150</v>
      </c>
      <c r="N29" t="s">
        <v>598</v>
      </c>
      <c r="O29" t="s">
        <v>56</v>
      </c>
      <c r="P29" t="s">
        <v>60</v>
      </c>
      <c r="Q29" t="s">
        <v>29</v>
      </c>
      <c r="R29" t="s">
        <v>29</v>
      </c>
      <c r="S29" t="s">
        <v>29</v>
      </c>
      <c r="T29" t="s">
        <v>29</v>
      </c>
      <c r="U29" t="s">
        <v>29</v>
      </c>
      <c r="V29" t="s">
        <v>37</v>
      </c>
      <c r="W29" t="s">
        <v>29</v>
      </c>
      <c r="X29" t="s">
        <v>29</v>
      </c>
      <c r="Y29" t="str">
        <f t="shared" si="0"/>
        <v>NEW</v>
      </c>
      <c r="Z29" s="3" t="s">
        <v>29</v>
      </c>
      <c r="AA29" t="s">
        <v>320</v>
      </c>
      <c r="AB29" s="3" t="s">
        <v>29</v>
      </c>
      <c r="AC29" t="s">
        <v>29</v>
      </c>
      <c r="AD29" t="s">
        <v>330</v>
      </c>
    </row>
    <row r="30" spans="1:30" x14ac:dyDescent="0.3">
      <c r="A30" t="s">
        <v>777</v>
      </c>
      <c r="B30">
        <v>2</v>
      </c>
      <c r="C30" t="s">
        <v>99</v>
      </c>
      <c r="D30" t="s">
        <v>612</v>
      </c>
      <c r="E30" t="s">
        <v>29</v>
      </c>
      <c r="F30" t="s">
        <v>29</v>
      </c>
      <c r="G30" s="3" t="s">
        <v>613</v>
      </c>
      <c r="H30" t="s">
        <v>31</v>
      </c>
      <c r="I30">
        <v>0</v>
      </c>
      <c r="J30">
        <v>0</v>
      </c>
      <c r="K30" t="s">
        <v>778</v>
      </c>
      <c r="L30" t="s">
        <v>246</v>
      </c>
      <c r="M30" t="s">
        <v>33</v>
      </c>
      <c r="N30" t="s">
        <v>34</v>
      </c>
      <c r="O30" t="s">
        <v>35</v>
      </c>
      <c r="P30" t="s">
        <v>36</v>
      </c>
      <c r="Q30" t="s">
        <v>29</v>
      </c>
      <c r="R30" t="s">
        <v>29</v>
      </c>
      <c r="S30" t="s">
        <v>29</v>
      </c>
      <c r="T30" t="s">
        <v>29</v>
      </c>
      <c r="U30" t="s">
        <v>29</v>
      </c>
      <c r="V30" t="s">
        <v>37</v>
      </c>
      <c r="W30" t="s">
        <v>29</v>
      </c>
      <c r="X30" t="s">
        <v>29</v>
      </c>
      <c r="Y30" t="str">
        <f t="shared" si="0"/>
        <v>NEW</v>
      </c>
      <c r="Z30" s="3" t="s">
        <v>29</v>
      </c>
      <c r="AA30" t="s">
        <v>320</v>
      </c>
      <c r="AB30" s="3" t="s">
        <v>29</v>
      </c>
      <c r="AC30" t="s">
        <v>29</v>
      </c>
      <c r="AD30" t="s">
        <v>330</v>
      </c>
    </row>
    <row r="31" spans="1:30" x14ac:dyDescent="0.3">
      <c r="A31" t="s">
        <v>779</v>
      </c>
      <c r="B31">
        <v>0</v>
      </c>
      <c r="C31" t="s">
        <v>99</v>
      </c>
      <c r="D31" t="s">
        <v>50</v>
      </c>
      <c r="E31" t="s">
        <v>29</v>
      </c>
      <c r="F31" t="s">
        <v>29</v>
      </c>
      <c r="G31" s="3" t="s">
        <v>780</v>
      </c>
      <c r="H31" t="s">
        <v>31</v>
      </c>
      <c r="I31">
        <v>0</v>
      </c>
      <c r="J31">
        <v>0</v>
      </c>
      <c r="K31" t="s">
        <v>779</v>
      </c>
      <c r="L31" t="s">
        <v>246</v>
      </c>
      <c r="M31" t="s">
        <v>65</v>
      </c>
      <c r="N31" t="s">
        <v>324</v>
      </c>
      <c r="O31" t="s">
        <v>35</v>
      </c>
      <c r="P31" t="s">
        <v>36</v>
      </c>
      <c r="Q31" t="s">
        <v>29</v>
      </c>
      <c r="R31" t="s">
        <v>29</v>
      </c>
      <c r="S31" t="s">
        <v>29</v>
      </c>
      <c r="T31" t="s">
        <v>29</v>
      </c>
      <c r="U31" t="s">
        <v>29</v>
      </c>
      <c r="V31" t="s">
        <v>37</v>
      </c>
      <c r="W31" t="s">
        <v>29</v>
      </c>
      <c r="X31" t="s">
        <v>29</v>
      </c>
      <c r="Y31" t="str">
        <f t="shared" si="0"/>
        <v>NEW</v>
      </c>
      <c r="Z31" s="3" t="s">
        <v>29</v>
      </c>
      <c r="AA31" t="s">
        <v>320</v>
      </c>
      <c r="AB31" s="3" t="s">
        <v>29</v>
      </c>
      <c r="AC31" t="s">
        <v>486</v>
      </c>
      <c r="AD31" t="s">
        <v>330</v>
      </c>
    </row>
    <row r="32" spans="1:30" ht="28.8" x14ac:dyDescent="0.3">
      <c r="A32" t="s">
        <v>781</v>
      </c>
      <c r="B32">
        <v>1</v>
      </c>
      <c r="C32" t="s">
        <v>99</v>
      </c>
      <c r="D32" t="s">
        <v>29</v>
      </c>
      <c r="E32" t="s">
        <v>29</v>
      </c>
      <c r="F32" t="s">
        <v>29</v>
      </c>
      <c r="G32" s="3" t="s">
        <v>782</v>
      </c>
      <c r="H32" t="s">
        <v>55</v>
      </c>
      <c r="I32">
        <v>1</v>
      </c>
      <c r="J32">
        <v>1</v>
      </c>
      <c r="K32" t="s">
        <v>783</v>
      </c>
      <c r="L32" t="s">
        <v>246</v>
      </c>
      <c r="M32" t="s">
        <v>79</v>
      </c>
      <c r="N32" t="s">
        <v>324</v>
      </c>
      <c r="O32" t="s">
        <v>29</v>
      </c>
      <c r="P32" t="s">
        <v>29</v>
      </c>
      <c r="Q32" t="s">
        <v>29</v>
      </c>
      <c r="R32" t="s">
        <v>29</v>
      </c>
      <c r="S32" t="s">
        <v>29</v>
      </c>
      <c r="T32" t="s">
        <v>29</v>
      </c>
      <c r="U32" t="s">
        <v>29</v>
      </c>
      <c r="V32" t="s">
        <v>37</v>
      </c>
      <c r="W32" t="s">
        <v>29</v>
      </c>
      <c r="X32" t="s">
        <v>29</v>
      </c>
      <c r="Y32" t="str">
        <f t="shared" si="0"/>
        <v>NEW</v>
      </c>
      <c r="Z32" s="3" t="s">
        <v>784</v>
      </c>
      <c r="AA32" t="s">
        <v>382</v>
      </c>
      <c r="AB32" s="3" t="s">
        <v>785</v>
      </c>
      <c r="AC32" t="s">
        <v>786</v>
      </c>
      <c r="AD32" t="s">
        <v>322</v>
      </c>
    </row>
    <row r="33" spans="1:30" ht="43.2" x14ac:dyDescent="0.3">
      <c r="A33" t="s">
        <v>787</v>
      </c>
      <c r="B33">
        <v>1</v>
      </c>
      <c r="C33" t="s">
        <v>99</v>
      </c>
      <c r="D33" t="s">
        <v>29</v>
      </c>
      <c r="E33" t="s">
        <v>29</v>
      </c>
      <c r="F33" t="s">
        <v>29</v>
      </c>
      <c r="G33" s="3" t="s">
        <v>788</v>
      </c>
      <c r="H33" t="s">
        <v>31</v>
      </c>
      <c r="I33">
        <v>0</v>
      </c>
      <c r="J33">
        <v>0</v>
      </c>
      <c r="K33" t="s">
        <v>789</v>
      </c>
      <c r="L33" t="s">
        <v>246</v>
      </c>
      <c r="M33" t="s">
        <v>65</v>
      </c>
      <c r="N33" t="s">
        <v>598</v>
      </c>
      <c r="O33" t="s">
        <v>29</v>
      </c>
      <c r="P33" t="s">
        <v>29</v>
      </c>
      <c r="Q33" t="s">
        <v>29</v>
      </c>
      <c r="R33" t="s">
        <v>29</v>
      </c>
      <c r="S33" t="s">
        <v>29</v>
      </c>
      <c r="T33" t="s">
        <v>29</v>
      </c>
      <c r="U33" t="s">
        <v>29</v>
      </c>
      <c r="V33" t="s">
        <v>37</v>
      </c>
      <c r="W33" t="s">
        <v>29</v>
      </c>
      <c r="X33" t="s">
        <v>29</v>
      </c>
      <c r="Y33" t="str">
        <f t="shared" si="0"/>
        <v>NEW</v>
      </c>
      <c r="Z33" s="3" t="s">
        <v>790</v>
      </c>
      <c r="AA33" t="s">
        <v>372</v>
      </c>
      <c r="AB33" s="3" t="s">
        <v>791</v>
      </c>
      <c r="AC33" t="s">
        <v>351</v>
      </c>
      <c r="AD33" t="s">
        <v>322</v>
      </c>
    </row>
    <row r="34" spans="1:30" ht="28.8" x14ac:dyDescent="0.3">
      <c r="A34" t="s">
        <v>792</v>
      </c>
      <c r="B34">
        <v>2</v>
      </c>
      <c r="C34" t="s">
        <v>438</v>
      </c>
      <c r="D34" t="s">
        <v>29</v>
      </c>
      <c r="E34" t="s">
        <v>29</v>
      </c>
      <c r="F34" t="s">
        <v>29</v>
      </c>
      <c r="G34" s="3" t="s">
        <v>793</v>
      </c>
      <c r="H34" t="s">
        <v>55</v>
      </c>
      <c r="I34">
        <v>1</v>
      </c>
      <c r="J34">
        <v>1</v>
      </c>
      <c r="K34" t="s">
        <v>792</v>
      </c>
      <c r="L34" t="s">
        <v>246</v>
      </c>
      <c r="M34" t="s">
        <v>79</v>
      </c>
      <c r="N34" t="s">
        <v>324</v>
      </c>
      <c r="O34" t="s">
        <v>29</v>
      </c>
      <c r="P34" t="s">
        <v>29</v>
      </c>
      <c r="Q34" t="s">
        <v>29</v>
      </c>
      <c r="R34" t="s">
        <v>29</v>
      </c>
      <c r="S34" t="s">
        <v>29</v>
      </c>
      <c r="T34" t="s">
        <v>29</v>
      </c>
      <c r="U34" t="s">
        <v>29</v>
      </c>
      <c r="V34" t="s">
        <v>37</v>
      </c>
      <c r="W34" t="s">
        <v>29</v>
      </c>
      <c r="X34" t="s">
        <v>29</v>
      </c>
      <c r="Y34" t="str">
        <f t="shared" ref="Y34:Y51" si="1">IF($X34="","NEW","Live")</f>
        <v>NEW</v>
      </c>
      <c r="Z34" s="3" t="s">
        <v>29</v>
      </c>
      <c r="AA34" t="s">
        <v>361</v>
      </c>
      <c r="AB34" s="3" t="s">
        <v>794</v>
      </c>
      <c r="AC34" t="s">
        <v>795</v>
      </c>
      <c r="AD34" t="s">
        <v>330</v>
      </c>
    </row>
    <row r="35" spans="1:30" ht="28.8" x14ac:dyDescent="0.3">
      <c r="A35" t="s">
        <v>796</v>
      </c>
      <c r="B35">
        <v>1</v>
      </c>
      <c r="C35" t="s">
        <v>27</v>
      </c>
      <c r="D35" t="s">
        <v>29</v>
      </c>
      <c r="E35" t="s">
        <v>29</v>
      </c>
      <c r="F35" t="s">
        <v>29</v>
      </c>
      <c r="G35" s="3" t="s">
        <v>797</v>
      </c>
      <c r="H35" t="s">
        <v>31</v>
      </c>
      <c r="I35">
        <v>0</v>
      </c>
      <c r="J35">
        <v>0</v>
      </c>
      <c r="K35" t="s">
        <v>798</v>
      </c>
      <c r="L35" t="s">
        <v>246</v>
      </c>
      <c r="M35" t="s">
        <v>65</v>
      </c>
      <c r="N35" t="s">
        <v>324</v>
      </c>
      <c r="O35" t="s">
        <v>29</v>
      </c>
      <c r="P35" t="s">
        <v>29</v>
      </c>
      <c r="Q35" t="s">
        <v>29</v>
      </c>
      <c r="R35" t="s">
        <v>29</v>
      </c>
      <c r="S35" t="s">
        <v>29</v>
      </c>
      <c r="T35" t="s">
        <v>29</v>
      </c>
      <c r="U35" t="s">
        <v>29</v>
      </c>
      <c r="V35" t="s">
        <v>37</v>
      </c>
      <c r="W35" t="s">
        <v>29</v>
      </c>
      <c r="X35" t="s">
        <v>29</v>
      </c>
      <c r="Y35" t="str">
        <f t="shared" si="1"/>
        <v>NEW</v>
      </c>
      <c r="Z35" s="3" t="s">
        <v>29</v>
      </c>
      <c r="AA35" t="s">
        <v>361</v>
      </c>
      <c r="AB35" s="3" t="s">
        <v>799</v>
      </c>
      <c r="AC35" t="s">
        <v>486</v>
      </c>
      <c r="AD35" t="s">
        <v>356</v>
      </c>
    </row>
    <row r="36" spans="1:30" ht="28.8" x14ac:dyDescent="0.3">
      <c r="A36" t="s">
        <v>800</v>
      </c>
      <c r="B36">
        <v>0</v>
      </c>
      <c r="C36" t="s">
        <v>44</v>
      </c>
      <c r="D36" t="s">
        <v>100</v>
      </c>
      <c r="E36" t="s">
        <v>29</v>
      </c>
      <c r="F36" t="s">
        <v>29</v>
      </c>
      <c r="G36" s="3" t="s">
        <v>801</v>
      </c>
      <c r="H36" t="s">
        <v>55</v>
      </c>
      <c r="I36">
        <v>1</v>
      </c>
      <c r="J36">
        <v>1</v>
      </c>
      <c r="K36" t="s">
        <v>800</v>
      </c>
      <c r="L36" t="s">
        <v>246</v>
      </c>
      <c r="M36" t="s">
        <v>79</v>
      </c>
      <c r="N36" t="s">
        <v>324</v>
      </c>
      <c r="O36" t="s">
        <v>56</v>
      </c>
      <c r="P36" t="s">
        <v>36</v>
      </c>
      <c r="Q36" t="s">
        <v>29</v>
      </c>
      <c r="R36" t="s">
        <v>29</v>
      </c>
      <c r="S36" t="s">
        <v>29</v>
      </c>
      <c r="T36" t="s">
        <v>29</v>
      </c>
      <c r="U36" t="s">
        <v>29</v>
      </c>
      <c r="V36" t="s">
        <v>37</v>
      </c>
      <c r="W36" t="s">
        <v>29</v>
      </c>
      <c r="X36" t="s">
        <v>29</v>
      </c>
      <c r="Y36" t="str">
        <f t="shared" si="1"/>
        <v>NEW</v>
      </c>
      <c r="Z36" s="3" t="s">
        <v>29</v>
      </c>
      <c r="AA36" t="s">
        <v>382</v>
      </c>
      <c r="AB36" s="3" t="s">
        <v>802</v>
      </c>
      <c r="AC36" t="s">
        <v>486</v>
      </c>
      <c r="AD36" t="s">
        <v>322</v>
      </c>
    </row>
    <row r="37" spans="1:30" ht="28.8" x14ac:dyDescent="0.3">
      <c r="A37" t="s">
        <v>803</v>
      </c>
      <c r="B37">
        <v>2</v>
      </c>
      <c r="C37" t="s">
        <v>99</v>
      </c>
      <c r="D37" t="s">
        <v>29</v>
      </c>
      <c r="E37" t="s">
        <v>29</v>
      </c>
      <c r="F37" t="s">
        <v>29</v>
      </c>
      <c r="G37" s="3" t="s">
        <v>804</v>
      </c>
      <c r="H37" t="s">
        <v>31</v>
      </c>
      <c r="I37">
        <v>0</v>
      </c>
      <c r="J37">
        <v>0</v>
      </c>
      <c r="K37" t="s">
        <v>805</v>
      </c>
      <c r="L37" t="s">
        <v>246</v>
      </c>
      <c r="M37" t="s">
        <v>65</v>
      </c>
      <c r="N37" t="s">
        <v>324</v>
      </c>
      <c r="O37" t="s">
        <v>29</v>
      </c>
      <c r="P37" t="s">
        <v>29</v>
      </c>
      <c r="Q37" t="s">
        <v>29</v>
      </c>
      <c r="R37" t="s">
        <v>29</v>
      </c>
      <c r="S37" t="s">
        <v>29</v>
      </c>
      <c r="T37" t="s">
        <v>29</v>
      </c>
      <c r="U37" t="s">
        <v>29</v>
      </c>
      <c r="V37" t="s">
        <v>37</v>
      </c>
      <c r="W37" t="s">
        <v>29</v>
      </c>
      <c r="X37" t="s">
        <v>29</v>
      </c>
      <c r="Y37" t="str">
        <f t="shared" si="1"/>
        <v>NEW</v>
      </c>
      <c r="Z37" s="3" t="s">
        <v>806</v>
      </c>
      <c r="AA37" t="s">
        <v>453</v>
      </c>
      <c r="AB37" s="3" t="s">
        <v>807</v>
      </c>
      <c r="AC37" t="s">
        <v>808</v>
      </c>
      <c r="AD37" t="s">
        <v>322</v>
      </c>
    </row>
    <row r="38" spans="1:30" ht="43.2" x14ac:dyDescent="0.3">
      <c r="A38" t="s">
        <v>809</v>
      </c>
      <c r="B38">
        <v>2</v>
      </c>
      <c r="C38" t="s">
        <v>99</v>
      </c>
      <c r="D38" t="s">
        <v>29</v>
      </c>
      <c r="E38" t="s">
        <v>29</v>
      </c>
      <c r="F38" t="s">
        <v>29</v>
      </c>
      <c r="G38" s="3" t="s">
        <v>810</v>
      </c>
      <c r="H38" t="s">
        <v>31</v>
      </c>
      <c r="I38">
        <v>0</v>
      </c>
      <c r="J38">
        <v>0</v>
      </c>
      <c r="K38" t="s">
        <v>809</v>
      </c>
      <c r="L38" t="s">
        <v>246</v>
      </c>
      <c r="M38" t="s">
        <v>33</v>
      </c>
      <c r="N38" t="s">
        <v>34</v>
      </c>
      <c r="O38" t="s">
        <v>29</v>
      </c>
      <c r="P38" t="s">
        <v>29</v>
      </c>
      <c r="Q38" t="s">
        <v>29</v>
      </c>
      <c r="R38" t="s">
        <v>29</v>
      </c>
      <c r="S38" t="s">
        <v>29</v>
      </c>
      <c r="T38" t="s">
        <v>29</v>
      </c>
      <c r="U38" t="s">
        <v>29</v>
      </c>
      <c r="V38" t="s">
        <v>37</v>
      </c>
      <c r="W38" t="s">
        <v>29</v>
      </c>
      <c r="X38" t="s">
        <v>29</v>
      </c>
      <c r="Y38" t="str">
        <f t="shared" si="1"/>
        <v>NEW</v>
      </c>
      <c r="Z38" s="3" t="s">
        <v>29</v>
      </c>
      <c r="AA38" t="s">
        <v>372</v>
      </c>
      <c r="AB38" s="3" t="s">
        <v>811</v>
      </c>
      <c r="AC38" t="s">
        <v>351</v>
      </c>
      <c r="AD38" t="s">
        <v>330</v>
      </c>
    </row>
    <row r="39" spans="1:30" ht="28.8" x14ac:dyDescent="0.3">
      <c r="A39" t="s">
        <v>812</v>
      </c>
      <c r="B39">
        <v>1</v>
      </c>
      <c r="C39" t="s">
        <v>27</v>
      </c>
      <c r="D39" t="s">
        <v>29</v>
      </c>
      <c r="E39" t="s">
        <v>29</v>
      </c>
      <c r="F39" t="s">
        <v>29</v>
      </c>
      <c r="G39" s="3" t="s">
        <v>813</v>
      </c>
      <c r="H39" t="s">
        <v>55</v>
      </c>
      <c r="I39">
        <v>1</v>
      </c>
      <c r="J39">
        <v>1</v>
      </c>
      <c r="K39" t="s">
        <v>812</v>
      </c>
      <c r="L39" t="s">
        <v>246</v>
      </c>
      <c r="M39" t="s">
        <v>79</v>
      </c>
      <c r="N39" t="s">
        <v>324</v>
      </c>
      <c r="O39" t="s">
        <v>29</v>
      </c>
      <c r="P39" t="s">
        <v>29</v>
      </c>
      <c r="Q39" t="s">
        <v>29</v>
      </c>
      <c r="R39" t="s">
        <v>29</v>
      </c>
      <c r="S39" t="s">
        <v>29</v>
      </c>
      <c r="T39" t="s">
        <v>29</v>
      </c>
      <c r="U39" t="s">
        <v>29</v>
      </c>
      <c r="V39" t="s">
        <v>37</v>
      </c>
      <c r="W39" t="s">
        <v>29</v>
      </c>
      <c r="X39" t="s">
        <v>29</v>
      </c>
      <c r="Y39" t="str">
        <f t="shared" si="1"/>
        <v>NEW</v>
      </c>
      <c r="Z39" s="3" t="s">
        <v>29</v>
      </c>
      <c r="AA39" t="s">
        <v>361</v>
      </c>
      <c r="AB39" s="3" t="s">
        <v>814</v>
      </c>
      <c r="AC39" t="s">
        <v>403</v>
      </c>
      <c r="AD39" t="s">
        <v>330</v>
      </c>
    </row>
    <row r="40" spans="1:30" ht="28.8" x14ac:dyDescent="0.3">
      <c r="A40" t="s">
        <v>815</v>
      </c>
      <c r="B40">
        <v>3</v>
      </c>
      <c r="C40" t="s">
        <v>438</v>
      </c>
      <c r="D40" t="s">
        <v>29</v>
      </c>
      <c r="E40" t="s">
        <v>29</v>
      </c>
      <c r="F40" t="s">
        <v>29</v>
      </c>
      <c r="G40" s="3" t="s">
        <v>816</v>
      </c>
      <c r="H40" t="s">
        <v>31</v>
      </c>
      <c r="I40">
        <v>0</v>
      </c>
      <c r="J40">
        <v>0</v>
      </c>
      <c r="K40" t="s">
        <v>815</v>
      </c>
      <c r="L40" t="s">
        <v>246</v>
      </c>
      <c r="M40" t="s">
        <v>65</v>
      </c>
      <c r="N40" t="s">
        <v>324</v>
      </c>
      <c r="O40" t="s">
        <v>29</v>
      </c>
      <c r="P40" t="s">
        <v>29</v>
      </c>
      <c r="Q40" t="s">
        <v>29</v>
      </c>
      <c r="R40" t="s">
        <v>29</v>
      </c>
      <c r="S40" t="s">
        <v>29</v>
      </c>
      <c r="T40" t="s">
        <v>29</v>
      </c>
      <c r="U40" t="s">
        <v>29</v>
      </c>
      <c r="V40" t="s">
        <v>37</v>
      </c>
      <c r="W40" t="s">
        <v>29</v>
      </c>
      <c r="X40" t="s">
        <v>29</v>
      </c>
      <c r="Y40" t="str">
        <f t="shared" si="1"/>
        <v>NEW</v>
      </c>
      <c r="Z40" s="3" t="s">
        <v>29</v>
      </c>
      <c r="AA40" t="s">
        <v>382</v>
      </c>
      <c r="AB40" s="3" t="s">
        <v>817</v>
      </c>
      <c r="AC40" t="s">
        <v>486</v>
      </c>
      <c r="AD40" t="s">
        <v>356</v>
      </c>
    </row>
    <row r="41" spans="1:30" ht="43.2" x14ac:dyDescent="0.3">
      <c r="A41" t="s">
        <v>818</v>
      </c>
      <c r="B41">
        <v>2</v>
      </c>
      <c r="C41" t="s">
        <v>99</v>
      </c>
      <c r="D41" t="s">
        <v>29</v>
      </c>
      <c r="E41" t="s">
        <v>29</v>
      </c>
      <c r="F41" t="s">
        <v>29</v>
      </c>
      <c r="G41" s="3" t="s">
        <v>819</v>
      </c>
      <c r="H41" t="s">
        <v>55</v>
      </c>
      <c r="I41">
        <v>1</v>
      </c>
      <c r="J41">
        <v>3</v>
      </c>
      <c r="K41" t="s">
        <v>818</v>
      </c>
      <c r="L41" t="s">
        <v>246</v>
      </c>
      <c r="M41" t="s">
        <v>150</v>
      </c>
      <c r="N41" t="s">
        <v>324</v>
      </c>
      <c r="O41" t="s">
        <v>29</v>
      </c>
      <c r="P41" t="s">
        <v>29</v>
      </c>
      <c r="Q41" t="s">
        <v>29</v>
      </c>
      <c r="R41" t="s">
        <v>29</v>
      </c>
      <c r="S41" t="s">
        <v>29</v>
      </c>
      <c r="T41" t="s">
        <v>29</v>
      </c>
      <c r="U41" t="s">
        <v>29</v>
      </c>
      <c r="V41" t="s">
        <v>37</v>
      </c>
      <c r="W41" t="s">
        <v>29</v>
      </c>
      <c r="X41" t="s">
        <v>29</v>
      </c>
      <c r="Y41" t="str">
        <f t="shared" si="1"/>
        <v>NEW</v>
      </c>
      <c r="Z41" s="3" t="s">
        <v>29</v>
      </c>
      <c r="AA41" t="s">
        <v>372</v>
      </c>
      <c r="AB41" s="3" t="s">
        <v>820</v>
      </c>
      <c r="AC41" t="s">
        <v>821</v>
      </c>
      <c r="AD41" t="s">
        <v>356</v>
      </c>
    </row>
    <row r="42" spans="1:30" x14ac:dyDescent="0.3">
      <c r="A42" t="s">
        <v>822</v>
      </c>
      <c r="B42">
        <v>3</v>
      </c>
      <c r="C42" t="s">
        <v>438</v>
      </c>
      <c r="D42" t="s">
        <v>495</v>
      </c>
      <c r="E42" t="s">
        <v>270</v>
      </c>
      <c r="F42" t="s">
        <v>29</v>
      </c>
      <c r="G42" s="3" t="s">
        <v>823</v>
      </c>
      <c r="H42" t="s">
        <v>31</v>
      </c>
      <c r="I42">
        <v>0</v>
      </c>
      <c r="J42">
        <v>0</v>
      </c>
      <c r="K42" t="s">
        <v>824</v>
      </c>
      <c r="L42" t="s">
        <v>246</v>
      </c>
      <c r="M42" t="s">
        <v>79</v>
      </c>
      <c r="N42" t="s">
        <v>259</v>
      </c>
      <c r="O42" t="s">
        <v>35</v>
      </c>
      <c r="P42" t="s">
        <v>60</v>
      </c>
      <c r="Q42" t="s">
        <v>35</v>
      </c>
      <c r="R42" t="s">
        <v>60</v>
      </c>
      <c r="S42" t="s">
        <v>29</v>
      </c>
      <c r="T42" t="s">
        <v>29</v>
      </c>
      <c r="U42" t="s">
        <v>29</v>
      </c>
      <c r="V42" t="s">
        <v>37</v>
      </c>
      <c r="W42" t="s">
        <v>29</v>
      </c>
      <c r="X42" t="s">
        <v>29</v>
      </c>
      <c r="Y42" t="str">
        <f t="shared" si="1"/>
        <v>NEW</v>
      </c>
      <c r="Z42" s="3" t="s">
        <v>29</v>
      </c>
      <c r="AA42" t="s">
        <v>320</v>
      </c>
      <c r="AB42" s="3" t="s">
        <v>29</v>
      </c>
      <c r="AC42" t="s">
        <v>29</v>
      </c>
      <c r="AD42" t="s">
        <v>330</v>
      </c>
    </row>
    <row r="43" spans="1:30" x14ac:dyDescent="0.3">
      <c r="A43" t="s">
        <v>825</v>
      </c>
      <c r="B43">
        <v>3</v>
      </c>
      <c r="C43" t="s">
        <v>99</v>
      </c>
      <c r="D43" t="s">
        <v>498</v>
      </c>
      <c r="E43" t="s">
        <v>756</v>
      </c>
      <c r="F43" t="s">
        <v>29</v>
      </c>
      <c r="G43" s="3" t="s">
        <v>826</v>
      </c>
      <c r="H43" t="s">
        <v>55</v>
      </c>
      <c r="I43">
        <v>1</v>
      </c>
      <c r="J43">
        <v>1</v>
      </c>
      <c r="K43" t="s">
        <v>827</v>
      </c>
      <c r="L43" t="s">
        <v>246</v>
      </c>
      <c r="M43" t="s">
        <v>79</v>
      </c>
      <c r="N43" t="s">
        <v>259</v>
      </c>
      <c r="O43" t="s">
        <v>56</v>
      </c>
      <c r="P43" t="s">
        <v>36</v>
      </c>
      <c r="Q43" t="s">
        <v>56</v>
      </c>
      <c r="R43" t="s">
        <v>36</v>
      </c>
      <c r="S43" t="s">
        <v>29</v>
      </c>
      <c r="T43" t="s">
        <v>29</v>
      </c>
      <c r="U43" t="s">
        <v>29</v>
      </c>
      <c r="V43" t="s">
        <v>37</v>
      </c>
      <c r="W43" t="s">
        <v>29</v>
      </c>
      <c r="X43" t="s">
        <v>29</v>
      </c>
      <c r="Y43" t="str">
        <f t="shared" si="1"/>
        <v>NEW</v>
      </c>
      <c r="Z43" s="3" t="s">
        <v>29</v>
      </c>
      <c r="AA43" t="s">
        <v>320</v>
      </c>
      <c r="AB43" s="3" t="s">
        <v>29</v>
      </c>
      <c r="AC43" t="s">
        <v>29</v>
      </c>
      <c r="AD43" t="s">
        <v>330</v>
      </c>
    </row>
    <row r="44" spans="1:30" x14ac:dyDescent="0.3">
      <c r="A44" t="s">
        <v>828</v>
      </c>
      <c r="B44">
        <v>3</v>
      </c>
      <c r="C44" t="s">
        <v>438</v>
      </c>
      <c r="D44" t="s">
        <v>173</v>
      </c>
      <c r="E44" t="s">
        <v>829</v>
      </c>
      <c r="F44" t="s">
        <v>656</v>
      </c>
      <c r="G44" s="3" t="s">
        <v>830</v>
      </c>
      <c r="H44" t="s">
        <v>55</v>
      </c>
      <c r="I44">
        <v>1</v>
      </c>
      <c r="J44">
        <v>3</v>
      </c>
      <c r="K44" t="s">
        <v>831</v>
      </c>
      <c r="L44" t="s">
        <v>246</v>
      </c>
      <c r="M44" t="s">
        <v>176</v>
      </c>
      <c r="N44" t="s">
        <v>392</v>
      </c>
      <c r="O44" t="s">
        <v>56</v>
      </c>
      <c r="P44" t="s">
        <v>36</v>
      </c>
      <c r="Q44" t="s">
        <v>35</v>
      </c>
      <c r="R44" t="s">
        <v>36</v>
      </c>
      <c r="S44" t="s">
        <v>35</v>
      </c>
      <c r="T44" t="s">
        <v>36</v>
      </c>
      <c r="U44" t="s">
        <v>29</v>
      </c>
      <c r="V44" t="s">
        <v>37</v>
      </c>
      <c r="W44" t="s">
        <v>29</v>
      </c>
      <c r="X44" t="s">
        <v>29</v>
      </c>
      <c r="Y44" t="str">
        <f t="shared" si="1"/>
        <v>NEW</v>
      </c>
      <c r="Z44" s="3" t="s">
        <v>29</v>
      </c>
      <c r="AA44" t="s">
        <v>320</v>
      </c>
      <c r="AB44" s="3" t="s">
        <v>29</v>
      </c>
      <c r="AC44" t="s">
        <v>351</v>
      </c>
      <c r="AD44" t="s">
        <v>330</v>
      </c>
    </row>
    <row r="45" spans="1:30" ht="43.2" x14ac:dyDescent="0.3">
      <c r="A45" t="s">
        <v>282</v>
      </c>
      <c r="B45">
        <v>2</v>
      </c>
      <c r="C45" t="s">
        <v>99</v>
      </c>
      <c r="D45" t="s">
        <v>29</v>
      </c>
      <c r="E45" t="s">
        <v>29</v>
      </c>
      <c r="F45" t="s">
        <v>29</v>
      </c>
      <c r="G45" s="3" t="s">
        <v>832</v>
      </c>
      <c r="H45" t="s">
        <v>55</v>
      </c>
      <c r="I45">
        <v>1</v>
      </c>
      <c r="J45">
        <v>3</v>
      </c>
      <c r="K45" t="s">
        <v>285</v>
      </c>
      <c r="L45" t="s">
        <v>246</v>
      </c>
      <c r="M45" t="s">
        <v>107</v>
      </c>
      <c r="N45" t="s">
        <v>286</v>
      </c>
      <c r="O45" t="s">
        <v>29</v>
      </c>
      <c r="P45" t="s">
        <v>29</v>
      </c>
      <c r="Q45" t="s">
        <v>29</v>
      </c>
      <c r="R45" t="s">
        <v>29</v>
      </c>
      <c r="S45" t="s">
        <v>29</v>
      </c>
      <c r="T45" t="s">
        <v>29</v>
      </c>
      <c r="U45" t="s">
        <v>29</v>
      </c>
      <c r="V45" t="s">
        <v>37</v>
      </c>
      <c r="W45" t="s">
        <v>29</v>
      </c>
      <c r="X45" t="s">
        <v>29</v>
      </c>
      <c r="Y45" t="str">
        <f t="shared" si="1"/>
        <v>NEW</v>
      </c>
      <c r="Z45" s="3" t="s">
        <v>833</v>
      </c>
      <c r="AA45" t="s">
        <v>382</v>
      </c>
      <c r="AB45" s="3" t="s">
        <v>834</v>
      </c>
      <c r="AC45" t="s">
        <v>351</v>
      </c>
      <c r="AD45" t="s">
        <v>322</v>
      </c>
    </row>
    <row r="46" spans="1:30" x14ac:dyDescent="0.3">
      <c r="A46" t="s">
        <v>835</v>
      </c>
      <c r="B46">
        <v>3</v>
      </c>
      <c r="C46" t="s">
        <v>438</v>
      </c>
      <c r="D46" t="s">
        <v>667</v>
      </c>
      <c r="E46" t="s">
        <v>836</v>
      </c>
      <c r="F46" t="s">
        <v>29</v>
      </c>
      <c r="G46" s="3" t="s">
        <v>837</v>
      </c>
      <c r="H46" t="s">
        <v>55</v>
      </c>
      <c r="I46">
        <v>1</v>
      </c>
      <c r="J46">
        <v>1</v>
      </c>
      <c r="K46" t="s">
        <v>838</v>
      </c>
      <c r="L46" t="s">
        <v>246</v>
      </c>
      <c r="M46" t="s">
        <v>79</v>
      </c>
      <c r="N46" t="s">
        <v>259</v>
      </c>
      <c r="O46" t="s">
        <v>56</v>
      </c>
      <c r="P46" t="s">
        <v>36</v>
      </c>
      <c r="Q46" t="s">
        <v>56</v>
      </c>
      <c r="R46" t="s">
        <v>36</v>
      </c>
      <c r="S46" t="s">
        <v>29</v>
      </c>
      <c r="T46" t="s">
        <v>29</v>
      </c>
      <c r="U46" t="s">
        <v>29</v>
      </c>
      <c r="V46" t="s">
        <v>37</v>
      </c>
      <c r="W46" t="s">
        <v>29</v>
      </c>
      <c r="X46" t="s">
        <v>29</v>
      </c>
      <c r="Y46" t="str">
        <f t="shared" si="1"/>
        <v>NEW</v>
      </c>
      <c r="Z46" s="3" t="s">
        <v>29</v>
      </c>
      <c r="AA46" t="s">
        <v>320</v>
      </c>
      <c r="AB46" s="3" t="s">
        <v>29</v>
      </c>
      <c r="AC46" t="s">
        <v>29</v>
      </c>
      <c r="AD46" t="s">
        <v>356</v>
      </c>
    </row>
    <row r="47" spans="1:30" x14ac:dyDescent="0.3">
      <c r="A47" t="s">
        <v>839</v>
      </c>
      <c r="B47">
        <v>3</v>
      </c>
      <c r="C47" t="s">
        <v>99</v>
      </c>
      <c r="D47" t="s">
        <v>698</v>
      </c>
      <c r="E47" t="s">
        <v>29</v>
      </c>
      <c r="F47" t="s">
        <v>29</v>
      </c>
      <c r="G47" s="3" t="s">
        <v>840</v>
      </c>
      <c r="H47" t="s">
        <v>31</v>
      </c>
      <c r="I47">
        <v>0</v>
      </c>
      <c r="J47">
        <v>0</v>
      </c>
      <c r="K47" t="s">
        <v>841</v>
      </c>
      <c r="L47" t="s">
        <v>246</v>
      </c>
      <c r="M47" t="s">
        <v>79</v>
      </c>
      <c r="N47" t="s">
        <v>324</v>
      </c>
      <c r="O47" t="s">
        <v>35</v>
      </c>
      <c r="P47" t="s">
        <v>102</v>
      </c>
      <c r="Q47" t="s">
        <v>29</v>
      </c>
      <c r="R47" t="s">
        <v>29</v>
      </c>
      <c r="S47" t="s">
        <v>29</v>
      </c>
      <c r="T47" t="s">
        <v>29</v>
      </c>
      <c r="U47" t="s">
        <v>29</v>
      </c>
      <c r="V47" t="s">
        <v>37</v>
      </c>
      <c r="W47" t="s">
        <v>29</v>
      </c>
      <c r="X47" t="s">
        <v>29</v>
      </c>
      <c r="Y47" t="str">
        <f t="shared" si="1"/>
        <v>NEW</v>
      </c>
      <c r="Z47" s="3" t="s">
        <v>29</v>
      </c>
      <c r="AA47" t="s">
        <v>320</v>
      </c>
      <c r="AB47" s="3" t="s">
        <v>29</v>
      </c>
      <c r="AC47" t="s">
        <v>29</v>
      </c>
      <c r="AD47" t="s">
        <v>330</v>
      </c>
    </row>
    <row r="48" spans="1:30" x14ac:dyDescent="0.3">
      <c r="A48" t="s">
        <v>842</v>
      </c>
      <c r="B48">
        <v>3</v>
      </c>
      <c r="C48" t="s">
        <v>438</v>
      </c>
      <c r="D48" t="s">
        <v>63</v>
      </c>
      <c r="E48" t="s">
        <v>612</v>
      </c>
      <c r="F48" t="s">
        <v>656</v>
      </c>
      <c r="G48" s="3" t="s">
        <v>843</v>
      </c>
      <c r="H48" t="s">
        <v>31</v>
      </c>
      <c r="I48">
        <v>0</v>
      </c>
      <c r="J48">
        <v>0</v>
      </c>
      <c r="K48" t="s">
        <v>844</v>
      </c>
      <c r="L48" t="s">
        <v>246</v>
      </c>
      <c r="M48" t="s">
        <v>65</v>
      </c>
      <c r="N48" t="s">
        <v>319</v>
      </c>
      <c r="O48" t="s">
        <v>35</v>
      </c>
      <c r="P48" t="s">
        <v>36</v>
      </c>
      <c r="Q48" t="s">
        <v>35</v>
      </c>
      <c r="R48" t="s">
        <v>36</v>
      </c>
      <c r="S48" t="s">
        <v>35</v>
      </c>
      <c r="T48" t="s">
        <v>36</v>
      </c>
      <c r="U48" t="s">
        <v>29</v>
      </c>
      <c r="V48" t="s">
        <v>37</v>
      </c>
      <c r="W48" t="s">
        <v>29</v>
      </c>
      <c r="X48" t="s">
        <v>29</v>
      </c>
      <c r="Y48" t="str">
        <f t="shared" si="1"/>
        <v>NEW</v>
      </c>
      <c r="Z48" s="3" t="s">
        <v>29</v>
      </c>
      <c r="AA48" t="s">
        <v>320</v>
      </c>
      <c r="AB48" s="3" t="s">
        <v>29</v>
      </c>
      <c r="AC48" t="s">
        <v>29</v>
      </c>
      <c r="AD48" t="s">
        <v>330</v>
      </c>
    </row>
    <row r="49" spans="1:30" ht="43.2" x14ac:dyDescent="0.3">
      <c r="A49" t="s">
        <v>845</v>
      </c>
      <c r="B49">
        <v>3</v>
      </c>
      <c r="C49" t="s">
        <v>99</v>
      </c>
      <c r="D49" t="s">
        <v>846</v>
      </c>
      <c r="E49" t="s">
        <v>29</v>
      </c>
      <c r="F49" t="s">
        <v>29</v>
      </c>
      <c r="G49" s="3" t="s">
        <v>847</v>
      </c>
      <c r="H49" t="s">
        <v>55</v>
      </c>
      <c r="I49">
        <v>1</v>
      </c>
      <c r="J49">
        <v>1</v>
      </c>
      <c r="K49" t="s">
        <v>848</v>
      </c>
      <c r="L49" t="s">
        <v>246</v>
      </c>
      <c r="M49" t="s">
        <v>150</v>
      </c>
      <c r="N49" t="s">
        <v>598</v>
      </c>
      <c r="O49" t="s">
        <v>56</v>
      </c>
      <c r="P49" t="s">
        <v>36</v>
      </c>
      <c r="Q49" t="s">
        <v>29</v>
      </c>
      <c r="R49" t="s">
        <v>29</v>
      </c>
      <c r="S49" t="s">
        <v>29</v>
      </c>
      <c r="T49" t="s">
        <v>29</v>
      </c>
      <c r="U49" t="s">
        <v>29</v>
      </c>
      <c r="V49" t="s">
        <v>37</v>
      </c>
      <c r="W49" t="s">
        <v>29</v>
      </c>
      <c r="X49" t="s">
        <v>29</v>
      </c>
      <c r="Y49" t="str">
        <f t="shared" si="1"/>
        <v>NEW</v>
      </c>
      <c r="Z49" s="3" t="s">
        <v>849</v>
      </c>
      <c r="AA49" t="s">
        <v>320</v>
      </c>
      <c r="AB49" s="3" t="s">
        <v>29</v>
      </c>
      <c r="AC49" t="s">
        <v>29</v>
      </c>
      <c r="AD49" t="s">
        <v>330</v>
      </c>
    </row>
    <row r="50" spans="1:30" x14ac:dyDescent="0.3">
      <c r="A50" t="s">
        <v>850</v>
      </c>
      <c r="B50">
        <v>2</v>
      </c>
      <c r="C50" t="s">
        <v>99</v>
      </c>
      <c r="D50" t="s">
        <v>337</v>
      </c>
      <c r="E50" t="s">
        <v>415</v>
      </c>
      <c r="F50" t="s">
        <v>29</v>
      </c>
      <c r="G50" s="3" t="s">
        <v>851</v>
      </c>
      <c r="H50" t="s">
        <v>55</v>
      </c>
      <c r="I50">
        <v>1</v>
      </c>
      <c r="J50">
        <v>1</v>
      </c>
      <c r="K50" t="s">
        <v>850</v>
      </c>
      <c r="L50" t="s">
        <v>246</v>
      </c>
      <c r="M50" t="s">
        <v>79</v>
      </c>
      <c r="N50" t="s">
        <v>324</v>
      </c>
      <c r="O50" t="s">
        <v>56</v>
      </c>
      <c r="P50" t="s">
        <v>36</v>
      </c>
      <c r="Q50" t="s">
        <v>56</v>
      </c>
      <c r="R50" t="s">
        <v>36</v>
      </c>
      <c r="S50" t="s">
        <v>29</v>
      </c>
      <c r="T50" t="s">
        <v>29</v>
      </c>
      <c r="U50" t="s">
        <v>29</v>
      </c>
      <c r="V50" t="s">
        <v>37</v>
      </c>
      <c r="W50" t="s">
        <v>29</v>
      </c>
      <c r="X50" t="s">
        <v>29</v>
      </c>
      <c r="Y50" t="str">
        <f t="shared" si="1"/>
        <v>NEW</v>
      </c>
      <c r="Z50" s="3" t="s">
        <v>29</v>
      </c>
      <c r="AA50" t="s">
        <v>320</v>
      </c>
      <c r="AB50" s="3" t="s">
        <v>29</v>
      </c>
      <c r="AC50" t="s">
        <v>29</v>
      </c>
      <c r="AD50" t="s">
        <v>330</v>
      </c>
    </row>
    <row r="51" spans="1:30" x14ac:dyDescent="0.3">
      <c r="A51" t="s">
        <v>852</v>
      </c>
      <c r="B51">
        <v>3</v>
      </c>
      <c r="C51" t="s">
        <v>438</v>
      </c>
      <c r="D51" t="s">
        <v>505</v>
      </c>
      <c r="E51" t="s">
        <v>853</v>
      </c>
      <c r="F51" t="s">
        <v>29</v>
      </c>
      <c r="G51" s="3" t="s">
        <v>854</v>
      </c>
      <c r="H51" t="s">
        <v>55</v>
      </c>
      <c r="I51">
        <v>1</v>
      </c>
      <c r="J51">
        <v>1</v>
      </c>
      <c r="K51" t="s">
        <v>855</v>
      </c>
      <c r="L51" t="s">
        <v>246</v>
      </c>
      <c r="M51" t="s">
        <v>79</v>
      </c>
      <c r="N51" t="s">
        <v>324</v>
      </c>
      <c r="O51" t="s">
        <v>56</v>
      </c>
      <c r="P51" t="s">
        <v>36</v>
      </c>
      <c r="Q51" t="s">
        <v>35</v>
      </c>
      <c r="R51" t="s">
        <v>36</v>
      </c>
      <c r="S51" t="s">
        <v>29</v>
      </c>
      <c r="T51" t="s">
        <v>29</v>
      </c>
      <c r="U51" t="s">
        <v>29</v>
      </c>
      <c r="V51" t="s">
        <v>37</v>
      </c>
      <c r="W51" t="s">
        <v>29</v>
      </c>
      <c r="X51" t="s">
        <v>29</v>
      </c>
      <c r="Y51" t="str">
        <f t="shared" si="1"/>
        <v>NEW</v>
      </c>
      <c r="Z51" s="3" t="s">
        <v>29</v>
      </c>
      <c r="AA51" t="s">
        <v>320</v>
      </c>
      <c r="AB51" s="3" t="s">
        <v>29</v>
      </c>
      <c r="AC51" t="s">
        <v>29</v>
      </c>
      <c r="AD51" t="s">
        <v>330</v>
      </c>
    </row>
  </sheetData>
  <autoFilter ref="A1:AD51" xr:uid="{00000000-0009-0000-0000-000007000000}"/>
  <conditionalFormatting sqref="Y2:Y51">
    <cfRule type="cellIs" dxfId="7" priority="1" operator="equal">
      <formula>"NEW"</formula>
    </cfRule>
  </conditionalFormatting>
  <dataValidations count="9">
    <dataValidation type="list" allowBlank="1" sqref="L2:L251" xr:uid="{00000000-0002-0000-0700-000000000000}">
      <formula1>list_Class</formula1>
    </dataValidation>
    <dataValidation type="list" allowBlank="1" sqref="M2:M251" xr:uid="{00000000-0002-0000-0700-000001000000}">
      <formula1>list_Folder</formula1>
    </dataValidation>
    <dataValidation type="list" allowBlank="1" sqref="C2:C251" xr:uid="{00000000-0002-0000-0700-000002000000}">
      <formula1>list_Rarity</formula1>
    </dataValidation>
    <dataValidation type="list" allowBlank="1" sqref="H2:H251" xr:uid="{00000000-0002-0000-0700-000003000000}">
      <formula1>list_Shape</formula1>
    </dataValidation>
    <dataValidation type="list" allowBlank="1" sqref="O2:O251 S2:S251 Q2:Q251" xr:uid="{00000000-0002-0000-0700-000004000000}">
      <formula1>list_Aim</formula1>
    </dataValidation>
    <dataValidation type="list" allowBlank="1" sqref="D2:F251" xr:uid="{00000000-0002-0000-0700-000007000000}">
      <formula1>list_Effect</formula1>
    </dataValidation>
    <dataValidation type="list" allowBlank="1" sqref="V2:V251" xr:uid="{00000000-0002-0000-0700-00000A000000}">
      <formula1>list_Bool</formula1>
    </dataValidation>
    <dataValidation type="list" allowBlank="1" sqref="AA2:AA251" xr:uid="{00000000-0002-0000-0700-00000B000000}">
      <formula1>list_Buildable</formula1>
    </dataValidation>
    <dataValidation type="list" allowBlank="1" sqref="AD2:AD251" xr:uid="{00000000-0002-0000-0700-00000C000000}">
      <formula1>list_Priority</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3"/>
  <sheetViews>
    <sheetView tabSelected="1" workbookViewId="0">
      <pane xSplit="2" ySplit="1" topLeftCell="C3" activePane="bottomRight" state="frozen"/>
      <selection pane="topRight" activeCell="C1" sqref="C1"/>
      <selection pane="bottomLeft" activeCell="A2" sqref="A2"/>
      <selection pane="bottomRight" activeCell="D19" sqref="D19"/>
    </sheetView>
  </sheetViews>
  <sheetFormatPr defaultRowHeight="14.4" x14ac:dyDescent="0.3"/>
  <cols>
    <col min="1" max="1" width="10" customWidth="1"/>
    <col min="2" max="3" width="20" customWidth="1"/>
    <col min="4" max="4" width="78" style="3" customWidth="1"/>
    <col min="5" max="5" width="34" style="3" customWidth="1"/>
    <col min="6" max="7" width="15" customWidth="1"/>
    <col min="9" max="9" width="70" customWidth="1"/>
  </cols>
  <sheetData>
    <row r="1" spans="1:9" ht="28.8" x14ac:dyDescent="0.3">
      <c r="A1" s="2" t="s">
        <v>857</v>
      </c>
      <c r="B1" s="2" t="s">
        <v>1036</v>
      </c>
      <c r="C1" s="2" t="s">
        <v>1037</v>
      </c>
      <c r="D1" s="4" t="s">
        <v>1038</v>
      </c>
      <c r="E1" s="4" t="s">
        <v>1039</v>
      </c>
      <c r="F1" s="2" t="s">
        <v>1040</v>
      </c>
      <c r="G1" s="2" t="s">
        <v>1041</v>
      </c>
      <c r="I1" s="4" t="s">
        <v>1042</v>
      </c>
    </row>
    <row r="2" spans="1:9" ht="57.6" x14ac:dyDescent="0.3">
      <c r="A2" t="s">
        <v>151</v>
      </c>
      <c r="B2" t="s">
        <v>1043</v>
      </c>
      <c r="C2" t="s">
        <v>1044</v>
      </c>
      <c r="D2" s="3" t="s">
        <v>1045</v>
      </c>
      <c r="E2" s="3" t="s">
        <v>29</v>
      </c>
      <c r="F2">
        <v>1</v>
      </c>
      <c r="G2">
        <v>1</v>
      </c>
      <c r="I2" s="5" t="s">
        <v>1046</v>
      </c>
    </row>
    <row r="3" spans="1:9" ht="43.2" x14ac:dyDescent="0.3">
      <c r="A3" t="s">
        <v>151</v>
      </c>
      <c r="B3" t="s">
        <v>1047</v>
      </c>
      <c r="C3" t="s">
        <v>1048</v>
      </c>
      <c r="D3" s="3" t="s">
        <v>1049</v>
      </c>
      <c r="E3" s="3" t="s">
        <v>1050</v>
      </c>
      <c r="F3">
        <v>1</v>
      </c>
      <c r="G3">
        <v>1</v>
      </c>
      <c r="I3" s="5" t="s">
        <v>1051</v>
      </c>
    </row>
    <row r="4" spans="1:9" ht="28.8" x14ac:dyDescent="0.3">
      <c r="A4" t="s">
        <v>151</v>
      </c>
      <c r="B4" t="s">
        <v>598</v>
      </c>
      <c r="C4" t="s">
        <v>1052</v>
      </c>
      <c r="D4" s="3" t="s">
        <v>1053</v>
      </c>
      <c r="E4" s="3" t="s">
        <v>1054</v>
      </c>
      <c r="F4">
        <v>1</v>
      </c>
      <c r="G4">
        <v>1</v>
      </c>
      <c r="I4" s="5" t="s">
        <v>1055</v>
      </c>
    </row>
    <row r="5" spans="1:9" x14ac:dyDescent="0.3">
      <c r="A5" t="s">
        <v>151</v>
      </c>
      <c r="B5" t="s">
        <v>1056</v>
      </c>
      <c r="C5" t="s">
        <v>1057</v>
      </c>
      <c r="D5" s="3" t="s">
        <v>1058</v>
      </c>
      <c r="E5" s="3" t="s">
        <v>1059</v>
      </c>
      <c r="F5">
        <v>1</v>
      </c>
      <c r="G5">
        <v>1</v>
      </c>
    </row>
    <row r="6" spans="1:9" x14ac:dyDescent="0.3">
      <c r="A6" t="s">
        <v>151</v>
      </c>
      <c r="B6" t="s">
        <v>43</v>
      </c>
      <c r="C6" t="s">
        <v>1060</v>
      </c>
      <c r="D6" s="3" t="s">
        <v>1061</v>
      </c>
      <c r="E6" s="3" t="s">
        <v>29</v>
      </c>
      <c r="F6">
        <v>1</v>
      </c>
      <c r="G6">
        <v>1</v>
      </c>
    </row>
    <row r="7" spans="1:9" x14ac:dyDescent="0.3">
      <c r="A7" t="s">
        <v>151</v>
      </c>
      <c r="B7" t="s">
        <v>26</v>
      </c>
      <c r="C7" t="s">
        <v>1062</v>
      </c>
      <c r="D7" s="3" t="s">
        <v>1063</v>
      </c>
      <c r="E7" s="3" t="s">
        <v>29</v>
      </c>
      <c r="F7">
        <v>1</v>
      </c>
      <c r="G7">
        <v>5</v>
      </c>
    </row>
    <row r="8" spans="1:9" x14ac:dyDescent="0.3">
      <c r="A8" t="s">
        <v>151</v>
      </c>
      <c r="B8" t="s">
        <v>39</v>
      </c>
      <c r="C8" t="s">
        <v>1064</v>
      </c>
      <c r="D8" s="3" t="s">
        <v>1065</v>
      </c>
      <c r="E8" s="3" t="s">
        <v>29</v>
      </c>
      <c r="F8">
        <v>1</v>
      </c>
      <c r="G8">
        <v>1</v>
      </c>
    </row>
    <row r="9" spans="1:9" x14ac:dyDescent="0.3">
      <c r="A9" t="s">
        <v>151</v>
      </c>
      <c r="B9" t="s">
        <v>1066</v>
      </c>
      <c r="C9" t="s">
        <v>1067</v>
      </c>
      <c r="D9" s="3" t="s">
        <v>1068</v>
      </c>
      <c r="E9" s="3" t="s">
        <v>1069</v>
      </c>
      <c r="F9">
        <v>1</v>
      </c>
      <c r="G9">
        <v>1</v>
      </c>
    </row>
    <row r="10" spans="1:9" x14ac:dyDescent="0.3">
      <c r="A10" t="s">
        <v>151</v>
      </c>
      <c r="B10" t="s">
        <v>1070</v>
      </c>
      <c r="C10" t="s">
        <v>1071</v>
      </c>
      <c r="D10" s="3" t="s">
        <v>1072</v>
      </c>
      <c r="E10" s="3" t="s">
        <v>29</v>
      </c>
      <c r="F10">
        <v>1</v>
      </c>
      <c r="G10">
        <v>1</v>
      </c>
    </row>
    <row r="11" spans="1:9" ht="28.8" x14ac:dyDescent="0.3">
      <c r="A11" t="s">
        <v>151</v>
      </c>
      <c r="B11" t="s">
        <v>244</v>
      </c>
      <c r="C11" t="s">
        <v>1073</v>
      </c>
      <c r="D11" s="3" t="s">
        <v>1074</v>
      </c>
      <c r="E11" s="3" t="s">
        <v>29</v>
      </c>
      <c r="F11">
        <v>1</v>
      </c>
      <c r="G11">
        <v>1</v>
      </c>
    </row>
    <row r="12" spans="1:9" x14ac:dyDescent="0.3">
      <c r="A12" t="s">
        <v>151</v>
      </c>
      <c r="B12" t="s">
        <v>148</v>
      </c>
      <c r="C12" t="s">
        <v>1075</v>
      </c>
      <c r="D12" s="3" t="s">
        <v>1076</v>
      </c>
      <c r="E12" s="3" t="s">
        <v>29</v>
      </c>
      <c r="F12">
        <v>1</v>
      </c>
      <c r="G12">
        <v>1</v>
      </c>
    </row>
    <row r="13" spans="1:9" x14ac:dyDescent="0.3">
      <c r="A13" t="s">
        <v>151</v>
      </c>
      <c r="B13" t="s">
        <v>53</v>
      </c>
      <c r="C13" t="s">
        <v>1077</v>
      </c>
      <c r="D13" s="3" t="s">
        <v>1078</v>
      </c>
      <c r="E13" s="3" t="s">
        <v>29</v>
      </c>
      <c r="F13">
        <v>1</v>
      </c>
      <c r="G13">
        <v>1</v>
      </c>
    </row>
    <row r="14" spans="1:9" x14ac:dyDescent="0.3">
      <c r="A14" t="s">
        <v>151</v>
      </c>
      <c r="B14" t="s">
        <v>1079</v>
      </c>
      <c r="C14" t="s">
        <v>1080</v>
      </c>
      <c r="D14" s="3" t="s">
        <v>1081</v>
      </c>
      <c r="E14" s="3" t="s">
        <v>29</v>
      </c>
      <c r="F14">
        <v>1</v>
      </c>
      <c r="G14">
        <v>1</v>
      </c>
    </row>
    <row r="15" spans="1:9" x14ac:dyDescent="0.3">
      <c r="A15" t="s">
        <v>151</v>
      </c>
      <c r="B15" t="s">
        <v>252</v>
      </c>
      <c r="C15" t="s">
        <v>1082</v>
      </c>
      <c r="D15" s="3" t="s">
        <v>1083</v>
      </c>
      <c r="E15" s="3" t="s">
        <v>29</v>
      </c>
      <c r="F15">
        <v>1</v>
      </c>
      <c r="G15">
        <v>1</v>
      </c>
    </row>
    <row r="16" spans="1:9" x14ac:dyDescent="0.3">
      <c r="A16" t="s">
        <v>151</v>
      </c>
      <c r="B16" t="s">
        <v>95</v>
      </c>
      <c r="C16" t="s">
        <v>1084</v>
      </c>
      <c r="D16" s="3" t="s">
        <v>1085</v>
      </c>
      <c r="E16" s="3" t="s">
        <v>29</v>
      </c>
      <c r="F16">
        <v>1</v>
      </c>
      <c r="G16">
        <v>3</v>
      </c>
    </row>
    <row r="17" spans="1:7" x14ac:dyDescent="0.3">
      <c r="A17" t="s">
        <v>151</v>
      </c>
      <c r="B17" t="s">
        <v>1086</v>
      </c>
      <c r="C17" t="s">
        <v>1087</v>
      </c>
      <c r="D17" s="3" t="s">
        <v>1088</v>
      </c>
      <c r="E17" s="3" t="s">
        <v>29</v>
      </c>
      <c r="F17">
        <v>1</v>
      </c>
      <c r="G17">
        <v>1</v>
      </c>
    </row>
    <row r="18" spans="1:7" x14ac:dyDescent="0.3">
      <c r="A18" t="s">
        <v>151</v>
      </c>
      <c r="B18" t="s">
        <v>1089</v>
      </c>
      <c r="C18" t="s">
        <v>1090</v>
      </c>
      <c r="D18" s="3" t="s">
        <v>1283</v>
      </c>
      <c r="E18" s="3" t="s">
        <v>29</v>
      </c>
      <c r="F18">
        <v>1</v>
      </c>
      <c r="G18">
        <v>1</v>
      </c>
    </row>
    <row r="19" spans="1:7" x14ac:dyDescent="0.3">
      <c r="A19" t="s">
        <v>151</v>
      </c>
      <c r="B19" t="s">
        <v>1091</v>
      </c>
      <c r="C19" t="s">
        <v>1092</v>
      </c>
      <c r="D19" s="3" t="s">
        <v>1093</v>
      </c>
      <c r="E19" s="3" t="s">
        <v>29</v>
      </c>
      <c r="F19">
        <v>1</v>
      </c>
      <c r="G19">
        <v>1</v>
      </c>
    </row>
    <row r="20" spans="1:7" x14ac:dyDescent="0.3">
      <c r="A20" t="s">
        <v>151</v>
      </c>
      <c r="B20" t="s">
        <v>1094</v>
      </c>
      <c r="C20" t="s">
        <v>1095</v>
      </c>
      <c r="D20" s="3" t="s">
        <v>29</v>
      </c>
      <c r="E20" s="3" t="s">
        <v>29</v>
      </c>
      <c r="F20">
        <v>1</v>
      </c>
      <c r="G20">
        <v>1</v>
      </c>
    </row>
    <row r="21" spans="1:7" x14ac:dyDescent="0.3">
      <c r="A21" t="s">
        <v>1096</v>
      </c>
      <c r="B21" t="s">
        <v>309</v>
      </c>
      <c r="C21" t="s">
        <v>1097</v>
      </c>
      <c r="D21" s="3" t="s">
        <v>1098</v>
      </c>
      <c r="E21" s="3" t="s">
        <v>29</v>
      </c>
      <c r="F21">
        <v>1</v>
      </c>
      <c r="G21">
        <v>1</v>
      </c>
    </row>
    <row r="22" spans="1:7" x14ac:dyDescent="0.3">
      <c r="A22" t="s">
        <v>1096</v>
      </c>
      <c r="B22" t="s">
        <v>1099</v>
      </c>
      <c r="C22" t="s">
        <v>1100</v>
      </c>
      <c r="D22" s="3" t="s">
        <v>1101</v>
      </c>
      <c r="E22" s="3" t="s">
        <v>29</v>
      </c>
      <c r="F22">
        <v>1</v>
      </c>
      <c r="G22">
        <v>1</v>
      </c>
    </row>
    <row r="23" spans="1:7" x14ac:dyDescent="0.3">
      <c r="A23" t="s">
        <v>1096</v>
      </c>
      <c r="B23" t="s">
        <v>1102</v>
      </c>
      <c r="C23" t="s">
        <v>1103</v>
      </c>
      <c r="D23" s="3" t="s">
        <v>1104</v>
      </c>
      <c r="E23" s="3" t="s">
        <v>29</v>
      </c>
      <c r="F23">
        <v>1</v>
      </c>
      <c r="G23">
        <v>1</v>
      </c>
    </row>
  </sheetData>
  <autoFilter ref="A1:G23" xr:uid="{00000000-0009-0000-0000-000008000000}"/>
  <conditionalFormatting sqref="D2:D23">
    <cfRule type="expression" dxfId="6" priority="1">
      <formula>AND(LEN(D2)&gt;0,ISERROR(FIND("{",D2)))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54"/>
  <sheetViews>
    <sheetView workbookViewId="0">
      <pane ySplit="1" topLeftCell="A2" activePane="bottomLeft" state="frozen"/>
      <selection pane="bottomLeft"/>
    </sheetView>
  </sheetViews>
  <sheetFormatPr defaultRowHeight="14.4" x14ac:dyDescent="0.3"/>
  <cols>
    <col min="1" max="1" width="23.6640625" customWidth="1"/>
    <col min="2" max="2" width="16.88671875" customWidth="1"/>
    <col min="3" max="3" width="23.44140625" customWidth="1"/>
    <col min="4" max="4" width="9.109375" customWidth="1"/>
    <col min="5" max="5" width="36.44140625" customWidth="1"/>
    <col min="6" max="6" width="10" customWidth="1"/>
    <col min="7" max="7" width="9.109375" customWidth="1"/>
    <col min="8" max="8" width="58.88671875" customWidth="1"/>
    <col min="9" max="9" width="36.33203125" customWidth="1"/>
  </cols>
  <sheetData>
    <row r="1" spans="1:9" x14ac:dyDescent="0.3">
      <c r="A1" t="s">
        <v>856</v>
      </c>
      <c r="B1" t="s">
        <v>11</v>
      </c>
      <c r="C1" t="s">
        <v>857</v>
      </c>
      <c r="D1" t="s">
        <v>858</v>
      </c>
      <c r="E1" t="s">
        <v>859</v>
      </c>
      <c r="F1" t="s">
        <v>860</v>
      </c>
      <c r="G1" t="s">
        <v>861</v>
      </c>
      <c r="H1" t="s">
        <v>862</v>
      </c>
      <c r="I1" t="s">
        <v>23</v>
      </c>
    </row>
    <row r="2" spans="1:9" x14ac:dyDescent="0.3">
      <c r="A2" t="s">
        <v>244</v>
      </c>
      <c r="B2" t="s">
        <v>863</v>
      </c>
      <c r="C2" s="1" t="s">
        <v>864</v>
      </c>
      <c r="D2">
        <v>1</v>
      </c>
      <c r="E2" t="s">
        <v>865</v>
      </c>
      <c r="F2" t="s">
        <v>866</v>
      </c>
      <c r="G2">
        <v>1</v>
      </c>
      <c r="H2" t="s">
        <v>867</v>
      </c>
      <c r="I2" t="s">
        <v>868</v>
      </c>
    </row>
    <row r="3" spans="1:9" x14ac:dyDescent="0.3">
      <c r="A3" t="s">
        <v>68</v>
      </c>
      <c r="B3" t="s">
        <v>863</v>
      </c>
      <c r="C3" s="1" t="s">
        <v>869</v>
      </c>
      <c r="D3">
        <v>1</v>
      </c>
      <c r="E3" t="s">
        <v>865</v>
      </c>
      <c r="F3" t="s">
        <v>320</v>
      </c>
      <c r="G3">
        <v>1</v>
      </c>
      <c r="H3" t="s">
        <v>870</v>
      </c>
      <c r="I3" t="s">
        <v>871</v>
      </c>
    </row>
    <row r="4" spans="1:9" x14ac:dyDescent="0.3">
      <c r="A4" t="s">
        <v>419</v>
      </c>
      <c r="B4" t="s">
        <v>863</v>
      </c>
      <c r="C4" s="1" t="s">
        <v>872</v>
      </c>
      <c r="D4">
        <v>1</v>
      </c>
      <c r="E4" t="s">
        <v>865</v>
      </c>
      <c r="F4" t="s">
        <v>320</v>
      </c>
      <c r="G4">
        <v>0</v>
      </c>
      <c r="H4" t="s">
        <v>873</v>
      </c>
      <c r="I4" t="s">
        <v>874</v>
      </c>
    </row>
    <row r="5" spans="1:9" x14ac:dyDescent="0.3">
      <c r="A5" t="s">
        <v>157</v>
      </c>
      <c r="B5" t="s">
        <v>863</v>
      </c>
      <c r="C5" s="1" t="s">
        <v>875</v>
      </c>
      <c r="D5">
        <v>1</v>
      </c>
      <c r="E5" t="s">
        <v>865</v>
      </c>
      <c r="F5" t="s">
        <v>866</v>
      </c>
      <c r="G5">
        <v>2</v>
      </c>
      <c r="H5" t="s">
        <v>876</v>
      </c>
      <c r="I5" t="s">
        <v>877</v>
      </c>
    </row>
    <row r="6" spans="1:9" x14ac:dyDescent="0.3">
      <c r="A6" t="s">
        <v>598</v>
      </c>
      <c r="B6" t="s">
        <v>863</v>
      </c>
      <c r="C6" s="1" t="s">
        <v>878</v>
      </c>
      <c r="D6">
        <v>1</v>
      </c>
      <c r="E6" t="s">
        <v>865</v>
      </c>
      <c r="F6" t="s">
        <v>320</v>
      </c>
      <c r="G6">
        <v>0</v>
      </c>
      <c r="H6" t="s">
        <v>879</v>
      </c>
      <c r="I6" t="s">
        <v>880</v>
      </c>
    </row>
    <row r="7" spans="1:9" x14ac:dyDescent="0.3">
      <c r="A7" t="s">
        <v>701</v>
      </c>
      <c r="B7" t="s">
        <v>863</v>
      </c>
      <c r="C7" s="1" t="s">
        <v>878</v>
      </c>
      <c r="D7">
        <v>2</v>
      </c>
      <c r="E7" t="s">
        <v>865</v>
      </c>
      <c r="F7" t="s">
        <v>320</v>
      </c>
      <c r="G7">
        <v>0</v>
      </c>
      <c r="H7" t="s">
        <v>881</v>
      </c>
      <c r="I7" t="s">
        <v>882</v>
      </c>
    </row>
    <row r="8" spans="1:9" x14ac:dyDescent="0.3">
      <c r="A8" t="s">
        <v>270</v>
      </c>
      <c r="B8" t="s">
        <v>863</v>
      </c>
      <c r="C8" s="1" t="s">
        <v>878</v>
      </c>
      <c r="D8">
        <v>3</v>
      </c>
      <c r="E8" t="s">
        <v>865</v>
      </c>
      <c r="F8" t="s">
        <v>320</v>
      </c>
      <c r="G8">
        <v>1</v>
      </c>
      <c r="H8" t="s">
        <v>883</v>
      </c>
      <c r="I8" t="s">
        <v>884</v>
      </c>
    </row>
    <row r="9" spans="1:9" x14ac:dyDescent="0.3">
      <c r="A9" t="s">
        <v>279</v>
      </c>
      <c r="B9" t="s">
        <v>863</v>
      </c>
      <c r="C9" s="1" t="s">
        <v>878</v>
      </c>
      <c r="D9">
        <v>4</v>
      </c>
      <c r="E9" t="s">
        <v>865</v>
      </c>
      <c r="F9" t="s">
        <v>320</v>
      </c>
      <c r="G9">
        <v>1</v>
      </c>
      <c r="H9" t="s">
        <v>885</v>
      </c>
      <c r="I9" t="s">
        <v>886</v>
      </c>
    </row>
    <row r="10" spans="1:9" x14ac:dyDescent="0.3">
      <c r="A10" t="s">
        <v>257</v>
      </c>
      <c r="B10" t="s">
        <v>863</v>
      </c>
      <c r="C10" s="1" t="s">
        <v>887</v>
      </c>
      <c r="D10">
        <v>3</v>
      </c>
      <c r="E10" t="s">
        <v>865</v>
      </c>
      <c r="F10" t="s">
        <v>320</v>
      </c>
      <c r="G10">
        <v>1</v>
      </c>
      <c r="H10" t="s">
        <v>888</v>
      </c>
      <c r="I10" t="s">
        <v>889</v>
      </c>
    </row>
    <row r="11" spans="1:9" x14ac:dyDescent="0.3">
      <c r="A11" t="s">
        <v>154</v>
      </c>
      <c r="B11" t="s">
        <v>863</v>
      </c>
      <c r="C11" s="1" t="s">
        <v>890</v>
      </c>
      <c r="D11">
        <v>1</v>
      </c>
      <c r="E11" t="s">
        <v>865</v>
      </c>
      <c r="F11" t="s">
        <v>866</v>
      </c>
      <c r="G11">
        <v>1</v>
      </c>
      <c r="H11" t="s">
        <v>891</v>
      </c>
      <c r="I11" t="s">
        <v>892</v>
      </c>
    </row>
    <row r="12" spans="1:9" x14ac:dyDescent="0.3">
      <c r="A12" t="s">
        <v>253</v>
      </c>
      <c r="B12" t="s">
        <v>863</v>
      </c>
      <c r="C12" s="1" t="s">
        <v>893</v>
      </c>
      <c r="D12">
        <v>2</v>
      </c>
      <c r="E12" t="s">
        <v>865</v>
      </c>
      <c r="F12" t="s">
        <v>320</v>
      </c>
      <c r="G12">
        <v>1</v>
      </c>
      <c r="H12" t="s">
        <v>894</v>
      </c>
      <c r="I12" t="s">
        <v>895</v>
      </c>
    </row>
    <row r="13" spans="1:9" x14ac:dyDescent="0.3">
      <c r="A13" t="s">
        <v>63</v>
      </c>
      <c r="B13" t="s">
        <v>863</v>
      </c>
      <c r="C13" s="1" t="s">
        <v>896</v>
      </c>
      <c r="D13">
        <v>3</v>
      </c>
      <c r="E13" t="s">
        <v>865</v>
      </c>
      <c r="F13" t="s">
        <v>320</v>
      </c>
      <c r="G13">
        <v>1</v>
      </c>
      <c r="H13" t="s">
        <v>897</v>
      </c>
      <c r="I13" t="s">
        <v>898</v>
      </c>
    </row>
    <row r="14" spans="1:9" x14ac:dyDescent="0.3">
      <c r="A14" t="s">
        <v>95</v>
      </c>
      <c r="B14" t="s">
        <v>863</v>
      </c>
      <c r="C14" s="1" t="s">
        <v>899</v>
      </c>
      <c r="D14">
        <v>1</v>
      </c>
      <c r="E14" t="s">
        <v>865</v>
      </c>
      <c r="F14" t="s">
        <v>320</v>
      </c>
      <c r="G14">
        <v>2</v>
      </c>
      <c r="H14" t="s">
        <v>900</v>
      </c>
      <c r="I14" t="s">
        <v>901</v>
      </c>
    </row>
    <row r="15" spans="1:9" x14ac:dyDescent="0.3">
      <c r="A15" t="s">
        <v>148</v>
      </c>
      <c r="B15" t="s">
        <v>863</v>
      </c>
      <c r="C15" s="1" t="s">
        <v>902</v>
      </c>
      <c r="D15">
        <v>1</v>
      </c>
      <c r="E15" t="s">
        <v>865</v>
      </c>
      <c r="F15" t="s">
        <v>320</v>
      </c>
      <c r="G15">
        <v>1</v>
      </c>
      <c r="H15" t="s">
        <v>903</v>
      </c>
      <c r="I15" t="s">
        <v>904</v>
      </c>
    </row>
    <row r="16" spans="1:9" x14ac:dyDescent="0.3">
      <c r="A16" t="s">
        <v>262</v>
      </c>
      <c r="B16" t="s">
        <v>863</v>
      </c>
      <c r="C16" s="1" t="s">
        <v>902</v>
      </c>
      <c r="D16">
        <v>2</v>
      </c>
      <c r="E16" t="s">
        <v>865</v>
      </c>
      <c r="F16" t="s">
        <v>320</v>
      </c>
      <c r="G16">
        <v>1</v>
      </c>
      <c r="H16" t="s">
        <v>905</v>
      </c>
      <c r="I16" t="s">
        <v>906</v>
      </c>
    </row>
    <row r="17" spans="1:9" x14ac:dyDescent="0.3">
      <c r="A17" t="s">
        <v>316</v>
      </c>
      <c r="B17" t="s">
        <v>907</v>
      </c>
      <c r="C17" t="s">
        <v>26</v>
      </c>
      <c r="D17">
        <v>1</v>
      </c>
      <c r="E17" t="s">
        <v>908</v>
      </c>
      <c r="F17" t="s">
        <v>320</v>
      </c>
      <c r="G17">
        <v>0</v>
      </c>
      <c r="H17" t="s">
        <v>909</v>
      </c>
      <c r="I17" t="s">
        <v>910</v>
      </c>
    </row>
    <row r="18" spans="1:9" x14ac:dyDescent="0.3">
      <c r="A18" t="s">
        <v>143</v>
      </c>
      <c r="B18" t="s">
        <v>907</v>
      </c>
      <c r="C18" t="s">
        <v>26</v>
      </c>
      <c r="D18">
        <v>2</v>
      </c>
      <c r="E18" t="s">
        <v>908</v>
      </c>
      <c r="F18" t="s">
        <v>320</v>
      </c>
      <c r="G18">
        <v>2</v>
      </c>
      <c r="H18" t="s">
        <v>911</v>
      </c>
      <c r="I18" t="s">
        <v>912</v>
      </c>
    </row>
    <row r="19" spans="1:9" x14ac:dyDescent="0.3">
      <c r="A19" t="s">
        <v>28</v>
      </c>
      <c r="B19" t="s">
        <v>907</v>
      </c>
      <c r="C19" t="s">
        <v>26</v>
      </c>
      <c r="D19">
        <v>3</v>
      </c>
      <c r="E19" t="s">
        <v>908</v>
      </c>
      <c r="F19" t="s">
        <v>320</v>
      </c>
      <c r="G19">
        <v>1</v>
      </c>
      <c r="H19" t="s">
        <v>913</v>
      </c>
      <c r="I19" t="s">
        <v>914</v>
      </c>
    </row>
    <row r="20" spans="1:9" x14ac:dyDescent="0.3">
      <c r="A20" t="s">
        <v>266</v>
      </c>
      <c r="B20" t="s">
        <v>915</v>
      </c>
      <c r="C20" t="s">
        <v>916</v>
      </c>
      <c r="D20">
        <v>3</v>
      </c>
      <c r="E20" t="s">
        <v>29</v>
      </c>
      <c r="F20" t="s">
        <v>320</v>
      </c>
      <c r="G20">
        <v>2</v>
      </c>
      <c r="H20" t="s">
        <v>917</v>
      </c>
      <c r="I20" t="s">
        <v>918</v>
      </c>
    </row>
    <row r="21" spans="1:9" x14ac:dyDescent="0.3">
      <c r="A21" t="s">
        <v>100</v>
      </c>
      <c r="B21" t="s">
        <v>915</v>
      </c>
      <c r="C21" t="s">
        <v>916</v>
      </c>
      <c r="D21">
        <v>4</v>
      </c>
      <c r="E21" t="s">
        <v>29</v>
      </c>
      <c r="F21" t="s">
        <v>320</v>
      </c>
      <c r="G21">
        <v>4</v>
      </c>
      <c r="H21" t="s">
        <v>919</v>
      </c>
      <c r="I21" t="s">
        <v>920</v>
      </c>
    </row>
    <row r="22" spans="1:9" x14ac:dyDescent="0.3">
      <c r="A22" t="s">
        <v>77</v>
      </c>
      <c r="B22" t="s">
        <v>915</v>
      </c>
      <c r="C22" t="s">
        <v>916</v>
      </c>
      <c r="D22">
        <v>5</v>
      </c>
      <c r="E22" t="s">
        <v>29</v>
      </c>
      <c r="F22" t="s">
        <v>320</v>
      </c>
      <c r="G22">
        <v>7</v>
      </c>
      <c r="H22" t="s">
        <v>921</v>
      </c>
      <c r="I22" t="s">
        <v>922</v>
      </c>
    </row>
    <row r="23" spans="1:9" x14ac:dyDescent="0.3">
      <c r="A23" t="s">
        <v>87</v>
      </c>
      <c r="B23" t="s">
        <v>915</v>
      </c>
      <c r="C23" t="s">
        <v>916</v>
      </c>
      <c r="D23">
        <v>9</v>
      </c>
      <c r="E23" t="s">
        <v>29</v>
      </c>
      <c r="F23" t="s">
        <v>320</v>
      </c>
      <c r="G23">
        <v>2</v>
      </c>
      <c r="H23" t="s">
        <v>923</v>
      </c>
      <c r="I23" t="s">
        <v>924</v>
      </c>
    </row>
    <row r="24" spans="1:9" x14ac:dyDescent="0.3">
      <c r="A24" t="s">
        <v>50</v>
      </c>
      <c r="B24" t="s">
        <v>925</v>
      </c>
      <c r="C24" t="s">
        <v>926</v>
      </c>
      <c r="D24">
        <v>1</v>
      </c>
      <c r="E24" t="s">
        <v>29</v>
      </c>
      <c r="F24" t="s">
        <v>320</v>
      </c>
      <c r="G24">
        <v>3</v>
      </c>
      <c r="H24" t="s">
        <v>927</v>
      </c>
      <c r="I24" t="s">
        <v>928</v>
      </c>
    </row>
    <row r="25" spans="1:9" x14ac:dyDescent="0.3">
      <c r="A25" t="s">
        <v>164</v>
      </c>
      <c r="B25" t="s">
        <v>929</v>
      </c>
      <c r="C25" t="s">
        <v>74</v>
      </c>
      <c r="D25">
        <v>10</v>
      </c>
      <c r="E25" t="s">
        <v>29</v>
      </c>
      <c r="F25" t="s">
        <v>320</v>
      </c>
      <c r="G25">
        <v>1</v>
      </c>
      <c r="H25" t="s">
        <v>930</v>
      </c>
      <c r="I25" t="s">
        <v>931</v>
      </c>
    </row>
    <row r="26" spans="1:9" x14ac:dyDescent="0.3">
      <c r="A26" t="s">
        <v>72</v>
      </c>
      <c r="B26" t="s">
        <v>929</v>
      </c>
      <c r="C26" t="s">
        <v>74</v>
      </c>
      <c r="D26">
        <v>5</v>
      </c>
      <c r="E26" t="s">
        <v>29</v>
      </c>
      <c r="F26" t="s">
        <v>320</v>
      </c>
      <c r="G26">
        <v>2</v>
      </c>
      <c r="H26" t="s">
        <v>932</v>
      </c>
      <c r="I26" t="s">
        <v>933</v>
      </c>
    </row>
    <row r="27" spans="1:9" x14ac:dyDescent="0.3">
      <c r="A27" t="s">
        <v>934</v>
      </c>
      <c r="B27" t="s">
        <v>929</v>
      </c>
      <c r="C27" t="s">
        <v>74</v>
      </c>
      <c r="D27">
        <v>9</v>
      </c>
      <c r="E27" t="s">
        <v>29</v>
      </c>
      <c r="F27" t="s">
        <v>320</v>
      </c>
      <c r="G27">
        <v>0</v>
      </c>
      <c r="H27" t="s">
        <v>935</v>
      </c>
      <c r="I27" t="s">
        <v>936</v>
      </c>
    </row>
    <row r="28" spans="1:9" x14ac:dyDescent="0.3">
      <c r="A28" t="s">
        <v>173</v>
      </c>
      <c r="B28" t="s">
        <v>937</v>
      </c>
      <c r="C28" t="s">
        <v>173</v>
      </c>
      <c r="D28">
        <v>1</v>
      </c>
      <c r="E28" t="s">
        <v>29</v>
      </c>
      <c r="F28" t="s">
        <v>320</v>
      </c>
      <c r="G28">
        <v>3</v>
      </c>
      <c r="H28" t="s">
        <v>938</v>
      </c>
      <c r="I28" t="s">
        <v>939</v>
      </c>
    </row>
    <row r="29" spans="1:9" x14ac:dyDescent="0.3">
      <c r="A29" t="s">
        <v>40</v>
      </c>
      <c r="B29" t="s">
        <v>940</v>
      </c>
      <c r="C29" t="s">
        <v>39</v>
      </c>
      <c r="D29">
        <v>1</v>
      </c>
      <c r="E29" t="s">
        <v>29</v>
      </c>
      <c r="F29" t="s">
        <v>320</v>
      </c>
      <c r="G29">
        <v>1</v>
      </c>
      <c r="H29" t="s">
        <v>941</v>
      </c>
      <c r="I29" t="s">
        <v>942</v>
      </c>
    </row>
    <row r="30" spans="1:9" x14ac:dyDescent="0.3">
      <c r="A30" t="s">
        <v>345</v>
      </c>
      <c r="B30" t="s">
        <v>943</v>
      </c>
      <c r="C30" t="s">
        <v>43</v>
      </c>
      <c r="D30">
        <v>3</v>
      </c>
      <c r="E30" t="s">
        <v>29</v>
      </c>
      <c r="F30" t="s">
        <v>320</v>
      </c>
      <c r="G30">
        <v>0</v>
      </c>
      <c r="H30" t="s">
        <v>944</v>
      </c>
      <c r="I30" t="s">
        <v>945</v>
      </c>
    </row>
    <row r="31" spans="1:9" x14ac:dyDescent="0.3">
      <c r="A31" t="s">
        <v>49</v>
      </c>
      <c r="B31" t="s">
        <v>943</v>
      </c>
      <c r="C31" t="s">
        <v>43</v>
      </c>
      <c r="D31">
        <v>5</v>
      </c>
      <c r="E31" t="s">
        <v>29</v>
      </c>
      <c r="F31" t="s">
        <v>320</v>
      </c>
      <c r="G31">
        <v>3</v>
      </c>
      <c r="H31" t="s">
        <v>946</v>
      </c>
      <c r="I31" t="s">
        <v>947</v>
      </c>
    </row>
    <row r="32" spans="1:9" x14ac:dyDescent="0.3">
      <c r="A32" t="s">
        <v>45</v>
      </c>
      <c r="B32" t="s">
        <v>943</v>
      </c>
      <c r="C32" t="s">
        <v>43</v>
      </c>
      <c r="D32">
        <v>7</v>
      </c>
      <c r="E32" t="s">
        <v>29</v>
      </c>
      <c r="F32" t="s">
        <v>320</v>
      </c>
      <c r="G32">
        <v>1</v>
      </c>
      <c r="H32" t="s">
        <v>948</v>
      </c>
      <c r="I32" t="s">
        <v>949</v>
      </c>
    </row>
    <row r="33" spans="1:9" x14ac:dyDescent="0.3">
      <c r="A33" t="s">
        <v>122</v>
      </c>
      <c r="B33" t="s">
        <v>950</v>
      </c>
      <c r="C33" t="s">
        <v>107</v>
      </c>
      <c r="D33">
        <v>1</v>
      </c>
      <c r="E33" t="s">
        <v>951</v>
      </c>
      <c r="F33" t="s">
        <v>866</v>
      </c>
      <c r="G33">
        <v>1</v>
      </c>
      <c r="H33" t="s">
        <v>952</v>
      </c>
      <c r="I33" t="s">
        <v>953</v>
      </c>
    </row>
    <row r="34" spans="1:9" x14ac:dyDescent="0.3">
      <c r="A34" t="s">
        <v>105</v>
      </c>
      <c r="B34" t="s">
        <v>950</v>
      </c>
      <c r="C34" t="s">
        <v>107</v>
      </c>
      <c r="D34">
        <v>1</v>
      </c>
      <c r="E34" t="s">
        <v>954</v>
      </c>
      <c r="F34" t="s">
        <v>866</v>
      </c>
      <c r="G34">
        <v>1</v>
      </c>
      <c r="H34" t="s">
        <v>955</v>
      </c>
      <c r="I34" t="s">
        <v>956</v>
      </c>
    </row>
    <row r="35" spans="1:9" x14ac:dyDescent="0.3">
      <c r="A35" t="s">
        <v>110</v>
      </c>
      <c r="B35" t="s">
        <v>950</v>
      </c>
      <c r="C35" t="s">
        <v>107</v>
      </c>
      <c r="D35">
        <v>1</v>
      </c>
      <c r="E35" t="s">
        <v>957</v>
      </c>
      <c r="F35" t="s">
        <v>866</v>
      </c>
      <c r="G35">
        <v>1</v>
      </c>
      <c r="H35" t="s">
        <v>958</v>
      </c>
      <c r="I35" t="s">
        <v>959</v>
      </c>
    </row>
    <row r="36" spans="1:9" x14ac:dyDescent="0.3">
      <c r="A36" t="s">
        <v>228</v>
      </c>
      <c r="B36" t="s">
        <v>950</v>
      </c>
      <c r="C36" t="s">
        <v>107</v>
      </c>
      <c r="D36">
        <v>1</v>
      </c>
      <c r="E36" t="s">
        <v>960</v>
      </c>
      <c r="F36" t="s">
        <v>866</v>
      </c>
      <c r="G36">
        <v>1</v>
      </c>
      <c r="H36" t="s">
        <v>961</v>
      </c>
      <c r="I36" t="s">
        <v>962</v>
      </c>
    </row>
    <row r="37" spans="1:9" x14ac:dyDescent="0.3">
      <c r="A37" t="s">
        <v>194</v>
      </c>
      <c r="B37" t="s">
        <v>950</v>
      </c>
      <c r="C37" t="s">
        <v>107</v>
      </c>
      <c r="D37">
        <v>1</v>
      </c>
      <c r="E37" t="s">
        <v>963</v>
      </c>
      <c r="F37" t="s">
        <v>866</v>
      </c>
      <c r="G37">
        <v>1</v>
      </c>
      <c r="H37" t="s">
        <v>964</v>
      </c>
      <c r="I37" t="s">
        <v>965</v>
      </c>
    </row>
    <row r="38" spans="1:9" x14ac:dyDescent="0.3">
      <c r="A38" t="s">
        <v>198</v>
      </c>
      <c r="B38" t="s">
        <v>950</v>
      </c>
      <c r="C38" t="s">
        <v>107</v>
      </c>
      <c r="D38">
        <v>1</v>
      </c>
      <c r="E38" t="s">
        <v>966</v>
      </c>
      <c r="F38" t="s">
        <v>866</v>
      </c>
      <c r="G38">
        <v>1</v>
      </c>
      <c r="H38" t="s">
        <v>967</v>
      </c>
      <c r="I38" t="s">
        <v>968</v>
      </c>
    </row>
    <row r="39" spans="1:9" x14ac:dyDescent="0.3">
      <c r="A39" t="s">
        <v>232</v>
      </c>
      <c r="B39" t="s">
        <v>950</v>
      </c>
      <c r="C39" t="s">
        <v>107</v>
      </c>
      <c r="D39">
        <v>1</v>
      </c>
      <c r="E39" t="s">
        <v>969</v>
      </c>
      <c r="F39" t="s">
        <v>866</v>
      </c>
      <c r="G39">
        <v>1</v>
      </c>
      <c r="H39" t="s">
        <v>970</v>
      </c>
      <c r="I39" t="s">
        <v>971</v>
      </c>
    </row>
    <row r="40" spans="1:9" x14ac:dyDescent="0.3">
      <c r="A40" t="s">
        <v>114</v>
      </c>
      <c r="B40" t="s">
        <v>950</v>
      </c>
      <c r="C40" t="s">
        <v>107</v>
      </c>
      <c r="D40">
        <v>1</v>
      </c>
      <c r="E40" t="s">
        <v>972</v>
      </c>
      <c r="F40" t="s">
        <v>866</v>
      </c>
      <c r="G40">
        <v>1</v>
      </c>
      <c r="H40" t="s">
        <v>973</v>
      </c>
      <c r="I40" t="s">
        <v>974</v>
      </c>
    </row>
    <row r="41" spans="1:9" x14ac:dyDescent="0.3">
      <c r="A41" t="s">
        <v>202</v>
      </c>
      <c r="B41" t="s">
        <v>950</v>
      </c>
      <c r="C41" t="s">
        <v>107</v>
      </c>
      <c r="D41">
        <v>1</v>
      </c>
      <c r="E41" t="s">
        <v>975</v>
      </c>
      <c r="F41" t="s">
        <v>866</v>
      </c>
      <c r="G41">
        <v>1</v>
      </c>
      <c r="H41" t="s">
        <v>976</v>
      </c>
      <c r="I41" t="s">
        <v>977</v>
      </c>
    </row>
    <row r="42" spans="1:9" x14ac:dyDescent="0.3">
      <c r="A42" t="s">
        <v>206</v>
      </c>
      <c r="B42" t="s">
        <v>950</v>
      </c>
      <c r="C42" t="s">
        <v>107</v>
      </c>
      <c r="D42">
        <v>1</v>
      </c>
      <c r="E42" t="s">
        <v>978</v>
      </c>
      <c r="F42" t="s">
        <v>866</v>
      </c>
      <c r="G42">
        <v>1</v>
      </c>
      <c r="H42" t="s">
        <v>979</v>
      </c>
      <c r="I42" t="s">
        <v>980</v>
      </c>
    </row>
    <row r="43" spans="1:9" x14ac:dyDescent="0.3">
      <c r="A43" t="s">
        <v>236</v>
      </c>
      <c r="B43" t="s">
        <v>950</v>
      </c>
      <c r="C43" t="s">
        <v>107</v>
      </c>
      <c r="D43">
        <v>1</v>
      </c>
      <c r="E43" t="s">
        <v>981</v>
      </c>
      <c r="F43" t="s">
        <v>866</v>
      </c>
      <c r="G43">
        <v>1</v>
      </c>
      <c r="H43" t="s">
        <v>982</v>
      </c>
      <c r="I43" t="s">
        <v>983</v>
      </c>
    </row>
    <row r="44" spans="1:9" x14ac:dyDescent="0.3">
      <c r="A44" t="s">
        <v>295</v>
      </c>
      <c r="B44" t="s">
        <v>950</v>
      </c>
      <c r="C44" t="s">
        <v>107</v>
      </c>
      <c r="D44">
        <v>1</v>
      </c>
      <c r="E44" t="s">
        <v>984</v>
      </c>
      <c r="F44" t="s">
        <v>866</v>
      </c>
      <c r="G44">
        <v>1</v>
      </c>
      <c r="H44" t="s">
        <v>985</v>
      </c>
      <c r="I44" t="s">
        <v>986</v>
      </c>
    </row>
    <row r="45" spans="1:9" x14ac:dyDescent="0.3">
      <c r="A45" t="s">
        <v>126</v>
      </c>
      <c r="B45" t="s">
        <v>950</v>
      </c>
      <c r="C45" t="s">
        <v>107</v>
      </c>
      <c r="D45">
        <v>1</v>
      </c>
      <c r="E45" t="s">
        <v>987</v>
      </c>
      <c r="F45" t="s">
        <v>866</v>
      </c>
      <c r="G45">
        <v>1</v>
      </c>
      <c r="H45" t="s">
        <v>988</v>
      </c>
      <c r="I45" t="s">
        <v>989</v>
      </c>
    </row>
    <row r="46" spans="1:9" x14ac:dyDescent="0.3">
      <c r="A46" t="s">
        <v>289</v>
      </c>
      <c r="B46" t="s">
        <v>950</v>
      </c>
      <c r="C46" t="s">
        <v>107</v>
      </c>
      <c r="D46">
        <v>1</v>
      </c>
      <c r="E46" t="s">
        <v>990</v>
      </c>
      <c r="F46" t="s">
        <v>866</v>
      </c>
      <c r="G46">
        <v>1</v>
      </c>
      <c r="H46" t="s">
        <v>991</v>
      </c>
      <c r="I46" t="s">
        <v>992</v>
      </c>
    </row>
    <row r="47" spans="1:9" x14ac:dyDescent="0.3">
      <c r="A47" t="s">
        <v>283</v>
      </c>
      <c r="B47" t="s">
        <v>950</v>
      </c>
      <c r="C47" t="s">
        <v>107</v>
      </c>
      <c r="D47">
        <v>1</v>
      </c>
      <c r="E47" t="s">
        <v>993</v>
      </c>
      <c r="F47" t="s">
        <v>866</v>
      </c>
      <c r="G47">
        <v>1</v>
      </c>
      <c r="H47" t="s">
        <v>994</v>
      </c>
      <c r="I47" t="s">
        <v>995</v>
      </c>
    </row>
    <row r="48" spans="1:9" x14ac:dyDescent="0.3">
      <c r="A48" t="s">
        <v>130</v>
      </c>
      <c r="B48" t="s">
        <v>950</v>
      </c>
      <c r="C48" t="s">
        <v>107</v>
      </c>
      <c r="D48">
        <v>1</v>
      </c>
      <c r="E48" t="s">
        <v>996</v>
      </c>
      <c r="F48" t="s">
        <v>866</v>
      </c>
      <c r="G48">
        <v>1</v>
      </c>
      <c r="H48" t="s">
        <v>997</v>
      </c>
      <c r="I48" t="s">
        <v>998</v>
      </c>
    </row>
    <row r="49" spans="1:9" x14ac:dyDescent="0.3">
      <c r="A49" t="s">
        <v>118</v>
      </c>
      <c r="B49" t="s">
        <v>950</v>
      </c>
      <c r="C49" t="s">
        <v>107</v>
      </c>
      <c r="D49">
        <v>1</v>
      </c>
      <c r="E49" t="s">
        <v>999</v>
      </c>
      <c r="F49" t="s">
        <v>866</v>
      </c>
      <c r="G49">
        <v>1</v>
      </c>
      <c r="H49" t="s">
        <v>1000</v>
      </c>
      <c r="I49" t="s">
        <v>1001</v>
      </c>
    </row>
    <row r="50" spans="1:9" x14ac:dyDescent="0.3">
      <c r="A50" t="s">
        <v>223</v>
      </c>
      <c r="B50" t="s">
        <v>950</v>
      </c>
      <c r="C50" t="s">
        <v>107</v>
      </c>
      <c r="D50">
        <v>1</v>
      </c>
      <c r="E50" t="s">
        <v>1002</v>
      </c>
      <c r="F50" t="s">
        <v>866</v>
      </c>
      <c r="G50">
        <v>1</v>
      </c>
      <c r="H50" t="s">
        <v>1003</v>
      </c>
      <c r="I50" t="s">
        <v>1004</v>
      </c>
    </row>
    <row r="51" spans="1:9" x14ac:dyDescent="0.3">
      <c r="A51" t="s">
        <v>53</v>
      </c>
      <c r="B51" t="s">
        <v>1005</v>
      </c>
      <c r="C51" t="s">
        <v>53</v>
      </c>
      <c r="D51">
        <v>2</v>
      </c>
      <c r="E51" t="s">
        <v>29</v>
      </c>
      <c r="F51" t="s">
        <v>866</v>
      </c>
      <c r="G51">
        <v>1</v>
      </c>
      <c r="H51" t="s">
        <v>1006</v>
      </c>
      <c r="I51" t="s">
        <v>1007</v>
      </c>
    </row>
    <row r="52" spans="1:9" x14ac:dyDescent="0.3">
      <c r="A52" t="s">
        <v>1008</v>
      </c>
      <c r="B52" t="s">
        <v>1009</v>
      </c>
      <c r="C52" t="s">
        <v>1010</v>
      </c>
      <c r="D52">
        <v>5</v>
      </c>
      <c r="E52" t="s">
        <v>1011</v>
      </c>
      <c r="F52" t="s">
        <v>1012</v>
      </c>
      <c r="G52">
        <v>0</v>
      </c>
      <c r="H52" t="s">
        <v>1013</v>
      </c>
      <c r="I52" t="s">
        <v>1014</v>
      </c>
    </row>
    <row r="53" spans="1:9" x14ac:dyDescent="0.3">
      <c r="A53" t="s">
        <v>1015</v>
      </c>
      <c r="B53" t="s">
        <v>1009</v>
      </c>
      <c r="C53" t="s">
        <v>1010</v>
      </c>
      <c r="D53">
        <v>3</v>
      </c>
      <c r="E53" t="s">
        <v>1016</v>
      </c>
      <c r="F53" t="s">
        <v>1012</v>
      </c>
      <c r="G53">
        <v>0</v>
      </c>
      <c r="H53" t="s">
        <v>1017</v>
      </c>
      <c r="I53" t="s">
        <v>1018</v>
      </c>
    </row>
    <row r="54" spans="1:9" x14ac:dyDescent="0.3">
      <c r="A54" t="s">
        <v>1019</v>
      </c>
      <c r="B54" t="s">
        <v>1009</v>
      </c>
      <c r="C54" t="s">
        <v>1010</v>
      </c>
      <c r="D54">
        <v>8</v>
      </c>
      <c r="E54" t="s">
        <v>1020</v>
      </c>
      <c r="F54" t="s">
        <v>1012</v>
      </c>
      <c r="G54">
        <v>0</v>
      </c>
      <c r="H54" t="s">
        <v>1021</v>
      </c>
      <c r="I54" t="s">
        <v>1022</v>
      </c>
    </row>
  </sheetData>
  <hyperlinks>
    <hyperlink ref="C2" r:id="rId1" xr:uid="{00000000-0004-0000-0900-000000000000}"/>
    <hyperlink ref="C3" r:id="rId2" xr:uid="{00000000-0004-0000-0900-000001000000}"/>
    <hyperlink ref="C4" r:id="rId3" xr:uid="{00000000-0004-0000-0900-000002000000}"/>
    <hyperlink ref="C5" r:id="rId4" xr:uid="{00000000-0004-0000-0900-000003000000}"/>
    <hyperlink ref="C6" r:id="rId5" xr:uid="{00000000-0004-0000-0900-000004000000}"/>
    <hyperlink ref="C7" r:id="rId6" xr:uid="{00000000-0004-0000-0900-000005000000}"/>
    <hyperlink ref="C8" r:id="rId7" xr:uid="{00000000-0004-0000-0900-000006000000}"/>
    <hyperlink ref="C9" r:id="rId8" xr:uid="{00000000-0004-0000-0900-000007000000}"/>
    <hyperlink ref="C10" r:id="rId9" xr:uid="{00000000-0004-0000-0900-000008000000}"/>
    <hyperlink ref="C11" r:id="rId10" xr:uid="{00000000-0004-0000-0900-000009000000}"/>
    <hyperlink ref="C12" r:id="rId11" xr:uid="{00000000-0004-0000-0900-00000A000000}"/>
    <hyperlink ref="C13" r:id="rId12" xr:uid="{00000000-0004-0000-0900-00000B000000}"/>
    <hyperlink ref="C14" r:id="rId13" xr:uid="{00000000-0004-0000-0900-00000C000000}"/>
    <hyperlink ref="C15" r:id="rId14" xr:uid="{00000000-0004-0000-0900-00000D000000}"/>
    <hyperlink ref="C16" r:id="rId15"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38"/>
  <sheetViews>
    <sheetView workbookViewId="0">
      <pane ySplit="1" topLeftCell="A2" activePane="bottomLeft" state="frozen"/>
      <selection pane="bottomLeft"/>
    </sheetView>
  </sheetViews>
  <sheetFormatPr defaultRowHeight="14.4" x14ac:dyDescent="0.3"/>
  <cols>
    <col min="1" max="1" width="13.88671875" customWidth="1"/>
    <col min="2" max="2" width="9.109375" customWidth="1"/>
    <col min="3" max="3" width="19.6640625" customWidth="1"/>
    <col min="4" max="5" width="9.109375" customWidth="1"/>
  </cols>
  <sheetData>
    <row r="1" spans="1:5" x14ac:dyDescent="0.3">
      <c r="A1" t="s">
        <v>1023</v>
      </c>
      <c r="B1" t="s">
        <v>1024</v>
      </c>
      <c r="C1" t="s">
        <v>1025</v>
      </c>
      <c r="D1" t="s">
        <v>1026</v>
      </c>
      <c r="E1" t="s">
        <v>1027</v>
      </c>
    </row>
    <row r="2" spans="1:5" x14ac:dyDescent="0.3">
      <c r="A2" t="s">
        <v>1028</v>
      </c>
      <c r="B2" t="s">
        <v>32</v>
      </c>
      <c r="C2" t="s">
        <v>173</v>
      </c>
      <c r="D2">
        <v>4</v>
      </c>
      <c r="E2" t="s">
        <v>866</v>
      </c>
    </row>
    <row r="3" spans="1:5" x14ac:dyDescent="0.3">
      <c r="A3" t="s">
        <v>1028</v>
      </c>
      <c r="B3" t="s">
        <v>32</v>
      </c>
      <c r="C3" t="s">
        <v>86</v>
      </c>
      <c r="D3">
        <v>5</v>
      </c>
      <c r="E3" t="s">
        <v>866</v>
      </c>
    </row>
    <row r="4" spans="1:5" x14ac:dyDescent="0.3">
      <c r="A4" t="s">
        <v>1028</v>
      </c>
      <c r="B4" t="s">
        <v>32</v>
      </c>
      <c r="C4" t="s">
        <v>43</v>
      </c>
      <c r="D4">
        <v>4</v>
      </c>
      <c r="E4" t="s">
        <v>866</v>
      </c>
    </row>
    <row r="5" spans="1:5" x14ac:dyDescent="0.3">
      <c r="A5" t="s">
        <v>1028</v>
      </c>
      <c r="B5" t="s">
        <v>32</v>
      </c>
      <c r="C5" t="s">
        <v>26</v>
      </c>
      <c r="D5">
        <v>1</v>
      </c>
      <c r="E5" t="s">
        <v>866</v>
      </c>
    </row>
    <row r="6" spans="1:5" x14ac:dyDescent="0.3">
      <c r="A6" t="s">
        <v>1028</v>
      </c>
      <c r="B6" t="s">
        <v>32</v>
      </c>
      <c r="C6" t="s">
        <v>104</v>
      </c>
      <c r="D6">
        <v>1</v>
      </c>
      <c r="E6" t="s">
        <v>866</v>
      </c>
    </row>
    <row r="7" spans="1:5" x14ac:dyDescent="0.3">
      <c r="A7" t="s">
        <v>1029</v>
      </c>
      <c r="B7" t="s">
        <v>32</v>
      </c>
      <c r="C7" t="s">
        <v>53</v>
      </c>
      <c r="D7">
        <v>1</v>
      </c>
      <c r="E7" t="s">
        <v>866</v>
      </c>
    </row>
    <row r="8" spans="1:5" x14ac:dyDescent="0.3">
      <c r="A8" t="s">
        <v>1029</v>
      </c>
      <c r="B8" t="s">
        <v>32</v>
      </c>
      <c r="C8" t="s">
        <v>126</v>
      </c>
      <c r="D8">
        <v>1</v>
      </c>
      <c r="E8" t="s">
        <v>866</v>
      </c>
    </row>
    <row r="9" spans="1:5" x14ac:dyDescent="0.3">
      <c r="A9" t="s">
        <v>1029</v>
      </c>
      <c r="B9" t="s">
        <v>32</v>
      </c>
      <c r="C9" t="s">
        <v>81</v>
      </c>
      <c r="D9">
        <v>1</v>
      </c>
      <c r="E9" t="s">
        <v>866</v>
      </c>
    </row>
    <row r="10" spans="1:5" x14ac:dyDescent="0.3">
      <c r="A10" t="s">
        <v>1029</v>
      </c>
      <c r="B10" t="s">
        <v>32</v>
      </c>
      <c r="C10" t="s">
        <v>173</v>
      </c>
      <c r="D10">
        <v>1</v>
      </c>
      <c r="E10" t="s">
        <v>866</v>
      </c>
    </row>
    <row r="11" spans="1:5" x14ac:dyDescent="0.3">
      <c r="A11" t="s">
        <v>1029</v>
      </c>
      <c r="B11" t="s">
        <v>32</v>
      </c>
      <c r="C11" t="s">
        <v>86</v>
      </c>
      <c r="D11">
        <v>1</v>
      </c>
      <c r="E11" t="s">
        <v>866</v>
      </c>
    </row>
    <row r="12" spans="1:5" x14ac:dyDescent="0.3">
      <c r="A12" t="s">
        <v>1030</v>
      </c>
      <c r="B12" t="s">
        <v>272</v>
      </c>
      <c r="C12" t="s">
        <v>43</v>
      </c>
      <c r="D12">
        <v>1</v>
      </c>
      <c r="E12" t="s">
        <v>866</v>
      </c>
    </row>
    <row r="13" spans="1:5" x14ac:dyDescent="0.3">
      <c r="A13" t="s">
        <v>1030</v>
      </c>
      <c r="B13" t="s">
        <v>272</v>
      </c>
      <c r="C13" t="s">
        <v>86</v>
      </c>
      <c r="D13">
        <v>1</v>
      </c>
      <c r="E13" t="s">
        <v>866</v>
      </c>
    </row>
    <row r="14" spans="1:5" x14ac:dyDescent="0.3">
      <c r="A14" t="s">
        <v>1030</v>
      </c>
      <c r="B14" t="s">
        <v>272</v>
      </c>
      <c r="C14" t="s">
        <v>173</v>
      </c>
      <c r="D14">
        <v>1</v>
      </c>
      <c r="E14" t="s">
        <v>866</v>
      </c>
    </row>
    <row r="15" spans="1:5" x14ac:dyDescent="0.3">
      <c r="A15" t="s">
        <v>1031</v>
      </c>
      <c r="B15" t="s">
        <v>145</v>
      </c>
      <c r="C15" t="s">
        <v>172</v>
      </c>
      <c r="D15">
        <v>3</v>
      </c>
      <c r="E15" t="s">
        <v>866</v>
      </c>
    </row>
    <row r="16" spans="1:5" x14ac:dyDescent="0.3">
      <c r="A16" t="s">
        <v>1031</v>
      </c>
      <c r="B16" t="s">
        <v>145</v>
      </c>
      <c r="C16" t="s">
        <v>182</v>
      </c>
      <c r="D16">
        <v>3</v>
      </c>
      <c r="E16" t="s">
        <v>866</v>
      </c>
    </row>
    <row r="17" spans="1:5" x14ac:dyDescent="0.3">
      <c r="A17" t="s">
        <v>1031</v>
      </c>
      <c r="B17" t="s">
        <v>145</v>
      </c>
      <c r="C17" t="s">
        <v>142</v>
      </c>
      <c r="D17">
        <v>3</v>
      </c>
      <c r="E17" t="s">
        <v>866</v>
      </c>
    </row>
    <row r="18" spans="1:5" x14ac:dyDescent="0.3">
      <c r="A18" t="s">
        <v>1031</v>
      </c>
      <c r="B18" t="s">
        <v>145</v>
      </c>
      <c r="C18" t="s">
        <v>160</v>
      </c>
      <c r="D18">
        <v>3</v>
      </c>
      <c r="E18" t="s">
        <v>866</v>
      </c>
    </row>
    <row r="19" spans="1:5" x14ac:dyDescent="0.3">
      <c r="A19" t="s">
        <v>1031</v>
      </c>
      <c r="B19" t="s">
        <v>145</v>
      </c>
      <c r="C19" t="s">
        <v>231</v>
      </c>
      <c r="D19">
        <v>1</v>
      </c>
      <c r="E19" t="s">
        <v>866</v>
      </c>
    </row>
    <row r="20" spans="1:5" x14ac:dyDescent="0.3">
      <c r="A20" t="s">
        <v>1031</v>
      </c>
      <c r="B20" t="s">
        <v>145</v>
      </c>
      <c r="C20" t="s">
        <v>197</v>
      </c>
      <c r="D20">
        <v>1</v>
      </c>
      <c r="E20" t="s">
        <v>866</v>
      </c>
    </row>
    <row r="21" spans="1:5" x14ac:dyDescent="0.3">
      <c r="A21" t="s">
        <v>1031</v>
      </c>
      <c r="B21" t="s">
        <v>145</v>
      </c>
      <c r="C21" t="s">
        <v>205</v>
      </c>
      <c r="D21">
        <v>1</v>
      </c>
      <c r="E21" t="s">
        <v>866</v>
      </c>
    </row>
    <row r="22" spans="1:5" x14ac:dyDescent="0.3">
      <c r="A22" t="s">
        <v>1032</v>
      </c>
      <c r="B22" t="s">
        <v>145</v>
      </c>
      <c r="C22" t="s">
        <v>142</v>
      </c>
      <c r="D22">
        <v>1</v>
      </c>
      <c r="E22" t="s">
        <v>866</v>
      </c>
    </row>
    <row r="23" spans="1:5" x14ac:dyDescent="0.3">
      <c r="A23" t="s">
        <v>1032</v>
      </c>
      <c r="B23" t="s">
        <v>145</v>
      </c>
      <c r="C23" t="s">
        <v>220</v>
      </c>
      <c r="D23">
        <v>1</v>
      </c>
      <c r="E23" t="s">
        <v>866</v>
      </c>
    </row>
    <row r="24" spans="1:5" x14ac:dyDescent="0.3">
      <c r="A24" t="s">
        <v>1032</v>
      </c>
      <c r="B24" t="s">
        <v>145</v>
      </c>
      <c r="C24" t="s">
        <v>238</v>
      </c>
      <c r="D24">
        <v>1</v>
      </c>
      <c r="E24" t="s">
        <v>866</v>
      </c>
    </row>
    <row r="25" spans="1:5" x14ac:dyDescent="0.3">
      <c r="A25" t="s">
        <v>1032</v>
      </c>
      <c r="B25" t="s">
        <v>145</v>
      </c>
      <c r="C25" t="s">
        <v>211</v>
      </c>
      <c r="D25">
        <v>1</v>
      </c>
      <c r="E25" t="s">
        <v>866</v>
      </c>
    </row>
    <row r="26" spans="1:5" x14ac:dyDescent="0.3">
      <c r="A26" t="s">
        <v>1032</v>
      </c>
      <c r="B26" t="s">
        <v>145</v>
      </c>
      <c r="C26" t="s">
        <v>166</v>
      </c>
      <c r="D26">
        <v>1</v>
      </c>
      <c r="E26" t="s">
        <v>866</v>
      </c>
    </row>
    <row r="27" spans="1:5" x14ac:dyDescent="0.3">
      <c r="A27" t="s">
        <v>1033</v>
      </c>
      <c r="B27" t="s">
        <v>272</v>
      </c>
      <c r="C27" t="s">
        <v>182</v>
      </c>
      <c r="D27">
        <v>1</v>
      </c>
      <c r="E27" t="s">
        <v>866</v>
      </c>
    </row>
    <row r="28" spans="1:5" x14ac:dyDescent="0.3">
      <c r="A28" t="s">
        <v>1033</v>
      </c>
      <c r="B28" t="s">
        <v>272</v>
      </c>
      <c r="C28" t="s">
        <v>172</v>
      </c>
      <c r="D28">
        <v>1</v>
      </c>
      <c r="E28" t="s">
        <v>866</v>
      </c>
    </row>
    <row r="29" spans="1:5" x14ac:dyDescent="0.3">
      <c r="A29" t="s">
        <v>1034</v>
      </c>
      <c r="B29" t="s">
        <v>246</v>
      </c>
      <c r="C29" t="s">
        <v>173</v>
      </c>
      <c r="D29">
        <v>4</v>
      </c>
      <c r="E29" t="s">
        <v>866</v>
      </c>
    </row>
    <row r="30" spans="1:5" x14ac:dyDescent="0.3">
      <c r="A30" t="s">
        <v>1034</v>
      </c>
      <c r="B30" t="s">
        <v>246</v>
      </c>
      <c r="C30" t="s">
        <v>261</v>
      </c>
      <c r="D30">
        <v>1</v>
      </c>
      <c r="E30" t="s">
        <v>866</v>
      </c>
    </row>
    <row r="31" spans="1:5" x14ac:dyDescent="0.3">
      <c r="A31" t="s">
        <v>1034</v>
      </c>
      <c r="B31" t="s">
        <v>246</v>
      </c>
      <c r="C31" t="s">
        <v>278</v>
      </c>
      <c r="D31">
        <v>2</v>
      </c>
      <c r="E31" t="s">
        <v>866</v>
      </c>
    </row>
    <row r="32" spans="1:5" x14ac:dyDescent="0.3">
      <c r="A32" t="s">
        <v>1034</v>
      </c>
      <c r="B32" t="s">
        <v>246</v>
      </c>
      <c r="C32" t="s">
        <v>265</v>
      </c>
      <c r="D32">
        <v>2</v>
      </c>
      <c r="E32" t="s">
        <v>866</v>
      </c>
    </row>
    <row r="33" spans="1:5" x14ac:dyDescent="0.3">
      <c r="A33" t="s">
        <v>1034</v>
      </c>
      <c r="B33" t="s">
        <v>246</v>
      </c>
      <c r="C33" t="s">
        <v>244</v>
      </c>
      <c r="D33">
        <v>1</v>
      </c>
      <c r="E33" t="s">
        <v>866</v>
      </c>
    </row>
    <row r="34" spans="1:5" x14ac:dyDescent="0.3">
      <c r="A34" t="s">
        <v>1035</v>
      </c>
      <c r="B34" t="s">
        <v>246</v>
      </c>
      <c r="C34" t="s">
        <v>249</v>
      </c>
      <c r="D34">
        <v>1</v>
      </c>
      <c r="E34" t="s">
        <v>866</v>
      </c>
    </row>
    <row r="35" spans="1:5" x14ac:dyDescent="0.3">
      <c r="A35" t="s">
        <v>1035</v>
      </c>
      <c r="B35" t="s">
        <v>246</v>
      </c>
      <c r="C35" t="s">
        <v>256</v>
      </c>
      <c r="D35">
        <v>1</v>
      </c>
      <c r="E35" t="s">
        <v>866</v>
      </c>
    </row>
    <row r="36" spans="1:5" x14ac:dyDescent="0.3">
      <c r="A36" t="s">
        <v>1035</v>
      </c>
      <c r="B36" t="s">
        <v>246</v>
      </c>
      <c r="C36" t="s">
        <v>285</v>
      </c>
      <c r="D36">
        <v>1</v>
      </c>
      <c r="E36" t="s">
        <v>866</v>
      </c>
    </row>
    <row r="37" spans="1:5" x14ac:dyDescent="0.3">
      <c r="A37" t="s">
        <v>1035</v>
      </c>
      <c r="B37" t="s">
        <v>246</v>
      </c>
      <c r="C37" t="s">
        <v>274</v>
      </c>
      <c r="D37">
        <v>1</v>
      </c>
      <c r="E37" t="s">
        <v>866</v>
      </c>
    </row>
    <row r="38" spans="1:5" x14ac:dyDescent="0.3">
      <c r="A38" t="s">
        <v>1035</v>
      </c>
      <c r="B38" t="s">
        <v>246</v>
      </c>
      <c r="C38" t="s">
        <v>265</v>
      </c>
      <c r="D38">
        <v>1</v>
      </c>
      <c r="E38" t="s">
        <v>866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00"/>
  <sheetViews>
    <sheetView workbookViewId="0"/>
  </sheetViews>
  <sheetFormatPr defaultRowHeight="14.4" x14ac:dyDescent="0.3"/>
  <cols>
    <col min="1" max="1" width="16" customWidth="1"/>
    <col min="2" max="2" width="11" customWidth="1"/>
    <col min="3" max="3" width="82" style="3" customWidth="1"/>
  </cols>
  <sheetData>
    <row r="1" spans="1:3" x14ac:dyDescent="0.3">
      <c r="A1" s="2" t="s">
        <v>1156</v>
      </c>
      <c r="B1" s="2" t="s">
        <v>1157</v>
      </c>
      <c r="C1" s="4" t="s">
        <v>1158</v>
      </c>
    </row>
    <row r="2" spans="1:3" x14ac:dyDescent="0.3">
      <c r="A2" t="s">
        <v>1159</v>
      </c>
      <c r="B2" s="6">
        <v>1</v>
      </c>
      <c r="C2" s="3" t="s">
        <v>1160</v>
      </c>
    </row>
    <row r="3" spans="1:3" x14ac:dyDescent="0.3">
      <c r="A3" t="s">
        <v>1161</v>
      </c>
      <c r="B3" s="6">
        <v>0.8</v>
      </c>
      <c r="C3" s="3" t="s">
        <v>1162</v>
      </c>
    </row>
    <row r="4" spans="1:3" x14ac:dyDescent="0.3">
      <c r="A4" t="s">
        <v>1163</v>
      </c>
      <c r="B4" s="6">
        <v>0.7</v>
      </c>
      <c r="C4" s="3" t="s">
        <v>1164</v>
      </c>
    </row>
    <row r="5" spans="1:3" x14ac:dyDescent="0.3">
      <c r="A5" t="s">
        <v>1165</v>
      </c>
      <c r="B5" s="6">
        <v>0.9</v>
      </c>
      <c r="C5" s="3" t="s">
        <v>1166</v>
      </c>
    </row>
    <row r="6" spans="1:3" x14ac:dyDescent="0.3">
      <c r="A6" t="s">
        <v>1167</v>
      </c>
      <c r="B6" s="6">
        <v>5</v>
      </c>
      <c r="C6" s="3" t="s">
        <v>1168</v>
      </c>
    </row>
    <row r="7" spans="1:3" x14ac:dyDescent="0.3">
      <c r="A7" t="s">
        <v>1169</v>
      </c>
      <c r="B7" s="6">
        <v>1.2</v>
      </c>
      <c r="C7" s="3" t="s">
        <v>1170</v>
      </c>
    </row>
    <row r="8" spans="1:3" x14ac:dyDescent="0.3">
      <c r="A8" t="s">
        <v>1171</v>
      </c>
      <c r="B8" s="6">
        <v>1</v>
      </c>
      <c r="C8" s="3" t="s">
        <v>1172</v>
      </c>
    </row>
    <row r="9" spans="1:3" x14ac:dyDescent="0.3">
      <c r="A9" t="s">
        <v>1173</v>
      </c>
      <c r="B9" s="6">
        <v>1</v>
      </c>
      <c r="C9" s="3" t="s">
        <v>1174</v>
      </c>
    </row>
    <row r="10" spans="1:3" x14ac:dyDescent="0.3">
      <c r="A10" t="s">
        <v>1175</v>
      </c>
      <c r="B10" s="6">
        <v>3</v>
      </c>
      <c r="C10" s="3" t="s">
        <v>1176</v>
      </c>
    </row>
    <row r="11" spans="1:3" x14ac:dyDescent="0.3">
      <c r="A11" t="s">
        <v>1177</v>
      </c>
      <c r="B11" s="6">
        <v>3</v>
      </c>
      <c r="C11" s="3" t="s">
        <v>1178</v>
      </c>
    </row>
    <row r="12" spans="1:3" x14ac:dyDescent="0.3">
      <c r="A12" t="s">
        <v>1179</v>
      </c>
      <c r="B12" s="6">
        <v>6</v>
      </c>
      <c r="C12" s="3" t="s">
        <v>1180</v>
      </c>
    </row>
    <row r="13" spans="1:3" x14ac:dyDescent="0.3">
      <c r="A13" t="s">
        <v>1181</v>
      </c>
      <c r="B13" s="6">
        <v>0.5</v>
      </c>
      <c r="C13" s="3" t="s">
        <v>1182</v>
      </c>
    </row>
    <row r="14" spans="1:3" x14ac:dyDescent="0.3">
      <c r="A14" t="s">
        <v>1183</v>
      </c>
      <c r="B14" s="6">
        <v>0.25</v>
      </c>
      <c r="C14" s="3" t="s">
        <v>1184</v>
      </c>
    </row>
    <row r="15" spans="1:3" ht="28.8" x14ac:dyDescent="0.3">
      <c r="A15" t="s">
        <v>1185</v>
      </c>
      <c r="B15" s="6">
        <v>4</v>
      </c>
      <c r="C15" s="3" t="s">
        <v>1186</v>
      </c>
    </row>
    <row r="16" spans="1:3" x14ac:dyDescent="0.3">
      <c r="A16" t="s">
        <v>1187</v>
      </c>
      <c r="B16" s="6">
        <v>3</v>
      </c>
      <c r="C16" s="3" t="s">
        <v>1188</v>
      </c>
    </row>
    <row r="17" spans="1:3" x14ac:dyDescent="0.3">
      <c r="A17" t="s">
        <v>1189</v>
      </c>
      <c r="B17" s="6">
        <v>3</v>
      </c>
      <c r="C17" s="3" t="s">
        <v>1190</v>
      </c>
    </row>
    <row r="18" spans="1:3" ht="28.8" x14ac:dyDescent="0.3">
      <c r="A18" t="s">
        <v>1191</v>
      </c>
      <c r="B18" s="6">
        <v>2</v>
      </c>
      <c r="C18" s="3" t="s">
        <v>1192</v>
      </c>
    </row>
    <row r="19" spans="1:3" ht="28.8" x14ac:dyDescent="0.3">
      <c r="A19" t="s">
        <v>1193</v>
      </c>
      <c r="B19" s="6">
        <v>6</v>
      </c>
      <c r="C19" s="3" t="s">
        <v>1194</v>
      </c>
    </row>
    <row r="20" spans="1:3" x14ac:dyDescent="0.3">
      <c r="A20" t="s">
        <v>1195</v>
      </c>
      <c r="B20" s="6">
        <v>0.25</v>
      </c>
      <c r="C20" s="3" t="s">
        <v>1196</v>
      </c>
    </row>
    <row r="21" spans="1:3" x14ac:dyDescent="0.3">
      <c r="A21" t="s">
        <v>1197</v>
      </c>
      <c r="B21" s="6">
        <v>64</v>
      </c>
      <c r="C21" s="3" t="s">
        <v>1198</v>
      </c>
    </row>
    <row r="22" spans="1:3" x14ac:dyDescent="0.3">
      <c r="B22" s="6"/>
    </row>
    <row r="23" spans="1:3" x14ac:dyDescent="0.3">
      <c r="A23" s="2" t="s">
        <v>1199</v>
      </c>
      <c r="B23" s="6"/>
    </row>
    <row r="24" spans="1:3" x14ac:dyDescent="0.3">
      <c r="A24" s="2" t="s">
        <v>2</v>
      </c>
      <c r="B24" s="7" t="s">
        <v>1200</v>
      </c>
    </row>
    <row r="25" spans="1:3" x14ac:dyDescent="0.3">
      <c r="A25" t="s">
        <v>44</v>
      </c>
      <c r="B25" s="6">
        <v>1</v>
      </c>
    </row>
    <row r="26" spans="1:3" x14ac:dyDescent="0.3">
      <c r="A26" t="s">
        <v>27</v>
      </c>
      <c r="B26" s="6">
        <v>1.1499999999999999</v>
      </c>
    </row>
    <row r="27" spans="1:3" x14ac:dyDescent="0.3">
      <c r="A27" t="s">
        <v>99</v>
      </c>
      <c r="B27" s="6">
        <v>1.35</v>
      </c>
    </row>
    <row r="28" spans="1:3" x14ac:dyDescent="0.3">
      <c r="A28" t="s">
        <v>438</v>
      </c>
      <c r="B28" s="6">
        <v>1.6</v>
      </c>
    </row>
    <row r="29" spans="1:3" x14ac:dyDescent="0.3">
      <c r="A29" t="s">
        <v>91</v>
      </c>
      <c r="B29" s="6">
        <v>1</v>
      </c>
    </row>
    <row r="30" spans="1:3" x14ac:dyDescent="0.3">
      <c r="B30" s="6"/>
    </row>
    <row r="31" spans="1:3" x14ac:dyDescent="0.3">
      <c r="A31" s="8" t="s">
        <v>1201</v>
      </c>
      <c r="B31" s="6"/>
    </row>
    <row r="32" spans="1:3" x14ac:dyDescent="0.3">
      <c r="A32" s="8" t="s">
        <v>1202</v>
      </c>
      <c r="B32" s="6"/>
    </row>
    <row r="33" spans="2:2" x14ac:dyDescent="0.3">
      <c r="B33" s="6"/>
    </row>
    <row r="34" spans="2:2" x14ac:dyDescent="0.3">
      <c r="B34" s="6"/>
    </row>
    <row r="35" spans="2:2" x14ac:dyDescent="0.3">
      <c r="B35" s="6"/>
    </row>
    <row r="36" spans="2:2" x14ac:dyDescent="0.3">
      <c r="B36" s="6"/>
    </row>
    <row r="37" spans="2:2" x14ac:dyDescent="0.3">
      <c r="B37" s="6"/>
    </row>
    <row r="38" spans="2:2" x14ac:dyDescent="0.3">
      <c r="B38" s="6"/>
    </row>
    <row r="39" spans="2:2" x14ac:dyDescent="0.3">
      <c r="B39" s="6"/>
    </row>
    <row r="40" spans="2:2" x14ac:dyDescent="0.3">
      <c r="B40" s="6"/>
    </row>
    <row r="41" spans="2:2" x14ac:dyDescent="0.3">
      <c r="B41" s="6"/>
    </row>
    <row r="42" spans="2:2" x14ac:dyDescent="0.3">
      <c r="B42" s="6"/>
    </row>
    <row r="43" spans="2:2" x14ac:dyDescent="0.3">
      <c r="B43" s="6"/>
    </row>
    <row r="44" spans="2:2" x14ac:dyDescent="0.3">
      <c r="B44" s="6"/>
    </row>
    <row r="45" spans="2:2" x14ac:dyDescent="0.3">
      <c r="B45" s="6"/>
    </row>
    <row r="46" spans="2:2" x14ac:dyDescent="0.3">
      <c r="B46" s="6"/>
    </row>
    <row r="47" spans="2:2" x14ac:dyDescent="0.3">
      <c r="B47" s="6"/>
    </row>
    <row r="48" spans="2:2" x14ac:dyDescent="0.3">
      <c r="B48" s="6"/>
    </row>
    <row r="49" spans="2:2" x14ac:dyDescent="0.3">
      <c r="B49" s="6"/>
    </row>
    <row r="50" spans="2:2" x14ac:dyDescent="0.3">
      <c r="B50" s="6"/>
    </row>
    <row r="51" spans="2:2" x14ac:dyDescent="0.3">
      <c r="B51" s="6"/>
    </row>
    <row r="52" spans="2:2" x14ac:dyDescent="0.3">
      <c r="B52" s="6"/>
    </row>
    <row r="53" spans="2:2" x14ac:dyDescent="0.3">
      <c r="B53" s="6"/>
    </row>
    <row r="54" spans="2:2" x14ac:dyDescent="0.3">
      <c r="B54" s="6"/>
    </row>
    <row r="55" spans="2:2" x14ac:dyDescent="0.3">
      <c r="B55" s="6"/>
    </row>
    <row r="56" spans="2:2" x14ac:dyDescent="0.3">
      <c r="B56" s="6"/>
    </row>
    <row r="57" spans="2:2" x14ac:dyDescent="0.3">
      <c r="B57" s="6"/>
    </row>
    <row r="58" spans="2:2" x14ac:dyDescent="0.3">
      <c r="B58" s="6"/>
    </row>
    <row r="59" spans="2:2" x14ac:dyDescent="0.3">
      <c r="B59" s="6"/>
    </row>
    <row r="60" spans="2:2" x14ac:dyDescent="0.3">
      <c r="B60" s="6"/>
    </row>
    <row r="61" spans="2:2" x14ac:dyDescent="0.3">
      <c r="B61" s="6"/>
    </row>
    <row r="62" spans="2:2" x14ac:dyDescent="0.3">
      <c r="B62" s="6"/>
    </row>
    <row r="63" spans="2:2" x14ac:dyDescent="0.3">
      <c r="B63" s="6"/>
    </row>
    <row r="64" spans="2:2" x14ac:dyDescent="0.3">
      <c r="B64" s="6"/>
    </row>
    <row r="65" spans="2:2" x14ac:dyDescent="0.3">
      <c r="B65" s="6"/>
    </row>
    <row r="66" spans="2:2" x14ac:dyDescent="0.3">
      <c r="B66" s="6"/>
    </row>
    <row r="67" spans="2:2" x14ac:dyDescent="0.3">
      <c r="B67" s="6"/>
    </row>
    <row r="68" spans="2:2" x14ac:dyDescent="0.3">
      <c r="B68" s="6"/>
    </row>
    <row r="69" spans="2:2" x14ac:dyDescent="0.3">
      <c r="B69" s="6"/>
    </row>
    <row r="70" spans="2:2" x14ac:dyDescent="0.3">
      <c r="B70" s="6"/>
    </row>
    <row r="71" spans="2:2" x14ac:dyDescent="0.3">
      <c r="B71" s="6"/>
    </row>
    <row r="72" spans="2:2" x14ac:dyDescent="0.3">
      <c r="B72" s="6"/>
    </row>
    <row r="73" spans="2:2" x14ac:dyDescent="0.3">
      <c r="B73" s="6"/>
    </row>
    <row r="74" spans="2:2" x14ac:dyDescent="0.3">
      <c r="B74" s="6"/>
    </row>
    <row r="75" spans="2:2" x14ac:dyDescent="0.3">
      <c r="B75" s="6"/>
    </row>
    <row r="76" spans="2:2" x14ac:dyDescent="0.3">
      <c r="B76" s="6"/>
    </row>
    <row r="77" spans="2:2" x14ac:dyDescent="0.3">
      <c r="B77" s="6"/>
    </row>
    <row r="78" spans="2:2" x14ac:dyDescent="0.3">
      <c r="B78" s="6"/>
    </row>
    <row r="79" spans="2:2" x14ac:dyDescent="0.3">
      <c r="B79" s="6"/>
    </row>
    <row r="80" spans="2:2" x14ac:dyDescent="0.3">
      <c r="B80" s="6"/>
    </row>
    <row r="81" spans="2:2" x14ac:dyDescent="0.3">
      <c r="B81" s="6"/>
    </row>
    <row r="82" spans="2:2" x14ac:dyDescent="0.3">
      <c r="B82" s="6"/>
    </row>
    <row r="83" spans="2:2" x14ac:dyDescent="0.3">
      <c r="B83" s="6"/>
    </row>
    <row r="84" spans="2:2" x14ac:dyDescent="0.3">
      <c r="B84" s="6"/>
    </row>
    <row r="85" spans="2:2" x14ac:dyDescent="0.3">
      <c r="B85" s="6"/>
    </row>
    <row r="86" spans="2:2" x14ac:dyDescent="0.3">
      <c r="B86" s="6"/>
    </row>
    <row r="87" spans="2:2" x14ac:dyDescent="0.3">
      <c r="B87" s="6"/>
    </row>
    <row r="88" spans="2:2" x14ac:dyDescent="0.3">
      <c r="B88" s="6"/>
    </row>
    <row r="89" spans="2:2" x14ac:dyDescent="0.3">
      <c r="B89" s="6"/>
    </row>
    <row r="90" spans="2:2" x14ac:dyDescent="0.3">
      <c r="B90" s="6"/>
    </row>
    <row r="91" spans="2:2" x14ac:dyDescent="0.3">
      <c r="B91" s="6"/>
    </row>
    <row r="92" spans="2:2" x14ac:dyDescent="0.3">
      <c r="B92" s="6"/>
    </row>
    <row r="93" spans="2:2" x14ac:dyDescent="0.3">
      <c r="B93" s="6"/>
    </row>
    <row r="94" spans="2:2" x14ac:dyDescent="0.3">
      <c r="B94" s="6"/>
    </row>
    <row r="95" spans="2:2" x14ac:dyDescent="0.3">
      <c r="B95" s="6"/>
    </row>
    <row r="96" spans="2:2" x14ac:dyDescent="0.3">
      <c r="B96" s="6"/>
    </row>
    <row r="97" spans="2:2" x14ac:dyDescent="0.3">
      <c r="B97" s="6"/>
    </row>
    <row r="98" spans="2:2" x14ac:dyDescent="0.3">
      <c r="B98" s="6"/>
    </row>
    <row r="99" spans="2:2" x14ac:dyDescent="0.3">
      <c r="B99" s="6"/>
    </row>
    <row r="100" spans="2:2" x14ac:dyDescent="0.3">
      <c r="B100" s="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170"/>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23.6640625" customWidth="1"/>
    <col min="2" max="2" width="24.6640625" customWidth="1"/>
    <col min="3" max="4" width="9.109375" customWidth="1"/>
    <col min="5" max="5" width="11.6640625" customWidth="1"/>
    <col min="6" max="6" width="12.109375" customWidth="1"/>
    <col min="7" max="7" width="11.77734375" customWidth="1"/>
    <col min="8" max="11" width="9.109375" customWidth="1"/>
    <col min="12" max="12" width="11" customWidth="1"/>
    <col min="13" max="13" width="9.109375" customWidth="1"/>
    <col min="14" max="14" width="12.21875" customWidth="1"/>
    <col min="15" max="19" width="9.109375" customWidth="1"/>
    <col min="20" max="20" width="48.6640625" customWidth="1"/>
    <col min="21" max="21" width="18.5546875" customWidth="1"/>
    <col min="22" max="22" width="12.21875" customWidth="1"/>
    <col min="23" max="23" width="9.109375" customWidth="1"/>
    <col min="24" max="24" width="13.88671875" customWidth="1"/>
    <col min="25" max="25" width="9.44140625" customWidth="1"/>
    <col min="26" max="27" width="9.109375" customWidth="1"/>
    <col min="28" max="28" width="37.109375" customWidth="1"/>
    <col min="29" max="29" width="12.5546875" customWidth="1"/>
    <col min="30" max="30" width="14.88671875" customWidth="1"/>
    <col min="31" max="31" width="9.109375" customWidth="1"/>
    <col min="32" max="32" width="13.6640625" customWidth="1"/>
    <col min="33" max="33" width="9.88671875" customWidth="1"/>
    <col min="34" max="34" width="9.21875" customWidth="1"/>
    <col min="35" max="35" width="9.77734375" customWidth="1"/>
    <col min="36" max="37" width="9.109375" customWidth="1"/>
  </cols>
  <sheetData>
    <row r="1" spans="1:37" x14ac:dyDescent="0.3">
      <c r="A1" s="2" t="s">
        <v>10</v>
      </c>
      <c r="B1" s="2" t="s">
        <v>0</v>
      </c>
      <c r="C1" s="2" t="s">
        <v>11</v>
      </c>
      <c r="D1" s="2" t="s">
        <v>1</v>
      </c>
      <c r="E1" s="2" t="s">
        <v>2</v>
      </c>
      <c r="F1" s="2" t="s">
        <v>313</v>
      </c>
      <c r="G1" s="2" t="s">
        <v>1105</v>
      </c>
      <c r="H1" s="2" t="s">
        <v>1106</v>
      </c>
      <c r="I1" s="2" t="s">
        <v>916</v>
      </c>
      <c r="J1" s="2" t="s">
        <v>74</v>
      </c>
      <c r="K1" s="2" t="s">
        <v>43</v>
      </c>
      <c r="L1" s="2" t="s">
        <v>1107</v>
      </c>
      <c r="M1" s="2" t="s">
        <v>39</v>
      </c>
      <c r="N1" s="2" t="s">
        <v>1108</v>
      </c>
      <c r="O1" s="2" t="s">
        <v>1043</v>
      </c>
      <c r="P1" s="2" t="s">
        <v>148</v>
      </c>
      <c r="Q1" s="2" t="s">
        <v>926</v>
      </c>
      <c r="R1" s="2" t="s">
        <v>173</v>
      </c>
      <c r="S1" s="2" t="s">
        <v>1109</v>
      </c>
      <c r="T1" s="2" t="s">
        <v>1110</v>
      </c>
      <c r="U1" s="2" t="s">
        <v>1111</v>
      </c>
      <c r="V1" s="2" t="s">
        <v>1112</v>
      </c>
      <c r="W1" s="2" t="s">
        <v>1113</v>
      </c>
      <c r="X1" s="2" t="s">
        <v>1114</v>
      </c>
      <c r="Y1" s="2" t="s">
        <v>1115</v>
      </c>
      <c r="Z1" s="2" t="s">
        <v>1116</v>
      </c>
      <c r="AA1" s="2" t="s">
        <v>1117</v>
      </c>
      <c r="AB1" s="2" t="s">
        <v>1118</v>
      </c>
      <c r="AC1" s="2" t="s">
        <v>1119</v>
      </c>
      <c r="AD1" s="2" t="s">
        <v>1120</v>
      </c>
      <c r="AE1" s="2" t="s">
        <v>1121</v>
      </c>
      <c r="AF1" s="2" t="s">
        <v>1122</v>
      </c>
      <c r="AG1" s="2" t="s">
        <v>1123</v>
      </c>
      <c r="AH1" s="2" t="s">
        <v>1124</v>
      </c>
      <c r="AI1" s="2" t="s">
        <v>1125</v>
      </c>
      <c r="AJ1" s="2" t="s">
        <v>1126</v>
      </c>
      <c r="AK1" s="2" t="s">
        <v>1127</v>
      </c>
    </row>
    <row r="2" spans="1:37" x14ac:dyDescent="0.3">
      <c r="A2" t="s">
        <v>26</v>
      </c>
      <c r="B2" t="s">
        <v>26</v>
      </c>
      <c r="C2" t="s">
        <v>32</v>
      </c>
      <c r="D2">
        <v>1</v>
      </c>
      <c r="E2" t="s">
        <v>27</v>
      </c>
      <c r="F2" t="s">
        <v>32</v>
      </c>
      <c r="G2">
        <v>1</v>
      </c>
      <c r="H2">
        <v>1</v>
      </c>
      <c r="I2">
        <v>0</v>
      </c>
      <c r="J2">
        <v>0</v>
      </c>
      <c r="K2">
        <v>0</v>
      </c>
      <c r="L2">
        <v>15</v>
      </c>
      <c r="M2">
        <v>0</v>
      </c>
      <c r="N2">
        <v>0</v>
      </c>
      <c r="O2">
        <v>0</v>
      </c>
      <c r="P2">
        <v>0</v>
      </c>
      <c r="Q2">
        <v>0</v>
      </c>
      <c r="R2">
        <v>0</v>
      </c>
      <c r="S2">
        <v>0</v>
      </c>
      <c r="T2" t="s">
        <v>29</v>
      </c>
      <c r="U2" t="s">
        <v>29</v>
      </c>
      <c r="V2" t="s">
        <v>320</v>
      </c>
      <c r="W2" s="6">
        <f t="shared" ref="W2:W33" si="0">IF($V2="No","",ROUND((I2*w_Damage + N2*w_Poison + P2*w_Weaken*w_Horizon)*MIN(1+(G2-1)*w_OccEnemy,w_MaxEnemies) + (J2*w_Heal + K2*w_Shield + L2*w_Block + M2*w_Parry + O2*w_Strength*w_Horizon + S2*w_Combo)*MIN(1+(H2-1)*w_OccAlly,w_MaxAllies) + Q2*w_Draw + R2*w_Move,2))</f>
        <v>13.5</v>
      </c>
      <c r="X2" s="6">
        <f t="shared" ref="X2:X33" si="1">IF(W2="","",ROUND(W2/MAX(D2,1),2))</f>
        <v>13.5</v>
      </c>
      <c r="Y2" s="6">
        <f t="shared" ref="Y2:Y33" si="2">IF($V2="No","",ROUND((curve_Base+curve_Slope*D2)*IFERROR(VLOOKUP(E2,rarity_Mult,2,FALSE),1),2))</f>
        <v>9.1999999999999993</v>
      </c>
      <c r="Z2" s="6">
        <f t="shared" ref="Z2:Z33" si="3">IF(OR(W2="",Y2=""),"",ROUND(W2-Y2,2))</f>
        <v>4.3</v>
      </c>
      <c r="AA2" t="str">
        <f t="shared" ref="AA2:AA33" si="4">IF(Z2="","",IF($V2="Partial","RIDER",IF(ABS(Z2)&lt;=Y2*tol_Pct,"OK",IF(Z2&gt;0,"OVER","UNDER"))))</f>
        <v>OVER</v>
      </c>
      <c r="AB2" t="s">
        <v>29</v>
      </c>
      <c r="AC2" t="e">
        <f t="shared" ref="AC2:AC33" si="5">IF(AND($V2&lt;&gt;"No",$E2="Common",NOT(ISNUMBER(SEARCH("Ideas",$F2)))),$W2,NA())</f>
        <v>#N/A</v>
      </c>
      <c r="AD2">
        <f t="shared" ref="AD2:AD33" si="6">IF(AND($V2&lt;&gt;"No",$E2="Uncommon",NOT(ISNUMBER(SEARCH("Ideas",$F2)))),$W2,NA())</f>
        <v>13.5</v>
      </c>
      <c r="AE2" t="e">
        <f t="shared" ref="AE2:AE33" si="7">IF(AND($V2&lt;&gt;"No",$E2="Rare",NOT(ISNUMBER(SEARCH("Ideas",$F2)))),$W2,NA())</f>
        <v>#N/A</v>
      </c>
      <c r="AF2" t="e">
        <f t="shared" ref="AF2:AF33" si="8">IF(AND($V2&lt;&gt;"No",$E2="Legendary",NOT(ISNUMBER(SEARCH("Ideas",$F2)))),$W2,NA())</f>
        <v>#N/A</v>
      </c>
      <c r="AG2">
        <f t="shared" ref="AG2:AG33" si="9">IF(AND($V2&lt;&gt;"No",ISNUMBER(SEARCH("Knight",$C2)),NOT(ISNUMBER(SEARCH("Ideas",$F2)))),$X2,NA())</f>
        <v>13.5</v>
      </c>
      <c r="AH2" t="e">
        <f t="shared" ref="AH2:AH33" si="10">IF(AND($V2&lt;&gt;"No",ISNUMBER(SEARCH("Mage",$C2)),NOT(ISNUMBER(SEARCH("Ideas",$F2)))),$X2,NA())</f>
        <v>#N/A</v>
      </c>
      <c r="AI2" t="e">
        <f t="shared" ref="AI2:AI33" si="11">IF(AND($V2&lt;&gt;"No",ISNUMBER(SEARCH("Rogue",$C2)),NOT(ISNUMBER(SEARCH("Ideas",$F2)))),$X2,NA())</f>
        <v>#N/A</v>
      </c>
      <c r="AJ2">
        <f t="shared" ref="AJ2:AJ33" si="12">IF($V2&lt;&gt;"No",$Y2,NA())</f>
        <v>9.1999999999999993</v>
      </c>
      <c r="AK2" t="e">
        <f t="shared" ref="AK2:AK33" si="13">IF(AND($V2&lt;&gt;"No",ISNUMBER(SEARCH("Ideas",$F2))),$W2,NA())</f>
        <v>#N/A</v>
      </c>
    </row>
    <row r="3" spans="1:37" x14ac:dyDescent="0.3">
      <c r="A3" t="s">
        <v>39</v>
      </c>
      <c r="B3" t="s">
        <v>39</v>
      </c>
      <c r="C3" t="s">
        <v>32</v>
      </c>
      <c r="D3">
        <v>1</v>
      </c>
      <c r="E3" t="s">
        <v>27</v>
      </c>
      <c r="F3" t="s">
        <v>32</v>
      </c>
      <c r="G3">
        <v>1</v>
      </c>
      <c r="H3">
        <v>1</v>
      </c>
      <c r="I3">
        <v>0</v>
      </c>
      <c r="J3">
        <v>0</v>
      </c>
      <c r="K3">
        <v>0</v>
      </c>
      <c r="L3">
        <v>0</v>
      </c>
      <c r="M3">
        <v>1</v>
      </c>
      <c r="N3">
        <v>0</v>
      </c>
      <c r="O3">
        <v>0</v>
      </c>
      <c r="P3">
        <v>0</v>
      </c>
      <c r="Q3">
        <v>0</v>
      </c>
      <c r="R3">
        <v>0</v>
      </c>
      <c r="S3">
        <v>0</v>
      </c>
      <c r="T3" t="s">
        <v>29</v>
      </c>
      <c r="U3" t="s">
        <v>29</v>
      </c>
      <c r="V3" t="s">
        <v>320</v>
      </c>
      <c r="W3" s="6">
        <f t="shared" si="0"/>
        <v>5</v>
      </c>
      <c r="X3" s="6">
        <f t="shared" si="1"/>
        <v>5</v>
      </c>
      <c r="Y3" s="6">
        <f t="shared" si="2"/>
        <v>9.1999999999999993</v>
      </c>
      <c r="Z3" s="6">
        <f t="shared" si="3"/>
        <v>-4.2</v>
      </c>
      <c r="AA3" t="str">
        <f t="shared" si="4"/>
        <v>UNDER</v>
      </c>
      <c r="AB3" t="s">
        <v>29</v>
      </c>
      <c r="AC3" t="e">
        <f t="shared" si="5"/>
        <v>#N/A</v>
      </c>
      <c r="AD3">
        <f t="shared" si="6"/>
        <v>5</v>
      </c>
      <c r="AE3" t="e">
        <f t="shared" si="7"/>
        <v>#N/A</v>
      </c>
      <c r="AF3" t="e">
        <f t="shared" si="8"/>
        <v>#N/A</v>
      </c>
      <c r="AG3">
        <f t="shared" si="9"/>
        <v>5</v>
      </c>
      <c r="AH3" t="e">
        <f t="shared" si="10"/>
        <v>#N/A</v>
      </c>
      <c r="AI3" t="e">
        <f t="shared" si="11"/>
        <v>#N/A</v>
      </c>
      <c r="AJ3">
        <f t="shared" si="12"/>
        <v>9.1999999999999993</v>
      </c>
      <c r="AK3" t="e">
        <f t="shared" si="13"/>
        <v>#N/A</v>
      </c>
    </row>
    <row r="4" spans="1:37" x14ac:dyDescent="0.3">
      <c r="A4" t="s">
        <v>43</v>
      </c>
      <c r="B4" t="s">
        <v>43</v>
      </c>
      <c r="C4" t="s">
        <v>32</v>
      </c>
      <c r="D4">
        <v>1</v>
      </c>
      <c r="E4" t="s">
        <v>44</v>
      </c>
      <c r="F4" t="s">
        <v>32</v>
      </c>
      <c r="G4">
        <v>1</v>
      </c>
      <c r="H4">
        <v>1</v>
      </c>
      <c r="I4">
        <v>0</v>
      </c>
      <c r="J4">
        <v>0</v>
      </c>
      <c r="K4">
        <v>7</v>
      </c>
      <c r="L4">
        <v>0</v>
      </c>
      <c r="M4">
        <v>0</v>
      </c>
      <c r="N4">
        <v>0</v>
      </c>
      <c r="O4">
        <v>0</v>
      </c>
      <c r="P4">
        <v>0</v>
      </c>
      <c r="Q4">
        <v>0</v>
      </c>
      <c r="R4">
        <v>0</v>
      </c>
      <c r="S4">
        <v>0</v>
      </c>
      <c r="T4" t="s">
        <v>29</v>
      </c>
      <c r="U4" t="s">
        <v>29</v>
      </c>
      <c r="V4" t="s">
        <v>320</v>
      </c>
      <c r="W4" s="6">
        <f t="shared" si="0"/>
        <v>4.9000000000000004</v>
      </c>
      <c r="X4" s="6">
        <f t="shared" si="1"/>
        <v>4.9000000000000004</v>
      </c>
      <c r="Y4" s="6">
        <f t="shared" si="2"/>
        <v>8</v>
      </c>
      <c r="Z4" s="6">
        <f t="shared" si="3"/>
        <v>-3.1</v>
      </c>
      <c r="AA4" t="str">
        <f t="shared" si="4"/>
        <v>UNDER</v>
      </c>
      <c r="AB4" t="s">
        <v>29</v>
      </c>
      <c r="AC4">
        <f t="shared" si="5"/>
        <v>4.9000000000000004</v>
      </c>
      <c r="AD4" t="e">
        <f t="shared" si="6"/>
        <v>#N/A</v>
      </c>
      <c r="AE4" t="e">
        <f t="shared" si="7"/>
        <v>#N/A</v>
      </c>
      <c r="AF4" t="e">
        <f t="shared" si="8"/>
        <v>#N/A</v>
      </c>
      <c r="AG4">
        <f t="shared" si="9"/>
        <v>4.9000000000000004</v>
      </c>
      <c r="AH4" t="e">
        <f t="shared" si="10"/>
        <v>#N/A</v>
      </c>
      <c r="AI4" t="e">
        <f t="shared" si="11"/>
        <v>#N/A</v>
      </c>
      <c r="AJ4">
        <f t="shared" si="12"/>
        <v>8</v>
      </c>
      <c r="AK4" t="e">
        <f t="shared" si="13"/>
        <v>#N/A</v>
      </c>
    </row>
    <row r="5" spans="1:37" x14ac:dyDescent="0.3">
      <c r="A5" t="s">
        <v>48</v>
      </c>
      <c r="B5" t="s">
        <v>48</v>
      </c>
      <c r="C5" t="s">
        <v>32</v>
      </c>
      <c r="D5">
        <v>1</v>
      </c>
      <c r="E5" t="s">
        <v>27</v>
      </c>
      <c r="F5" t="s">
        <v>32</v>
      </c>
      <c r="G5">
        <v>1</v>
      </c>
      <c r="H5">
        <v>1</v>
      </c>
      <c r="I5">
        <v>0</v>
      </c>
      <c r="J5">
        <v>0</v>
      </c>
      <c r="K5">
        <v>5</v>
      </c>
      <c r="L5">
        <v>0</v>
      </c>
      <c r="M5">
        <v>0</v>
      </c>
      <c r="N5">
        <v>0</v>
      </c>
      <c r="O5">
        <v>0</v>
      </c>
      <c r="P5">
        <v>0</v>
      </c>
      <c r="Q5">
        <v>1</v>
      </c>
      <c r="R5">
        <v>0</v>
      </c>
      <c r="S5">
        <v>0</v>
      </c>
      <c r="T5" t="s">
        <v>29</v>
      </c>
      <c r="U5" t="s">
        <v>29</v>
      </c>
      <c r="V5" t="s">
        <v>320</v>
      </c>
      <c r="W5" s="6">
        <f t="shared" si="0"/>
        <v>6.5</v>
      </c>
      <c r="X5" s="6">
        <f t="shared" si="1"/>
        <v>6.5</v>
      </c>
      <c r="Y5" s="6">
        <f t="shared" si="2"/>
        <v>9.1999999999999993</v>
      </c>
      <c r="Z5" s="6">
        <f t="shared" si="3"/>
        <v>-2.7</v>
      </c>
      <c r="AA5" t="str">
        <f t="shared" si="4"/>
        <v>UNDER</v>
      </c>
      <c r="AB5" t="s">
        <v>29</v>
      </c>
      <c r="AC5" t="e">
        <f t="shared" si="5"/>
        <v>#N/A</v>
      </c>
      <c r="AD5">
        <f t="shared" si="6"/>
        <v>6.5</v>
      </c>
      <c r="AE5" t="e">
        <f t="shared" si="7"/>
        <v>#N/A</v>
      </c>
      <c r="AF5" t="e">
        <f t="shared" si="8"/>
        <v>#N/A</v>
      </c>
      <c r="AG5">
        <f t="shared" si="9"/>
        <v>6.5</v>
      </c>
      <c r="AH5" t="e">
        <f t="shared" si="10"/>
        <v>#N/A</v>
      </c>
      <c r="AI5" t="e">
        <f t="shared" si="11"/>
        <v>#N/A</v>
      </c>
      <c r="AJ5">
        <f t="shared" si="12"/>
        <v>9.1999999999999993</v>
      </c>
      <c r="AK5" t="e">
        <f t="shared" si="13"/>
        <v>#N/A</v>
      </c>
    </row>
    <row r="6" spans="1:37" x14ac:dyDescent="0.3">
      <c r="A6" t="s">
        <v>53</v>
      </c>
      <c r="B6" t="s">
        <v>53</v>
      </c>
      <c r="C6" t="s">
        <v>32</v>
      </c>
      <c r="D6">
        <v>1</v>
      </c>
      <c r="E6" t="s">
        <v>27</v>
      </c>
      <c r="F6" t="s">
        <v>32</v>
      </c>
      <c r="G6">
        <v>1</v>
      </c>
      <c r="H6">
        <v>1</v>
      </c>
      <c r="I6">
        <v>0</v>
      </c>
      <c r="J6">
        <v>0</v>
      </c>
      <c r="K6">
        <v>0</v>
      </c>
      <c r="L6">
        <v>0</v>
      </c>
      <c r="M6">
        <v>0</v>
      </c>
      <c r="N6">
        <v>0</v>
      </c>
      <c r="O6">
        <v>0</v>
      </c>
      <c r="P6">
        <v>0</v>
      </c>
      <c r="Q6">
        <v>0</v>
      </c>
      <c r="R6">
        <v>0</v>
      </c>
      <c r="S6">
        <v>0</v>
      </c>
      <c r="T6" t="s">
        <v>29</v>
      </c>
      <c r="U6" t="s">
        <v>53</v>
      </c>
      <c r="V6" t="s">
        <v>866</v>
      </c>
      <c r="W6" s="6" t="str">
        <f t="shared" si="0"/>
        <v/>
      </c>
      <c r="X6" s="6" t="str">
        <f t="shared" si="1"/>
        <v/>
      </c>
      <c r="Y6" s="6" t="str">
        <f t="shared" si="2"/>
        <v/>
      </c>
      <c r="Z6" s="6" t="str">
        <f t="shared" si="3"/>
        <v/>
      </c>
      <c r="AA6" t="str">
        <f t="shared" si="4"/>
        <v/>
      </c>
      <c r="AB6" t="s">
        <v>29</v>
      </c>
      <c r="AC6" t="e">
        <f t="shared" si="5"/>
        <v>#N/A</v>
      </c>
      <c r="AD6" t="e">
        <f t="shared" si="6"/>
        <v>#N/A</v>
      </c>
      <c r="AE6" t="e">
        <f t="shared" si="7"/>
        <v>#N/A</v>
      </c>
      <c r="AF6" t="e">
        <f t="shared" si="8"/>
        <v>#N/A</v>
      </c>
      <c r="AG6" t="e">
        <f t="shared" si="9"/>
        <v>#N/A</v>
      </c>
      <c r="AH6" t="e">
        <f t="shared" si="10"/>
        <v>#N/A</v>
      </c>
      <c r="AI6" t="e">
        <f t="shared" si="11"/>
        <v>#N/A</v>
      </c>
      <c r="AJ6" t="e">
        <f t="shared" si="12"/>
        <v>#N/A</v>
      </c>
      <c r="AK6" t="e">
        <f t="shared" si="13"/>
        <v>#N/A</v>
      </c>
    </row>
    <row r="7" spans="1:37" x14ac:dyDescent="0.3">
      <c r="A7" t="s">
        <v>58</v>
      </c>
      <c r="B7" t="s">
        <v>58</v>
      </c>
      <c r="C7" t="s">
        <v>32</v>
      </c>
      <c r="D7">
        <v>2</v>
      </c>
      <c r="E7" t="s">
        <v>27</v>
      </c>
      <c r="F7" t="s">
        <v>32</v>
      </c>
      <c r="G7">
        <v>1</v>
      </c>
      <c r="H7">
        <v>13</v>
      </c>
      <c r="I7">
        <v>0</v>
      </c>
      <c r="J7">
        <v>0</v>
      </c>
      <c r="K7">
        <v>5</v>
      </c>
      <c r="L7">
        <v>0</v>
      </c>
      <c r="M7">
        <v>0</v>
      </c>
      <c r="N7">
        <v>0</v>
      </c>
      <c r="O7">
        <v>0</v>
      </c>
      <c r="P7">
        <v>0</v>
      </c>
      <c r="Q7">
        <v>0</v>
      </c>
      <c r="R7">
        <v>0</v>
      </c>
      <c r="S7">
        <v>0</v>
      </c>
      <c r="T7" t="s">
        <v>29</v>
      </c>
      <c r="U7" t="s">
        <v>29</v>
      </c>
      <c r="V7" t="s">
        <v>320</v>
      </c>
      <c r="W7" s="6">
        <f t="shared" si="0"/>
        <v>10.5</v>
      </c>
      <c r="X7" s="6">
        <f t="shared" si="1"/>
        <v>5.25</v>
      </c>
      <c r="Y7" s="6">
        <f t="shared" si="2"/>
        <v>16.100000000000001</v>
      </c>
      <c r="Z7" s="6">
        <f t="shared" si="3"/>
        <v>-5.6</v>
      </c>
      <c r="AA7" t="str">
        <f t="shared" si="4"/>
        <v>UNDER</v>
      </c>
      <c r="AB7" t="s">
        <v>29</v>
      </c>
      <c r="AC7" t="e">
        <f t="shared" si="5"/>
        <v>#N/A</v>
      </c>
      <c r="AD7">
        <f t="shared" si="6"/>
        <v>10.5</v>
      </c>
      <c r="AE7" t="e">
        <f t="shared" si="7"/>
        <v>#N/A</v>
      </c>
      <c r="AF7" t="e">
        <f t="shared" si="8"/>
        <v>#N/A</v>
      </c>
      <c r="AG7">
        <f t="shared" si="9"/>
        <v>5.25</v>
      </c>
      <c r="AH7" t="e">
        <f t="shared" si="10"/>
        <v>#N/A</v>
      </c>
      <c r="AI7" t="e">
        <f t="shared" si="11"/>
        <v>#N/A</v>
      </c>
      <c r="AJ7">
        <f t="shared" si="12"/>
        <v>16.100000000000001</v>
      </c>
      <c r="AK7" t="e">
        <f t="shared" si="13"/>
        <v>#N/A</v>
      </c>
    </row>
    <row r="8" spans="1:37" x14ac:dyDescent="0.3">
      <c r="A8" t="s">
        <v>62</v>
      </c>
      <c r="B8" t="s">
        <v>62</v>
      </c>
      <c r="C8" t="s">
        <v>32</v>
      </c>
      <c r="D8">
        <v>1</v>
      </c>
      <c r="E8" t="s">
        <v>27</v>
      </c>
      <c r="F8" t="s">
        <v>32</v>
      </c>
      <c r="G8">
        <v>1</v>
      </c>
      <c r="H8">
        <v>1</v>
      </c>
      <c r="I8">
        <v>0</v>
      </c>
      <c r="J8">
        <v>0</v>
      </c>
      <c r="K8">
        <v>0</v>
      </c>
      <c r="L8">
        <v>0</v>
      </c>
      <c r="M8">
        <v>0</v>
      </c>
      <c r="N8">
        <v>0</v>
      </c>
      <c r="O8">
        <v>3</v>
      </c>
      <c r="P8">
        <v>0</v>
      </c>
      <c r="Q8">
        <v>0</v>
      </c>
      <c r="R8">
        <v>0</v>
      </c>
      <c r="S8">
        <v>0</v>
      </c>
      <c r="T8" t="s">
        <v>29</v>
      </c>
      <c r="U8" t="s">
        <v>29</v>
      </c>
      <c r="V8" t="s">
        <v>320</v>
      </c>
      <c r="W8" s="6">
        <f t="shared" si="0"/>
        <v>9</v>
      </c>
      <c r="X8" s="6">
        <f t="shared" si="1"/>
        <v>9</v>
      </c>
      <c r="Y8" s="6">
        <f t="shared" si="2"/>
        <v>9.1999999999999993</v>
      </c>
      <c r="Z8" s="6">
        <f t="shared" si="3"/>
        <v>-0.2</v>
      </c>
      <c r="AA8" t="str">
        <f t="shared" si="4"/>
        <v>OK</v>
      </c>
      <c r="AB8" t="s">
        <v>29</v>
      </c>
      <c r="AC8" t="e">
        <f t="shared" si="5"/>
        <v>#N/A</v>
      </c>
      <c r="AD8">
        <f t="shared" si="6"/>
        <v>9</v>
      </c>
      <c r="AE8" t="e">
        <f t="shared" si="7"/>
        <v>#N/A</v>
      </c>
      <c r="AF8" t="e">
        <f t="shared" si="8"/>
        <v>#N/A</v>
      </c>
      <c r="AG8">
        <f t="shared" si="9"/>
        <v>9</v>
      </c>
      <c r="AH8" t="e">
        <f t="shared" si="10"/>
        <v>#N/A</v>
      </c>
      <c r="AI8" t="e">
        <f t="shared" si="11"/>
        <v>#N/A</v>
      </c>
      <c r="AJ8">
        <f t="shared" si="12"/>
        <v>9.1999999999999993</v>
      </c>
      <c r="AK8" t="e">
        <f t="shared" si="13"/>
        <v>#N/A</v>
      </c>
    </row>
    <row r="9" spans="1:37" x14ac:dyDescent="0.3">
      <c r="A9" t="s">
        <v>67</v>
      </c>
      <c r="B9" t="s">
        <v>67</v>
      </c>
      <c r="C9" t="s">
        <v>32</v>
      </c>
      <c r="D9">
        <v>2</v>
      </c>
      <c r="E9" t="s">
        <v>27</v>
      </c>
      <c r="F9" t="s">
        <v>32</v>
      </c>
      <c r="G9">
        <v>1</v>
      </c>
      <c r="H9">
        <v>1</v>
      </c>
      <c r="I9">
        <v>0</v>
      </c>
      <c r="J9">
        <v>0</v>
      </c>
      <c r="K9">
        <v>0</v>
      </c>
      <c r="L9">
        <v>0</v>
      </c>
      <c r="M9">
        <v>0</v>
      </c>
      <c r="N9">
        <v>0</v>
      </c>
      <c r="O9">
        <v>0</v>
      </c>
      <c r="P9">
        <v>0</v>
      </c>
      <c r="Q9">
        <v>0</v>
      </c>
      <c r="R9">
        <v>0</v>
      </c>
      <c r="S9">
        <v>1</v>
      </c>
      <c r="T9" t="s">
        <v>29</v>
      </c>
      <c r="U9" t="s">
        <v>29</v>
      </c>
      <c r="V9" t="s">
        <v>320</v>
      </c>
      <c r="W9" s="6">
        <f t="shared" si="0"/>
        <v>6</v>
      </c>
      <c r="X9" s="6">
        <f t="shared" si="1"/>
        <v>3</v>
      </c>
      <c r="Y9" s="6">
        <f t="shared" si="2"/>
        <v>16.100000000000001</v>
      </c>
      <c r="Z9" s="6">
        <f t="shared" si="3"/>
        <v>-10.1</v>
      </c>
      <c r="AA9" t="str">
        <f t="shared" si="4"/>
        <v>UNDER</v>
      </c>
      <c r="AB9" t="s">
        <v>29</v>
      </c>
      <c r="AC9" t="e">
        <f t="shared" si="5"/>
        <v>#N/A</v>
      </c>
      <c r="AD9">
        <f t="shared" si="6"/>
        <v>6</v>
      </c>
      <c r="AE9" t="e">
        <f t="shared" si="7"/>
        <v>#N/A</v>
      </c>
      <c r="AF9" t="e">
        <f t="shared" si="8"/>
        <v>#N/A</v>
      </c>
      <c r="AG9">
        <f t="shared" si="9"/>
        <v>3</v>
      </c>
      <c r="AH9" t="e">
        <f t="shared" si="10"/>
        <v>#N/A</v>
      </c>
      <c r="AI9" t="e">
        <f t="shared" si="11"/>
        <v>#N/A</v>
      </c>
      <c r="AJ9">
        <f t="shared" si="12"/>
        <v>16.100000000000001</v>
      </c>
      <c r="AK9" t="e">
        <f t="shared" si="13"/>
        <v>#N/A</v>
      </c>
    </row>
    <row r="10" spans="1:37" x14ac:dyDescent="0.3">
      <c r="A10" t="s">
        <v>71</v>
      </c>
      <c r="B10" t="s">
        <v>71</v>
      </c>
      <c r="C10" t="s">
        <v>32</v>
      </c>
      <c r="D10">
        <v>1</v>
      </c>
      <c r="E10" t="s">
        <v>27</v>
      </c>
      <c r="F10" t="s">
        <v>32</v>
      </c>
      <c r="G10">
        <v>1</v>
      </c>
      <c r="H10">
        <v>1</v>
      </c>
      <c r="I10">
        <v>0</v>
      </c>
      <c r="J10">
        <v>5</v>
      </c>
      <c r="K10">
        <v>0</v>
      </c>
      <c r="L10">
        <v>0</v>
      </c>
      <c r="M10">
        <v>0</v>
      </c>
      <c r="N10">
        <v>0</v>
      </c>
      <c r="O10">
        <v>0</v>
      </c>
      <c r="P10">
        <v>0</v>
      </c>
      <c r="Q10">
        <v>0</v>
      </c>
      <c r="R10">
        <v>0</v>
      </c>
      <c r="S10">
        <v>0</v>
      </c>
      <c r="T10" t="s">
        <v>29</v>
      </c>
      <c r="U10" t="s">
        <v>29</v>
      </c>
      <c r="V10" t="s">
        <v>320</v>
      </c>
      <c r="W10" s="6">
        <f t="shared" si="0"/>
        <v>4</v>
      </c>
      <c r="X10" s="6">
        <f t="shared" si="1"/>
        <v>4</v>
      </c>
      <c r="Y10" s="6">
        <f t="shared" si="2"/>
        <v>9.1999999999999993</v>
      </c>
      <c r="Z10" s="6">
        <f t="shared" si="3"/>
        <v>-5.2</v>
      </c>
      <c r="AA10" t="str">
        <f t="shared" si="4"/>
        <v>UNDER</v>
      </c>
      <c r="AB10" t="s">
        <v>29</v>
      </c>
      <c r="AC10" t="e">
        <f t="shared" si="5"/>
        <v>#N/A</v>
      </c>
      <c r="AD10">
        <f t="shared" si="6"/>
        <v>4</v>
      </c>
      <c r="AE10" t="e">
        <f t="shared" si="7"/>
        <v>#N/A</v>
      </c>
      <c r="AF10" t="e">
        <f t="shared" si="8"/>
        <v>#N/A</v>
      </c>
      <c r="AG10">
        <f t="shared" si="9"/>
        <v>4</v>
      </c>
      <c r="AH10" t="e">
        <f t="shared" si="10"/>
        <v>#N/A</v>
      </c>
      <c r="AI10" t="e">
        <f t="shared" si="11"/>
        <v>#N/A</v>
      </c>
      <c r="AJ10">
        <f t="shared" si="12"/>
        <v>9.1999999999999993</v>
      </c>
      <c r="AK10" t="e">
        <f t="shared" si="13"/>
        <v>#N/A</v>
      </c>
    </row>
    <row r="11" spans="1:37" x14ac:dyDescent="0.3">
      <c r="A11" t="s">
        <v>76</v>
      </c>
      <c r="B11" t="s">
        <v>76</v>
      </c>
      <c r="C11" t="s">
        <v>32</v>
      </c>
      <c r="D11">
        <v>1</v>
      </c>
      <c r="E11" t="s">
        <v>27</v>
      </c>
      <c r="F11" t="s">
        <v>32</v>
      </c>
      <c r="G11">
        <v>1</v>
      </c>
      <c r="H11">
        <v>1</v>
      </c>
      <c r="I11">
        <v>5</v>
      </c>
      <c r="J11">
        <v>0</v>
      </c>
      <c r="K11">
        <v>5</v>
      </c>
      <c r="L11">
        <v>0</v>
      </c>
      <c r="M11">
        <v>0</v>
      </c>
      <c r="N11">
        <v>0</v>
      </c>
      <c r="O11">
        <v>0</v>
      </c>
      <c r="P11">
        <v>0</v>
      </c>
      <c r="Q11">
        <v>0</v>
      </c>
      <c r="R11">
        <v>0</v>
      </c>
      <c r="S11">
        <v>0</v>
      </c>
      <c r="T11" t="s">
        <v>29</v>
      </c>
      <c r="U11" t="s">
        <v>29</v>
      </c>
      <c r="V11" t="s">
        <v>320</v>
      </c>
      <c r="W11" s="6">
        <f t="shared" si="0"/>
        <v>8.5</v>
      </c>
      <c r="X11" s="6">
        <f t="shared" si="1"/>
        <v>8.5</v>
      </c>
      <c r="Y11" s="6">
        <f t="shared" si="2"/>
        <v>9.1999999999999993</v>
      </c>
      <c r="Z11" s="6">
        <f t="shared" si="3"/>
        <v>-0.7</v>
      </c>
      <c r="AA11" t="str">
        <f t="shared" si="4"/>
        <v>OK</v>
      </c>
      <c r="AB11" t="s">
        <v>29</v>
      </c>
      <c r="AC11" t="e">
        <f t="shared" si="5"/>
        <v>#N/A</v>
      </c>
      <c r="AD11">
        <f t="shared" si="6"/>
        <v>8.5</v>
      </c>
      <c r="AE11" t="e">
        <f t="shared" si="7"/>
        <v>#N/A</v>
      </c>
      <c r="AF11" t="e">
        <f t="shared" si="8"/>
        <v>#N/A</v>
      </c>
      <c r="AG11">
        <f t="shared" si="9"/>
        <v>8.5</v>
      </c>
      <c r="AH11" t="e">
        <f t="shared" si="10"/>
        <v>#N/A</v>
      </c>
      <c r="AI11" t="e">
        <f t="shared" si="11"/>
        <v>#N/A</v>
      </c>
      <c r="AJ11">
        <f t="shared" si="12"/>
        <v>9.1999999999999993</v>
      </c>
      <c r="AK11" t="e">
        <f t="shared" si="13"/>
        <v>#N/A</v>
      </c>
    </row>
    <row r="12" spans="1:37" x14ac:dyDescent="0.3">
      <c r="A12" t="s">
        <v>81</v>
      </c>
      <c r="B12" t="s">
        <v>81</v>
      </c>
      <c r="C12" t="s">
        <v>32</v>
      </c>
      <c r="D12">
        <v>1</v>
      </c>
      <c r="E12" t="s">
        <v>27</v>
      </c>
      <c r="F12" t="s">
        <v>32</v>
      </c>
      <c r="G12">
        <v>3</v>
      </c>
      <c r="H12">
        <v>1</v>
      </c>
      <c r="I12">
        <v>5</v>
      </c>
      <c r="J12">
        <v>0</v>
      </c>
      <c r="K12">
        <v>0</v>
      </c>
      <c r="L12">
        <v>0</v>
      </c>
      <c r="M12">
        <v>0</v>
      </c>
      <c r="N12">
        <v>0</v>
      </c>
      <c r="O12">
        <v>0</v>
      </c>
      <c r="P12">
        <v>0</v>
      </c>
      <c r="Q12">
        <v>0</v>
      </c>
      <c r="R12">
        <v>0</v>
      </c>
      <c r="S12">
        <v>0</v>
      </c>
      <c r="T12" t="s">
        <v>29</v>
      </c>
      <c r="U12" t="s">
        <v>29</v>
      </c>
      <c r="V12" t="s">
        <v>320</v>
      </c>
      <c r="W12" s="6">
        <f t="shared" si="0"/>
        <v>10</v>
      </c>
      <c r="X12" s="6">
        <f t="shared" si="1"/>
        <v>10</v>
      </c>
      <c r="Y12" s="6">
        <f t="shared" si="2"/>
        <v>9.1999999999999993</v>
      </c>
      <c r="Z12" s="6">
        <f t="shared" si="3"/>
        <v>0.8</v>
      </c>
      <c r="AA12" t="str">
        <f t="shared" si="4"/>
        <v>OK</v>
      </c>
      <c r="AB12" t="s">
        <v>29</v>
      </c>
      <c r="AC12" t="e">
        <f t="shared" si="5"/>
        <v>#N/A</v>
      </c>
      <c r="AD12">
        <f t="shared" si="6"/>
        <v>10</v>
      </c>
      <c r="AE12" t="e">
        <f t="shared" si="7"/>
        <v>#N/A</v>
      </c>
      <c r="AF12" t="e">
        <f t="shared" si="8"/>
        <v>#N/A</v>
      </c>
      <c r="AG12">
        <f t="shared" si="9"/>
        <v>10</v>
      </c>
      <c r="AH12" t="e">
        <f t="shared" si="10"/>
        <v>#N/A</v>
      </c>
      <c r="AI12" t="e">
        <f t="shared" si="11"/>
        <v>#N/A</v>
      </c>
      <c r="AJ12">
        <f t="shared" si="12"/>
        <v>9.1999999999999993</v>
      </c>
      <c r="AK12" t="e">
        <f t="shared" si="13"/>
        <v>#N/A</v>
      </c>
    </row>
    <row r="13" spans="1:37" x14ac:dyDescent="0.3">
      <c r="A13" t="s">
        <v>86</v>
      </c>
      <c r="B13" t="s">
        <v>86</v>
      </c>
      <c r="C13" t="s">
        <v>32</v>
      </c>
      <c r="D13">
        <v>1</v>
      </c>
      <c r="E13" t="s">
        <v>44</v>
      </c>
      <c r="F13" t="s">
        <v>32</v>
      </c>
      <c r="G13">
        <v>1</v>
      </c>
      <c r="H13">
        <v>1</v>
      </c>
      <c r="I13">
        <v>9</v>
      </c>
      <c r="J13">
        <v>0</v>
      </c>
      <c r="K13">
        <v>0</v>
      </c>
      <c r="L13">
        <v>0</v>
      </c>
      <c r="M13">
        <v>0</v>
      </c>
      <c r="N13">
        <v>0</v>
      </c>
      <c r="O13">
        <v>0</v>
      </c>
      <c r="P13">
        <v>0</v>
      </c>
      <c r="Q13">
        <v>0</v>
      </c>
      <c r="R13">
        <v>0</v>
      </c>
      <c r="S13">
        <v>0</v>
      </c>
      <c r="T13" t="s">
        <v>29</v>
      </c>
      <c r="U13" t="s">
        <v>29</v>
      </c>
      <c r="V13" t="s">
        <v>320</v>
      </c>
      <c r="W13" s="6">
        <f t="shared" si="0"/>
        <v>9</v>
      </c>
      <c r="X13" s="6">
        <f t="shared" si="1"/>
        <v>9</v>
      </c>
      <c r="Y13" s="6">
        <f t="shared" si="2"/>
        <v>8</v>
      </c>
      <c r="Z13" s="6">
        <f t="shared" si="3"/>
        <v>1</v>
      </c>
      <c r="AA13" t="str">
        <f t="shared" si="4"/>
        <v>OK</v>
      </c>
      <c r="AB13" t="s">
        <v>29</v>
      </c>
      <c r="AC13">
        <f t="shared" si="5"/>
        <v>9</v>
      </c>
      <c r="AD13" t="e">
        <f t="shared" si="6"/>
        <v>#N/A</v>
      </c>
      <c r="AE13" t="e">
        <f t="shared" si="7"/>
        <v>#N/A</v>
      </c>
      <c r="AF13" t="e">
        <f t="shared" si="8"/>
        <v>#N/A</v>
      </c>
      <c r="AG13">
        <f t="shared" si="9"/>
        <v>9</v>
      </c>
      <c r="AH13" t="e">
        <f t="shared" si="10"/>
        <v>#N/A</v>
      </c>
      <c r="AI13" t="e">
        <f t="shared" si="11"/>
        <v>#N/A</v>
      </c>
      <c r="AJ13">
        <f t="shared" si="12"/>
        <v>8</v>
      </c>
      <c r="AK13" t="e">
        <f t="shared" si="13"/>
        <v>#N/A</v>
      </c>
    </row>
    <row r="14" spans="1:37" x14ac:dyDescent="0.3">
      <c r="A14" t="s">
        <v>90</v>
      </c>
      <c r="B14" t="s">
        <v>90</v>
      </c>
      <c r="C14" t="s">
        <v>32</v>
      </c>
      <c r="D14">
        <v>1</v>
      </c>
      <c r="E14" t="s">
        <v>91</v>
      </c>
      <c r="F14" t="s">
        <v>32</v>
      </c>
      <c r="G14">
        <v>1</v>
      </c>
      <c r="H14">
        <v>1</v>
      </c>
      <c r="I14">
        <v>9</v>
      </c>
      <c r="J14">
        <v>0</v>
      </c>
      <c r="K14">
        <v>0</v>
      </c>
      <c r="L14">
        <v>0</v>
      </c>
      <c r="M14">
        <v>0</v>
      </c>
      <c r="N14">
        <v>0</v>
      </c>
      <c r="O14">
        <v>0</v>
      </c>
      <c r="P14">
        <v>0</v>
      </c>
      <c r="Q14">
        <v>0</v>
      </c>
      <c r="R14">
        <v>0</v>
      </c>
      <c r="S14">
        <v>0</v>
      </c>
      <c r="T14" t="s">
        <v>29</v>
      </c>
      <c r="U14" t="s">
        <v>29</v>
      </c>
      <c r="V14" t="s">
        <v>320</v>
      </c>
      <c r="W14" s="6">
        <f t="shared" si="0"/>
        <v>9</v>
      </c>
      <c r="X14" s="6">
        <f t="shared" si="1"/>
        <v>9</v>
      </c>
      <c r="Y14" s="6">
        <f t="shared" si="2"/>
        <v>8</v>
      </c>
      <c r="Z14" s="6">
        <f t="shared" si="3"/>
        <v>1</v>
      </c>
      <c r="AA14" t="str">
        <f t="shared" si="4"/>
        <v>OK</v>
      </c>
      <c r="AB14" t="s">
        <v>29</v>
      </c>
      <c r="AC14" t="e">
        <f t="shared" si="5"/>
        <v>#N/A</v>
      </c>
      <c r="AD14" t="e">
        <f t="shared" si="6"/>
        <v>#N/A</v>
      </c>
      <c r="AE14" t="e">
        <f t="shared" si="7"/>
        <v>#N/A</v>
      </c>
      <c r="AF14" t="e">
        <f t="shared" si="8"/>
        <v>#N/A</v>
      </c>
      <c r="AG14">
        <f t="shared" si="9"/>
        <v>9</v>
      </c>
      <c r="AH14" t="e">
        <f t="shared" si="10"/>
        <v>#N/A</v>
      </c>
      <c r="AI14" t="e">
        <f t="shared" si="11"/>
        <v>#N/A</v>
      </c>
      <c r="AJ14">
        <f t="shared" si="12"/>
        <v>8</v>
      </c>
      <c r="AK14" t="e">
        <f t="shared" si="13"/>
        <v>#N/A</v>
      </c>
    </row>
    <row r="15" spans="1:37" x14ac:dyDescent="0.3">
      <c r="A15" t="s">
        <v>94</v>
      </c>
      <c r="B15" t="s">
        <v>94</v>
      </c>
      <c r="C15" t="s">
        <v>32</v>
      </c>
      <c r="D15">
        <v>1</v>
      </c>
      <c r="E15" t="s">
        <v>27</v>
      </c>
      <c r="F15" t="s">
        <v>32</v>
      </c>
      <c r="G15">
        <v>1</v>
      </c>
      <c r="H15">
        <v>1</v>
      </c>
      <c r="I15">
        <v>5</v>
      </c>
      <c r="J15">
        <v>0</v>
      </c>
      <c r="K15">
        <v>0</v>
      </c>
      <c r="L15">
        <v>0</v>
      </c>
      <c r="M15">
        <v>0</v>
      </c>
      <c r="N15">
        <v>0</v>
      </c>
      <c r="O15">
        <v>0</v>
      </c>
      <c r="P15">
        <v>0</v>
      </c>
      <c r="Q15">
        <v>0</v>
      </c>
      <c r="R15">
        <v>0</v>
      </c>
      <c r="S15">
        <v>0</v>
      </c>
      <c r="T15" t="s">
        <v>29</v>
      </c>
      <c r="U15" t="s">
        <v>95</v>
      </c>
      <c r="V15" t="s">
        <v>320</v>
      </c>
      <c r="W15" s="6">
        <f t="shared" si="0"/>
        <v>5</v>
      </c>
      <c r="X15" s="6">
        <f t="shared" si="1"/>
        <v>5</v>
      </c>
      <c r="Y15" s="6">
        <f t="shared" si="2"/>
        <v>9.1999999999999993</v>
      </c>
      <c r="Z15" s="6">
        <f t="shared" si="3"/>
        <v>-4.2</v>
      </c>
      <c r="AA15" t="str">
        <f t="shared" si="4"/>
        <v>UNDER</v>
      </c>
      <c r="AB15" t="s">
        <v>29</v>
      </c>
      <c r="AC15" t="e">
        <f t="shared" si="5"/>
        <v>#N/A</v>
      </c>
      <c r="AD15">
        <f t="shared" si="6"/>
        <v>5</v>
      </c>
      <c r="AE15" t="e">
        <f t="shared" si="7"/>
        <v>#N/A</v>
      </c>
      <c r="AF15" t="e">
        <f t="shared" si="8"/>
        <v>#N/A</v>
      </c>
      <c r="AG15">
        <f t="shared" si="9"/>
        <v>5</v>
      </c>
      <c r="AH15" t="e">
        <f t="shared" si="10"/>
        <v>#N/A</v>
      </c>
      <c r="AI15" t="e">
        <f t="shared" si="11"/>
        <v>#N/A</v>
      </c>
      <c r="AJ15">
        <f t="shared" si="12"/>
        <v>9.1999999999999993</v>
      </c>
      <c r="AK15" t="e">
        <f t="shared" si="13"/>
        <v>#N/A</v>
      </c>
    </row>
    <row r="16" spans="1:37" x14ac:dyDescent="0.3">
      <c r="A16" t="s">
        <v>98</v>
      </c>
      <c r="B16" t="s">
        <v>98</v>
      </c>
      <c r="C16" t="s">
        <v>32</v>
      </c>
      <c r="D16">
        <v>1</v>
      </c>
      <c r="E16" t="s">
        <v>99</v>
      </c>
      <c r="F16" t="s">
        <v>32</v>
      </c>
      <c r="G16">
        <v>9</v>
      </c>
      <c r="H16">
        <v>1</v>
      </c>
      <c r="I16">
        <v>4</v>
      </c>
      <c r="J16">
        <v>0</v>
      </c>
      <c r="K16">
        <v>0</v>
      </c>
      <c r="L16">
        <v>0</v>
      </c>
      <c r="M16">
        <v>0</v>
      </c>
      <c r="N16">
        <v>0</v>
      </c>
      <c r="O16">
        <v>0</v>
      </c>
      <c r="P16">
        <v>0</v>
      </c>
      <c r="Q16">
        <v>0</v>
      </c>
      <c r="R16">
        <v>0</v>
      </c>
      <c r="S16">
        <v>0</v>
      </c>
      <c r="T16" t="s">
        <v>29</v>
      </c>
      <c r="U16" t="s">
        <v>29</v>
      </c>
      <c r="V16" t="s">
        <v>320</v>
      </c>
      <c r="W16" s="6">
        <f t="shared" si="0"/>
        <v>16</v>
      </c>
      <c r="X16" s="6">
        <f t="shared" si="1"/>
        <v>16</v>
      </c>
      <c r="Y16" s="6">
        <f t="shared" si="2"/>
        <v>10.8</v>
      </c>
      <c r="Z16" s="6">
        <f t="shared" si="3"/>
        <v>5.2</v>
      </c>
      <c r="AA16" t="str">
        <f t="shared" si="4"/>
        <v>OVER</v>
      </c>
      <c r="AB16" t="s">
        <v>29</v>
      </c>
      <c r="AC16" t="e">
        <f t="shared" si="5"/>
        <v>#N/A</v>
      </c>
      <c r="AD16" t="e">
        <f t="shared" si="6"/>
        <v>#N/A</v>
      </c>
      <c r="AE16">
        <f t="shared" si="7"/>
        <v>16</v>
      </c>
      <c r="AF16" t="e">
        <f t="shared" si="8"/>
        <v>#N/A</v>
      </c>
      <c r="AG16">
        <f t="shared" si="9"/>
        <v>16</v>
      </c>
      <c r="AH16" t="e">
        <f t="shared" si="10"/>
        <v>#N/A</v>
      </c>
      <c r="AI16" t="e">
        <f t="shared" si="11"/>
        <v>#N/A</v>
      </c>
      <c r="AJ16">
        <f t="shared" si="12"/>
        <v>10.8</v>
      </c>
      <c r="AK16" t="e">
        <f t="shared" si="13"/>
        <v>#N/A</v>
      </c>
    </row>
    <row r="17" spans="1:37" x14ac:dyDescent="0.3">
      <c r="A17" t="s">
        <v>104</v>
      </c>
      <c r="B17" t="s">
        <v>104</v>
      </c>
      <c r="C17" t="s">
        <v>32</v>
      </c>
      <c r="D17">
        <v>2</v>
      </c>
      <c r="E17" t="s">
        <v>27</v>
      </c>
      <c r="F17" t="s">
        <v>32</v>
      </c>
      <c r="G17">
        <v>1</v>
      </c>
      <c r="H17">
        <v>1</v>
      </c>
      <c r="I17">
        <v>0</v>
      </c>
      <c r="J17">
        <v>0</v>
      </c>
      <c r="K17">
        <v>0</v>
      </c>
      <c r="L17">
        <v>0</v>
      </c>
      <c r="M17">
        <v>0</v>
      </c>
      <c r="N17">
        <v>0</v>
      </c>
      <c r="O17">
        <v>0</v>
      </c>
      <c r="P17">
        <v>0</v>
      </c>
      <c r="Q17">
        <v>0</v>
      </c>
      <c r="R17">
        <v>0</v>
      </c>
      <c r="S17">
        <v>0</v>
      </c>
      <c r="T17" t="s">
        <v>1128</v>
      </c>
      <c r="U17" t="s">
        <v>1129</v>
      </c>
      <c r="V17" t="s">
        <v>866</v>
      </c>
      <c r="W17" s="6" t="str">
        <f t="shared" si="0"/>
        <v/>
      </c>
      <c r="X17" s="6" t="str">
        <f t="shared" si="1"/>
        <v/>
      </c>
      <c r="Y17" s="6" t="str">
        <f t="shared" si="2"/>
        <v/>
      </c>
      <c r="Z17" s="6" t="str">
        <f t="shared" si="3"/>
        <v/>
      </c>
      <c r="AA17" t="str">
        <f t="shared" si="4"/>
        <v/>
      </c>
      <c r="AB17" t="s">
        <v>29</v>
      </c>
      <c r="AC17" t="e">
        <f t="shared" si="5"/>
        <v>#N/A</v>
      </c>
      <c r="AD17" t="e">
        <f t="shared" si="6"/>
        <v>#N/A</v>
      </c>
      <c r="AE17" t="e">
        <f t="shared" si="7"/>
        <v>#N/A</v>
      </c>
      <c r="AF17" t="e">
        <f t="shared" si="8"/>
        <v>#N/A</v>
      </c>
      <c r="AG17" t="e">
        <f t="shared" si="9"/>
        <v>#N/A</v>
      </c>
      <c r="AH17" t="e">
        <f t="shared" si="10"/>
        <v>#N/A</v>
      </c>
      <c r="AI17" t="e">
        <f t="shared" si="11"/>
        <v>#N/A</v>
      </c>
      <c r="AJ17" t="e">
        <f t="shared" si="12"/>
        <v>#N/A</v>
      </c>
      <c r="AK17" t="e">
        <f t="shared" si="13"/>
        <v>#N/A</v>
      </c>
    </row>
    <row r="18" spans="1:37" x14ac:dyDescent="0.3">
      <c r="A18" t="s">
        <v>109</v>
      </c>
      <c r="B18" t="s">
        <v>109</v>
      </c>
      <c r="C18" t="s">
        <v>32</v>
      </c>
      <c r="D18">
        <v>2</v>
      </c>
      <c r="E18" t="s">
        <v>27</v>
      </c>
      <c r="F18" t="s">
        <v>32</v>
      </c>
      <c r="G18">
        <v>1</v>
      </c>
      <c r="H18">
        <v>1</v>
      </c>
      <c r="I18">
        <v>0</v>
      </c>
      <c r="J18">
        <v>0</v>
      </c>
      <c r="K18">
        <v>0</v>
      </c>
      <c r="L18">
        <v>0</v>
      </c>
      <c r="M18">
        <v>0</v>
      </c>
      <c r="N18">
        <v>0</v>
      </c>
      <c r="O18">
        <v>0</v>
      </c>
      <c r="P18">
        <v>0</v>
      </c>
      <c r="Q18">
        <v>0</v>
      </c>
      <c r="R18">
        <v>0</v>
      </c>
      <c r="S18">
        <v>0</v>
      </c>
      <c r="T18" t="s">
        <v>1130</v>
      </c>
      <c r="U18" t="s">
        <v>1131</v>
      </c>
      <c r="V18" t="s">
        <v>866</v>
      </c>
      <c r="W18" s="6" t="str">
        <f t="shared" si="0"/>
        <v/>
      </c>
      <c r="X18" s="6" t="str">
        <f t="shared" si="1"/>
        <v/>
      </c>
      <c r="Y18" s="6" t="str">
        <f t="shared" si="2"/>
        <v/>
      </c>
      <c r="Z18" s="6" t="str">
        <f t="shared" si="3"/>
        <v/>
      </c>
      <c r="AA18" t="str">
        <f t="shared" si="4"/>
        <v/>
      </c>
      <c r="AB18" t="s">
        <v>29</v>
      </c>
      <c r="AC18" t="e">
        <f t="shared" si="5"/>
        <v>#N/A</v>
      </c>
      <c r="AD18" t="e">
        <f t="shared" si="6"/>
        <v>#N/A</v>
      </c>
      <c r="AE18" t="e">
        <f t="shared" si="7"/>
        <v>#N/A</v>
      </c>
      <c r="AF18" t="e">
        <f t="shared" si="8"/>
        <v>#N/A</v>
      </c>
      <c r="AG18" t="e">
        <f t="shared" si="9"/>
        <v>#N/A</v>
      </c>
      <c r="AH18" t="e">
        <f t="shared" si="10"/>
        <v>#N/A</v>
      </c>
      <c r="AI18" t="e">
        <f t="shared" si="11"/>
        <v>#N/A</v>
      </c>
      <c r="AJ18" t="e">
        <f t="shared" si="12"/>
        <v>#N/A</v>
      </c>
      <c r="AK18" t="e">
        <f t="shared" si="13"/>
        <v>#N/A</v>
      </c>
    </row>
    <row r="19" spans="1:37" x14ac:dyDescent="0.3">
      <c r="A19" t="s">
        <v>113</v>
      </c>
      <c r="B19" t="s">
        <v>113</v>
      </c>
      <c r="C19" t="s">
        <v>32</v>
      </c>
      <c r="D19">
        <v>2</v>
      </c>
      <c r="E19" t="s">
        <v>27</v>
      </c>
      <c r="F19" t="s">
        <v>32</v>
      </c>
      <c r="G19">
        <v>1</v>
      </c>
      <c r="H19">
        <v>1</v>
      </c>
      <c r="I19">
        <v>0</v>
      </c>
      <c r="J19">
        <v>0</v>
      </c>
      <c r="K19">
        <v>0</v>
      </c>
      <c r="L19">
        <v>0</v>
      </c>
      <c r="M19">
        <v>0</v>
      </c>
      <c r="N19">
        <v>0</v>
      </c>
      <c r="O19">
        <v>0</v>
      </c>
      <c r="P19">
        <v>0</v>
      </c>
      <c r="Q19">
        <v>0</v>
      </c>
      <c r="R19">
        <v>0</v>
      </c>
      <c r="S19">
        <v>0</v>
      </c>
      <c r="T19" t="s">
        <v>1132</v>
      </c>
      <c r="U19" t="s">
        <v>1133</v>
      </c>
      <c r="V19" t="s">
        <v>866</v>
      </c>
      <c r="W19" s="6" t="str">
        <f t="shared" si="0"/>
        <v/>
      </c>
      <c r="X19" s="6" t="str">
        <f t="shared" si="1"/>
        <v/>
      </c>
      <c r="Y19" s="6" t="str">
        <f t="shared" si="2"/>
        <v/>
      </c>
      <c r="Z19" s="6" t="str">
        <f t="shared" si="3"/>
        <v/>
      </c>
      <c r="AA19" t="str">
        <f t="shared" si="4"/>
        <v/>
      </c>
      <c r="AB19" t="s">
        <v>29</v>
      </c>
      <c r="AC19" t="e">
        <f t="shared" si="5"/>
        <v>#N/A</v>
      </c>
      <c r="AD19" t="e">
        <f t="shared" si="6"/>
        <v>#N/A</v>
      </c>
      <c r="AE19" t="e">
        <f t="shared" si="7"/>
        <v>#N/A</v>
      </c>
      <c r="AF19" t="e">
        <f t="shared" si="8"/>
        <v>#N/A</v>
      </c>
      <c r="AG19" t="e">
        <f t="shared" si="9"/>
        <v>#N/A</v>
      </c>
      <c r="AH19" t="e">
        <f t="shared" si="10"/>
        <v>#N/A</v>
      </c>
      <c r="AI19" t="e">
        <f t="shared" si="11"/>
        <v>#N/A</v>
      </c>
      <c r="AJ19" t="e">
        <f t="shared" si="12"/>
        <v>#N/A</v>
      </c>
      <c r="AK19" t="e">
        <f t="shared" si="13"/>
        <v>#N/A</v>
      </c>
    </row>
    <row r="20" spans="1:37" x14ac:dyDescent="0.3">
      <c r="A20" t="s">
        <v>117</v>
      </c>
      <c r="B20" t="s">
        <v>117</v>
      </c>
      <c r="C20" t="s">
        <v>32</v>
      </c>
      <c r="D20">
        <v>2</v>
      </c>
      <c r="E20" t="s">
        <v>27</v>
      </c>
      <c r="F20" t="s">
        <v>32</v>
      </c>
      <c r="G20">
        <v>1</v>
      </c>
      <c r="H20">
        <v>1</v>
      </c>
      <c r="I20">
        <v>0</v>
      </c>
      <c r="J20">
        <v>0</v>
      </c>
      <c r="K20">
        <v>0</v>
      </c>
      <c r="L20">
        <v>0</v>
      </c>
      <c r="M20">
        <v>0</v>
      </c>
      <c r="N20">
        <v>0</v>
      </c>
      <c r="O20">
        <v>0</v>
      </c>
      <c r="P20">
        <v>0</v>
      </c>
      <c r="Q20">
        <v>0</v>
      </c>
      <c r="R20">
        <v>0</v>
      </c>
      <c r="S20">
        <v>0</v>
      </c>
      <c r="T20" t="s">
        <v>1134</v>
      </c>
      <c r="U20" t="s">
        <v>1135</v>
      </c>
      <c r="V20" t="s">
        <v>866</v>
      </c>
      <c r="W20" s="6" t="str">
        <f t="shared" si="0"/>
        <v/>
      </c>
      <c r="X20" s="6" t="str">
        <f t="shared" si="1"/>
        <v/>
      </c>
      <c r="Y20" s="6" t="str">
        <f t="shared" si="2"/>
        <v/>
      </c>
      <c r="Z20" s="6" t="str">
        <f t="shared" si="3"/>
        <v/>
      </c>
      <c r="AA20" t="str">
        <f t="shared" si="4"/>
        <v/>
      </c>
      <c r="AB20" t="s">
        <v>29</v>
      </c>
      <c r="AC20" t="e">
        <f t="shared" si="5"/>
        <v>#N/A</v>
      </c>
      <c r="AD20" t="e">
        <f t="shared" si="6"/>
        <v>#N/A</v>
      </c>
      <c r="AE20" t="e">
        <f t="shared" si="7"/>
        <v>#N/A</v>
      </c>
      <c r="AF20" t="e">
        <f t="shared" si="8"/>
        <v>#N/A</v>
      </c>
      <c r="AG20" t="e">
        <f t="shared" si="9"/>
        <v>#N/A</v>
      </c>
      <c r="AH20" t="e">
        <f t="shared" si="10"/>
        <v>#N/A</v>
      </c>
      <c r="AI20" t="e">
        <f t="shared" si="11"/>
        <v>#N/A</v>
      </c>
      <c r="AJ20" t="e">
        <f t="shared" si="12"/>
        <v>#N/A</v>
      </c>
      <c r="AK20" t="e">
        <f t="shared" si="13"/>
        <v>#N/A</v>
      </c>
    </row>
    <row r="21" spans="1:37" x14ac:dyDescent="0.3">
      <c r="A21" t="s">
        <v>121</v>
      </c>
      <c r="B21" t="s">
        <v>121</v>
      </c>
      <c r="C21" t="s">
        <v>32</v>
      </c>
      <c r="D21">
        <v>3</v>
      </c>
      <c r="E21" t="s">
        <v>99</v>
      </c>
      <c r="F21" t="s">
        <v>32</v>
      </c>
      <c r="G21">
        <v>1</v>
      </c>
      <c r="H21">
        <v>1</v>
      </c>
      <c r="I21">
        <v>0</v>
      </c>
      <c r="J21">
        <v>0</v>
      </c>
      <c r="K21">
        <v>0</v>
      </c>
      <c r="L21">
        <v>0</v>
      </c>
      <c r="M21">
        <v>0</v>
      </c>
      <c r="N21">
        <v>0</v>
      </c>
      <c r="O21">
        <v>0</v>
      </c>
      <c r="P21">
        <v>0</v>
      </c>
      <c r="Q21">
        <v>0</v>
      </c>
      <c r="R21">
        <v>0</v>
      </c>
      <c r="S21">
        <v>0</v>
      </c>
      <c r="T21" t="s">
        <v>1136</v>
      </c>
      <c r="U21" t="s">
        <v>1135</v>
      </c>
      <c r="V21" t="s">
        <v>866</v>
      </c>
      <c r="W21" s="6" t="str">
        <f t="shared" si="0"/>
        <v/>
      </c>
      <c r="X21" s="6" t="str">
        <f t="shared" si="1"/>
        <v/>
      </c>
      <c r="Y21" s="6" t="str">
        <f t="shared" si="2"/>
        <v/>
      </c>
      <c r="Z21" s="6" t="str">
        <f t="shared" si="3"/>
        <v/>
      </c>
      <c r="AA21" t="str">
        <f t="shared" si="4"/>
        <v/>
      </c>
      <c r="AB21" t="s">
        <v>29</v>
      </c>
      <c r="AC21" t="e">
        <f t="shared" si="5"/>
        <v>#N/A</v>
      </c>
      <c r="AD21" t="e">
        <f t="shared" si="6"/>
        <v>#N/A</v>
      </c>
      <c r="AE21" t="e">
        <f t="shared" si="7"/>
        <v>#N/A</v>
      </c>
      <c r="AF21" t="e">
        <f t="shared" si="8"/>
        <v>#N/A</v>
      </c>
      <c r="AG21" t="e">
        <f t="shared" si="9"/>
        <v>#N/A</v>
      </c>
      <c r="AH21" t="e">
        <f t="shared" si="10"/>
        <v>#N/A</v>
      </c>
      <c r="AI21" t="e">
        <f t="shared" si="11"/>
        <v>#N/A</v>
      </c>
      <c r="AJ21" t="e">
        <f t="shared" si="12"/>
        <v>#N/A</v>
      </c>
      <c r="AK21" t="e">
        <f t="shared" si="13"/>
        <v>#N/A</v>
      </c>
    </row>
    <row r="22" spans="1:37" x14ac:dyDescent="0.3">
      <c r="A22" t="s">
        <v>126</v>
      </c>
      <c r="B22" t="s">
        <v>125</v>
      </c>
      <c r="C22" t="s">
        <v>32</v>
      </c>
      <c r="D22">
        <v>3</v>
      </c>
      <c r="E22" t="s">
        <v>99</v>
      </c>
      <c r="F22" t="s">
        <v>32</v>
      </c>
      <c r="G22">
        <v>1</v>
      </c>
      <c r="H22">
        <v>1</v>
      </c>
      <c r="I22">
        <v>0</v>
      </c>
      <c r="J22">
        <v>0</v>
      </c>
      <c r="K22">
        <v>9</v>
      </c>
      <c r="L22">
        <v>0</v>
      </c>
      <c r="M22">
        <v>0</v>
      </c>
      <c r="N22">
        <v>0</v>
      </c>
      <c r="O22">
        <v>0</v>
      </c>
      <c r="P22">
        <v>0</v>
      </c>
      <c r="Q22">
        <v>0</v>
      </c>
      <c r="R22">
        <v>0</v>
      </c>
      <c r="S22">
        <v>0</v>
      </c>
      <c r="T22" t="s">
        <v>1137</v>
      </c>
      <c r="U22" t="s">
        <v>29</v>
      </c>
      <c r="V22" t="s">
        <v>1138</v>
      </c>
      <c r="W22" s="6">
        <f t="shared" si="0"/>
        <v>6.3</v>
      </c>
      <c r="X22" s="6">
        <f t="shared" si="1"/>
        <v>2.1</v>
      </c>
      <c r="Y22" s="6">
        <f t="shared" si="2"/>
        <v>27</v>
      </c>
      <c r="Z22" s="6">
        <f t="shared" si="3"/>
        <v>-20.7</v>
      </c>
      <c r="AA22" t="str">
        <f t="shared" si="4"/>
        <v>RIDER</v>
      </c>
      <c r="AB22" t="s">
        <v>29</v>
      </c>
      <c r="AC22" t="e">
        <f t="shared" si="5"/>
        <v>#N/A</v>
      </c>
      <c r="AD22" t="e">
        <f t="shared" si="6"/>
        <v>#N/A</v>
      </c>
      <c r="AE22">
        <f t="shared" si="7"/>
        <v>6.3</v>
      </c>
      <c r="AF22" t="e">
        <f t="shared" si="8"/>
        <v>#N/A</v>
      </c>
      <c r="AG22">
        <f t="shared" si="9"/>
        <v>2.1</v>
      </c>
      <c r="AH22" t="e">
        <f t="shared" si="10"/>
        <v>#N/A</v>
      </c>
      <c r="AI22" t="e">
        <f t="shared" si="11"/>
        <v>#N/A</v>
      </c>
      <c r="AJ22">
        <f t="shared" si="12"/>
        <v>27</v>
      </c>
      <c r="AK22" t="e">
        <f t="shared" si="13"/>
        <v>#N/A</v>
      </c>
    </row>
    <row r="23" spans="1:37" x14ac:dyDescent="0.3">
      <c r="A23" t="s">
        <v>129</v>
      </c>
      <c r="B23" t="s">
        <v>129</v>
      </c>
      <c r="C23" t="s">
        <v>32</v>
      </c>
      <c r="D23">
        <v>3</v>
      </c>
      <c r="E23" t="s">
        <v>99</v>
      </c>
      <c r="F23" t="s">
        <v>32</v>
      </c>
      <c r="G23">
        <v>1</v>
      </c>
      <c r="H23">
        <v>1</v>
      </c>
      <c r="I23">
        <v>0</v>
      </c>
      <c r="J23">
        <v>0</v>
      </c>
      <c r="K23">
        <v>0</v>
      </c>
      <c r="L23">
        <v>0</v>
      </c>
      <c r="M23">
        <v>0</v>
      </c>
      <c r="N23">
        <v>0</v>
      </c>
      <c r="O23">
        <v>0</v>
      </c>
      <c r="P23">
        <v>0</v>
      </c>
      <c r="Q23">
        <v>0</v>
      </c>
      <c r="R23">
        <v>0</v>
      </c>
      <c r="S23">
        <v>0</v>
      </c>
      <c r="T23" t="s">
        <v>1139</v>
      </c>
      <c r="U23" t="s">
        <v>1131</v>
      </c>
      <c r="V23" t="s">
        <v>866</v>
      </c>
      <c r="W23" s="6" t="str">
        <f t="shared" si="0"/>
        <v/>
      </c>
      <c r="X23" s="6" t="str">
        <f t="shared" si="1"/>
        <v/>
      </c>
      <c r="Y23" s="6" t="str">
        <f t="shared" si="2"/>
        <v/>
      </c>
      <c r="Z23" s="6" t="str">
        <f t="shared" si="3"/>
        <v/>
      </c>
      <c r="AA23" t="str">
        <f t="shared" si="4"/>
        <v/>
      </c>
      <c r="AB23" t="s">
        <v>29</v>
      </c>
      <c r="AC23" t="e">
        <f t="shared" si="5"/>
        <v>#N/A</v>
      </c>
      <c r="AD23" t="e">
        <f t="shared" si="6"/>
        <v>#N/A</v>
      </c>
      <c r="AE23" t="e">
        <f t="shared" si="7"/>
        <v>#N/A</v>
      </c>
      <c r="AF23" t="e">
        <f t="shared" si="8"/>
        <v>#N/A</v>
      </c>
      <c r="AG23" t="e">
        <f t="shared" si="9"/>
        <v>#N/A</v>
      </c>
      <c r="AH23" t="e">
        <f t="shared" si="10"/>
        <v>#N/A</v>
      </c>
      <c r="AI23" t="e">
        <f t="shared" si="11"/>
        <v>#N/A</v>
      </c>
      <c r="AJ23" t="e">
        <f t="shared" si="12"/>
        <v>#N/A</v>
      </c>
      <c r="AK23" t="e">
        <f t="shared" si="13"/>
        <v>#N/A</v>
      </c>
    </row>
    <row r="24" spans="1:37" x14ac:dyDescent="0.3">
      <c r="A24" t="s">
        <v>133</v>
      </c>
      <c r="B24" t="s">
        <v>133</v>
      </c>
      <c r="C24" t="s">
        <v>32</v>
      </c>
      <c r="D24">
        <v>0</v>
      </c>
      <c r="E24" t="s">
        <v>99</v>
      </c>
      <c r="F24" t="s">
        <v>32</v>
      </c>
      <c r="G24">
        <v>1</v>
      </c>
      <c r="H24">
        <v>1</v>
      </c>
      <c r="I24">
        <v>0</v>
      </c>
      <c r="J24">
        <v>0</v>
      </c>
      <c r="K24">
        <v>0</v>
      </c>
      <c r="L24">
        <v>0</v>
      </c>
      <c r="M24">
        <v>0</v>
      </c>
      <c r="N24">
        <v>0</v>
      </c>
      <c r="O24">
        <v>0</v>
      </c>
      <c r="P24">
        <v>0</v>
      </c>
      <c r="Q24">
        <v>0</v>
      </c>
      <c r="R24">
        <v>0</v>
      </c>
      <c r="S24">
        <v>0</v>
      </c>
      <c r="T24" t="s">
        <v>29</v>
      </c>
      <c r="U24" t="s">
        <v>29</v>
      </c>
      <c r="V24" t="s">
        <v>866</v>
      </c>
      <c r="W24" s="6" t="str">
        <f t="shared" si="0"/>
        <v/>
      </c>
      <c r="X24" s="6" t="str">
        <f t="shared" si="1"/>
        <v/>
      </c>
      <c r="Y24" s="6" t="str">
        <f t="shared" si="2"/>
        <v/>
      </c>
      <c r="Z24" s="6" t="str">
        <f t="shared" si="3"/>
        <v/>
      </c>
      <c r="AA24" t="str">
        <f t="shared" si="4"/>
        <v/>
      </c>
      <c r="AB24" t="s">
        <v>29</v>
      </c>
      <c r="AC24" t="e">
        <f t="shared" si="5"/>
        <v>#N/A</v>
      </c>
      <c r="AD24" t="e">
        <f t="shared" si="6"/>
        <v>#N/A</v>
      </c>
      <c r="AE24" t="e">
        <f t="shared" si="7"/>
        <v>#N/A</v>
      </c>
      <c r="AF24" t="e">
        <f t="shared" si="8"/>
        <v>#N/A</v>
      </c>
      <c r="AG24" t="e">
        <f t="shared" si="9"/>
        <v>#N/A</v>
      </c>
      <c r="AH24" t="e">
        <f t="shared" si="10"/>
        <v>#N/A</v>
      </c>
      <c r="AI24" t="e">
        <f t="shared" si="11"/>
        <v>#N/A</v>
      </c>
      <c r="AJ24" t="e">
        <f t="shared" si="12"/>
        <v>#N/A</v>
      </c>
      <c r="AK24" t="e">
        <f t="shared" si="13"/>
        <v>#N/A</v>
      </c>
    </row>
    <row r="25" spans="1:37" x14ac:dyDescent="0.3">
      <c r="A25" t="s">
        <v>139</v>
      </c>
      <c r="B25" t="s">
        <v>139</v>
      </c>
      <c r="C25" t="s">
        <v>32</v>
      </c>
      <c r="D25">
        <v>0</v>
      </c>
      <c r="E25" t="s">
        <v>99</v>
      </c>
      <c r="F25" t="s">
        <v>32</v>
      </c>
      <c r="G25">
        <v>1</v>
      </c>
      <c r="H25">
        <v>1</v>
      </c>
      <c r="I25">
        <v>0</v>
      </c>
      <c r="J25">
        <v>0</v>
      </c>
      <c r="K25">
        <v>0</v>
      </c>
      <c r="L25">
        <v>0</v>
      </c>
      <c r="M25">
        <v>0</v>
      </c>
      <c r="N25">
        <v>0</v>
      </c>
      <c r="O25">
        <v>0</v>
      </c>
      <c r="P25">
        <v>0</v>
      </c>
      <c r="Q25">
        <v>1</v>
      </c>
      <c r="R25">
        <v>0</v>
      </c>
      <c r="S25">
        <v>0</v>
      </c>
      <c r="T25" t="s">
        <v>29</v>
      </c>
      <c r="U25" t="s">
        <v>29</v>
      </c>
      <c r="V25" t="s">
        <v>1138</v>
      </c>
      <c r="W25" s="6">
        <f t="shared" si="0"/>
        <v>3</v>
      </c>
      <c r="X25" s="6">
        <f t="shared" si="1"/>
        <v>3</v>
      </c>
      <c r="Y25" s="6">
        <f t="shared" si="2"/>
        <v>2.7</v>
      </c>
      <c r="Z25" s="6">
        <f t="shared" si="3"/>
        <v>0.3</v>
      </c>
      <c r="AA25" t="str">
        <f t="shared" si="4"/>
        <v>RIDER</v>
      </c>
      <c r="AB25" t="s">
        <v>29</v>
      </c>
      <c r="AC25" t="e">
        <f t="shared" si="5"/>
        <v>#N/A</v>
      </c>
      <c r="AD25" t="e">
        <f t="shared" si="6"/>
        <v>#N/A</v>
      </c>
      <c r="AE25">
        <f t="shared" si="7"/>
        <v>3</v>
      </c>
      <c r="AF25" t="e">
        <f t="shared" si="8"/>
        <v>#N/A</v>
      </c>
      <c r="AG25">
        <f t="shared" si="9"/>
        <v>3</v>
      </c>
      <c r="AH25" t="e">
        <f t="shared" si="10"/>
        <v>#N/A</v>
      </c>
      <c r="AI25" t="e">
        <f t="shared" si="11"/>
        <v>#N/A</v>
      </c>
      <c r="AJ25">
        <f t="shared" si="12"/>
        <v>2.7</v>
      </c>
      <c r="AK25" t="e">
        <f t="shared" si="13"/>
        <v>#N/A</v>
      </c>
    </row>
    <row r="26" spans="1:37" x14ac:dyDescent="0.3">
      <c r="A26" t="s">
        <v>142</v>
      </c>
      <c r="B26" t="s">
        <v>142</v>
      </c>
      <c r="C26" t="s">
        <v>145</v>
      </c>
      <c r="D26">
        <v>1</v>
      </c>
      <c r="E26" t="s">
        <v>27</v>
      </c>
      <c r="F26" t="s">
        <v>145</v>
      </c>
      <c r="G26">
        <v>1</v>
      </c>
      <c r="H26">
        <v>1</v>
      </c>
      <c r="I26">
        <v>0</v>
      </c>
      <c r="J26">
        <v>0</v>
      </c>
      <c r="K26">
        <v>0</v>
      </c>
      <c r="L26">
        <v>10</v>
      </c>
      <c r="M26">
        <v>0</v>
      </c>
      <c r="N26">
        <v>0</v>
      </c>
      <c r="O26">
        <v>0</v>
      </c>
      <c r="P26">
        <v>0</v>
      </c>
      <c r="Q26">
        <v>0</v>
      </c>
      <c r="R26">
        <v>0</v>
      </c>
      <c r="S26">
        <v>0</v>
      </c>
      <c r="T26" t="s">
        <v>29</v>
      </c>
      <c r="U26" t="s">
        <v>29</v>
      </c>
      <c r="V26" t="s">
        <v>320</v>
      </c>
      <c r="W26" s="6">
        <f t="shared" si="0"/>
        <v>9</v>
      </c>
      <c r="X26" s="6">
        <f t="shared" si="1"/>
        <v>9</v>
      </c>
      <c r="Y26" s="6">
        <f t="shared" si="2"/>
        <v>9.1999999999999993</v>
      </c>
      <c r="Z26" s="6">
        <f t="shared" si="3"/>
        <v>-0.2</v>
      </c>
      <c r="AA26" t="str">
        <f t="shared" si="4"/>
        <v>OK</v>
      </c>
      <c r="AB26" t="s">
        <v>29</v>
      </c>
      <c r="AC26" t="e">
        <f t="shared" si="5"/>
        <v>#N/A</v>
      </c>
      <c r="AD26">
        <f t="shared" si="6"/>
        <v>9</v>
      </c>
      <c r="AE26" t="e">
        <f t="shared" si="7"/>
        <v>#N/A</v>
      </c>
      <c r="AF26" t="e">
        <f t="shared" si="8"/>
        <v>#N/A</v>
      </c>
      <c r="AG26" t="e">
        <f t="shared" si="9"/>
        <v>#N/A</v>
      </c>
      <c r="AH26">
        <f t="shared" si="10"/>
        <v>9</v>
      </c>
      <c r="AI26" t="e">
        <f t="shared" si="11"/>
        <v>#N/A</v>
      </c>
      <c r="AJ26">
        <f t="shared" si="12"/>
        <v>9.1999999999999993</v>
      </c>
      <c r="AK26" t="e">
        <f t="shared" si="13"/>
        <v>#N/A</v>
      </c>
    </row>
    <row r="27" spans="1:37" x14ac:dyDescent="0.3">
      <c r="A27" t="s">
        <v>147</v>
      </c>
      <c r="B27" t="s">
        <v>147</v>
      </c>
      <c r="C27" t="s">
        <v>145</v>
      </c>
      <c r="D27">
        <v>1</v>
      </c>
      <c r="E27" t="s">
        <v>44</v>
      </c>
      <c r="F27" t="s">
        <v>145</v>
      </c>
      <c r="G27">
        <v>1</v>
      </c>
      <c r="H27">
        <v>1</v>
      </c>
      <c r="I27">
        <v>0</v>
      </c>
      <c r="J27">
        <v>0</v>
      </c>
      <c r="K27">
        <v>0</v>
      </c>
      <c r="L27">
        <v>0</v>
      </c>
      <c r="M27">
        <v>0</v>
      </c>
      <c r="N27">
        <v>0</v>
      </c>
      <c r="O27">
        <v>0</v>
      </c>
      <c r="P27">
        <v>1</v>
      </c>
      <c r="Q27">
        <v>0</v>
      </c>
      <c r="R27">
        <v>0</v>
      </c>
      <c r="S27">
        <v>0</v>
      </c>
      <c r="T27" t="s">
        <v>29</v>
      </c>
      <c r="U27" t="s">
        <v>29</v>
      </c>
      <c r="V27" t="s">
        <v>320</v>
      </c>
      <c r="W27" s="6">
        <f t="shared" si="0"/>
        <v>3</v>
      </c>
      <c r="X27" s="6">
        <f t="shared" si="1"/>
        <v>3</v>
      </c>
      <c r="Y27" s="6">
        <f t="shared" si="2"/>
        <v>8</v>
      </c>
      <c r="Z27" s="6">
        <f t="shared" si="3"/>
        <v>-5</v>
      </c>
      <c r="AA27" t="str">
        <f t="shared" si="4"/>
        <v>UNDER</v>
      </c>
      <c r="AB27" t="s">
        <v>29</v>
      </c>
      <c r="AC27">
        <f t="shared" si="5"/>
        <v>3</v>
      </c>
      <c r="AD27" t="e">
        <f t="shared" si="6"/>
        <v>#N/A</v>
      </c>
      <c r="AE27" t="e">
        <f t="shared" si="7"/>
        <v>#N/A</v>
      </c>
      <c r="AF27" t="e">
        <f t="shared" si="8"/>
        <v>#N/A</v>
      </c>
      <c r="AG27" t="e">
        <f t="shared" si="9"/>
        <v>#N/A</v>
      </c>
      <c r="AH27">
        <f t="shared" si="10"/>
        <v>3</v>
      </c>
      <c r="AI27" t="e">
        <f t="shared" si="11"/>
        <v>#N/A</v>
      </c>
      <c r="AJ27">
        <f t="shared" si="12"/>
        <v>8</v>
      </c>
      <c r="AK27" t="e">
        <f t="shared" si="13"/>
        <v>#N/A</v>
      </c>
    </row>
    <row r="28" spans="1:37" x14ac:dyDescent="0.3">
      <c r="A28" t="s">
        <v>153</v>
      </c>
      <c r="B28" t="s">
        <v>153</v>
      </c>
      <c r="C28" t="s">
        <v>145</v>
      </c>
      <c r="D28">
        <v>1</v>
      </c>
      <c r="E28" t="s">
        <v>27</v>
      </c>
      <c r="F28" t="s">
        <v>145</v>
      </c>
      <c r="G28">
        <v>1</v>
      </c>
      <c r="H28">
        <v>1</v>
      </c>
      <c r="I28">
        <v>0</v>
      </c>
      <c r="J28">
        <v>0</v>
      </c>
      <c r="K28">
        <v>0</v>
      </c>
      <c r="L28">
        <v>0</v>
      </c>
      <c r="M28">
        <v>0</v>
      </c>
      <c r="N28">
        <v>0</v>
      </c>
      <c r="O28">
        <v>0</v>
      </c>
      <c r="P28">
        <v>0</v>
      </c>
      <c r="Q28">
        <v>0</v>
      </c>
      <c r="R28">
        <v>0</v>
      </c>
      <c r="S28">
        <v>0</v>
      </c>
      <c r="T28" t="s">
        <v>29</v>
      </c>
      <c r="U28" t="s">
        <v>1066</v>
      </c>
      <c r="V28" t="s">
        <v>866</v>
      </c>
      <c r="W28" s="6" t="str">
        <f t="shared" si="0"/>
        <v/>
      </c>
      <c r="X28" s="6" t="str">
        <f t="shared" si="1"/>
        <v/>
      </c>
      <c r="Y28" s="6" t="str">
        <f t="shared" si="2"/>
        <v/>
      </c>
      <c r="Z28" s="6" t="str">
        <f t="shared" si="3"/>
        <v/>
      </c>
      <c r="AA28" t="str">
        <f t="shared" si="4"/>
        <v/>
      </c>
      <c r="AB28" t="s">
        <v>29</v>
      </c>
      <c r="AC28" t="e">
        <f t="shared" si="5"/>
        <v>#N/A</v>
      </c>
      <c r="AD28" t="e">
        <f t="shared" si="6"/>
        <v>#N/A</v>
      </c>
      <c r="AE28" t="e">
        <f t="shared" si="7"/>
        <v>#N/A</v>
      </c>
      <c r="AF28" t="e">
        <f t="shared" si="8"/>
        <v>#N/A</v>
      </c>
      <c r="AG28" t="e">
        <f t="shared" si="9"/>
        <v>#N/A</v>
      </c>
      <c r="AH28" t="e">
        <f t="shared" si="10"/>
        <v>#N/A</v>
      </c>
      <c r="AI28" t="e">
        <f t="shared" si="11"/>
        <v>#N/A</v>
      </c>
      <c r="AJ28" t="e">
        <f t="shared" si="12"/>
        <v>#N/A</v>
      </c>
      <c r="AK28" t="e">
        <f t="shared" si="13"/>
        <v>#N/A</v>
      </c>
    </row>
    <row r="29" spans="1:37" x14ac:dyDescent="0.3">
      <c r="A29" t="s">
        <v>157</v>
      </c>
      <c r="B29" t="s">
        <v>157</v>
      </c>
      <c r="C29" t="s">
        <v>145</v>
      </c>
      <c r="D29">
        <v>1</v>
      </c>
      <c r="E29" t="s">
        <v>99</v>
      </c>
      <c r="F29" t="s">
        <v>145</v>
      </c>
      <c r="G29">
        <v>1</v>
      </c>
      <c r="H29">
        <v>1</v>
      </c>
      <c r="I29">
        <v>0</v>
      </c>
      <c r="J29">
        <v>0</v>
      </c>
      <c r="K29">
        <v>0</v>
      </c>
      <c r="L29">
        <v>0</v>
      </c>
      <c r="M29">
        <v>0</v>
      </c>
      <c r="N29">
        <v>0</v>
      </c>
      <c r="O29">
        <v>0</v>
      </c>
      <c r="P29">
        <v>0</v>
      </c>
      <c r="Q29">
        <v>0</v>
      </c>
      <c r="R29">
        <v>0</v>
      </c>
      <c r="S29">
        <v>0</v>
      </c>
      <c r="T29" t="s">
        <v>29</v>
      </c>
      <c r="U29" t="s">
        <v>1056</v>
      </c>
      <c r="V29" t="s">
        <v>866</v>
      </c>
      <c r="W29" s="6" t="str">
        <f t="shared" si="0"/>
        <v/>
      </c>
      <c r="X29" s="6" t="str">
        <f t="shared" si="1"/>
        <v/>
      </c>
      <c r="Y29" s="6" t="str">
        <f t="shared" si="2"/>
        <v/>
      </c>
      <c r="Z29" s="6" t="str">
        <f t="shared" si="3"/>
        <v/>
      </c>
      <c r="AA29" t="str">
        <f t="shared" si="4"/>
        <v/>
      </c>
      <c r="AB29" t="s">
        <v>29</v>
      </c>
      <c r="AC29" t="e">
        <f t="shared" si="5"/>
        <v>#N/A</v>
      </c>
      <c r="AD29" t="e">
        <f t="shared" si="6"/>
        <v>#N/A</v>
      </c>
      <c r="AE29" t="e">
        <f t="shared" si="7"/>
        <v>#N/A</v>
      </c>
      <c r="AF29" t="e">
        <f t="shared" si="8"/>
        <v>#N/A</v>
      </c>
      <c r="AG29" t="e">
        <f t="shared" si="9"/>
        <v>#N/A</v>
      </c>
      <c r="AH29" t="e">
        <f t="shared" si="10"/>
        <v>#N/A</v>
      </c>
      <c r="AI29" t="e">
        <f t="shared" si="11"/>
        <v>#N/A</v>
      </c>
      <c r="AJ29" t="e">
        <f t="shared" si="12"/>
        <v>#N/A</v>
      </c>
      <c r="AK29" t="e">
        <f t="shared" si="13"/>
        <v>#N/A</v>
      </c>
    </row>
    <row r="30" spans="1:37" x14ac:dyDescent="0.3">
      <c r="A30" t="s">
        <v>160</v>
      </c>
      <c r="B30" t="s">
        <v>160</v>
      </c>
      <c r="C30" t="s">
        <v>145</v>
      </c>
      <c r="D30">
        <v>1</v>
      </c>
      <c r="E30" t="s">
        <v>44</v>
      </c>
      <c r="F30" t="s">
        <v>145</v>
      </c>
      <c r="G30">
        <v>1</v>
      </c>
      <c r="H30">
        <v>1</v>
      </c>
      <c r="I30">
        <v>0</v>
      </c>
      <c r="J30">
        <v>0</v>
      </c>
      <c r="K30">
        <v>0</v>
      </c>
      <c r="L30">
        <v>0</v>
      </c>
      <c r="M30">
        <v>0</v>
      </c>
      <c r="N30">
        <v>0</v>
      </c>
      <c r="O30">
        <v>0</v>
      </c>
      <c r="P30">
        <v>0</v>
      </c>
      <c r="Q30">
        <v>0</v>
      </c>
      <c r="R30">
        <v>0</v>
      </c>
      <c r="S30">
        <v>0</v>
      </c>
      <c r="T30" t="s">
        <v>29</v>
      </c>
      <c r="U30" t="s">
        <v>95</v>
      </c>
      <c r="V30" t="s">
        <v>866</v>
      </c>
      <c r="W30" s="6" t="str">
        <f t="shared" si="0"/>
        <v/>
      </c>
      <c r="X30" s="6" t="str">
        <f t="shared" si="1"/>
        <v/>
      </c>
      <c r="Y30" s="6" t="str">
        <f t="shared" si="2"/>
        <v/>
      </c>
      <c r="Z30" s="6" t="str">
        <f t="shared" si="3"/>
        <v/>
      </c>
      <c r="AA30" t="str">
        <f t="shared" si="4"/>
        <v/>
      </c>
      <c r="AB30" t="s">
        <v>29</v>
      </c>
      <c r="AC30" t="e">
        <f t="shared" si="5"/>
        <v>#N/A</v>
      </c>
      <c r="AD30" t="e">
        <f t="shared" si="6"/>
        <v>#N/A</v>
      </c>
      <c r="AE30" t="e">
        <f t="shared" si="7"/>
        <v>#N/A</v>
      </c>
      <c r="AF30" t="e">
        <f t="shared" si="8"/>
        <v>#N/A</v>
      </c>
      <c r="AG30" t="e">
        <f t="shared" si="9"/>
        <v>#N/A</v>
      </c>
      <c r="AH30" t="e">
        <f t="shared" si="10"/>
        <v>#N/A</v>
      </c>
      <c r="AI30" t="e">
        <f t="shared" si="11"/>
        <v>#N/A</v>
      </c>
      <c r="AJ30" t="e">
        <f t="shared" si="12"/>
        <v>#N/A</v>
      </c>
      <c r="AK30" t="e">
        <f t="shared" si="13"/>
        <v>#N/A</v>
      </c>
    </row>
    <row r="31" spans="1:37" x14ac:dyDescent="0.3">
      <c r="A31" t="s">
        <v>166</v>
      </c>
      <c r="B31" t="s">
        <v>163</v>
      </c>
      <c r="C31" t="s">
        <v>145</v>
      </c>
      <c r="D31">
        <v>1</v>
      </c>
      <c r="E31" t="s">
        <v>44</v>
      </c>
      <c r="F31" t="s">
        <v>145</v>
      </c>
      <c r="G31">
        <v>1</v>
      </c>
      <c r="H31">
        <v>1</v>
      </c>
      <c r="I31">
        <v>0</v>
      </c>
      <c r="J31">
        <v>10</v>
      </c>
      <c r="K31">
        <v>0</v>
      </c>
      <c r="L31">
        <v>0</v>
      </c>
      <c r="M31">
        <v>0</v>
      </c>
      <c r="N31">
        <v>0</v>
      </c>
      <c r="O31">
        <v>0</v>
      </c>
      <c r="P31">
        <v>0</v>
      </c>
      <c r="Q31">
        <v>0</v>
      </c>
      <c r="R31">
        <v>0</v>
      </c>
      <c r="S31">
        <v>0</v>
      </c>
      <c r="T31" t="s">
        <v>29</v>
      </c>
      <c r="U31" t="s">
        <v>29</v>
      </c>
      <c r="V31" t="s">
        <v>320</v>
      </c>
      <c r="W31" s="6">
        <f t="shared" si="0"/>
        <v>8</v>
      </c>
      <c r="X31" s="6">
        <f t="shared" si="1"/>
        <v>8</v>
      </c>
      <c r="Y31" s="6">
        <f t="shared" si="2"/>
        <v>8</v>
      </c>
      <c r="Z31" s="6">
        <f t="shared" si="3"/>
        <v>0</v>
      </c>
      <c r="AA31" t="str">
        <f t="shared" si="4"/>
        <v>OK</v>
      </c>
      <c r="AB31" t="s">
        <v>29</v>
      </c>
      <c r="AC31">
        <f t="shared" si="5"/>
        <v>8</v>
      </c>
      <c r="AD31" t="e">
        <f t="shared" si="6"/>
        <v>#N/A</v>
      </c>
      <c r="AE31" t="e">
        <f t="shared" si="7"/>
        <v>#N/A</v>
      </c>
      <c r="AF31" t="e">
        <f t="shared" si="8"/>
        <v>#N/A</v>
      </c>
      <c r="AG31" t="e">
        <f t="shared" si="9"/>
        <v>#N/A</v>
      </c>
      <c r="AH31">
        <f t="shared" si="10"/>
        <v>8</v>
      </c>
      <c r="AI31" t="e">
        <f t="shared" si="11"/>
        <v>#N/A</v>
      </c>
      <c r="AJ31">
        <f t="shared" si="12"/>
        <v>8</v>
      </c>
      <c r="AK31" t="e">
        <f t="shared" si="13"/>
        <v>#N/A</v>
      </c>
    </row>
    <row r="32" spans="1:37" x14ac:dyDescent="0.3">
      <c r="A32" t="s">
        <v>169</v>
      </c>
      <c r="B32" t="s">
        <v>169</v>
      </c>
      <c r="C32" t="s">
        <v>145</v>
      </c>
      <c r="D32">
        <v>1</v>
      </c>
      <c r="E32" t="s">
        <v>44</v>
      </c>
      <c r="F32" t="s">
        <v>145</v>
      </c>
      <c r="G32">
        <v>1</v>
      </c>
      <c r="H32">
        <v>1</v>
      </c>
      <c r="I32">
        <v>0</v>
      </c>
      <c r="J32">
        <v>5</v>
      </c>
      <c r="K32">
        <v>0</v>
      </c>
      <c r="L32">
        <v>0</v>
      </c>
      <c r="M32">
        <v>0</v>
      </c>
      <c r="N32">
        <v>0</v>
      </c>
      <c r="O32">
        <v>0</v>
      </c>
      <c r="P32">
        <v>0</v>
      </c>
      <c r="Q32">
        <v>0</v>
      </c>
      <c r="R32">
        <v>0</v>
      </c>
      <c r="S32">
        <v>0</v>
      </c>
      <c r="T32" t="s">
        <v>29</v>
      </c>
      <c r="U32" t="s">
        <v>29</v>
      </c>
      <c r="V32" t="s">
        <v>320</v>
      </c>
      <c r="W32" s="6">
        <f t="shared" si="0"/>
        <v>4</v>
      </c>
      <c r="X32" s="6">
        <f t="shared" si="1"/>
        <v>4</v>
      </c>
      <c r="Y32" s="6">
        <f t="shared" si="2"/>
        <v>8</v>
      </c>
      <c r="Z32" s="6">
        <f t="shared" si="3"/>
        <v>-4</v>
      </c>
      <c r="AA32" t="str">
        <f t="shared" si="4"/>
        <v>UNDER</v>
      </c>
      <c r="AB32" t="s">
        <v>29</v>
      </c>
      <c r="AC32">
        <f t="shared" si="5"/>
        <v>4</v>
      </c>
      <c r="AD32" t="e">
        <f t="shared" si="6"/>
        <v>#N/A</v>
      </c>
      <c r="AE32" t="e">
        <f t="shared" si="7"/>
        <v>#N/A</v>
      </c>
      <c r="AF32" t="e">
        <f t="shared" si="8"/>
        <v>#N/A</v>
      </c>
      <c r="AG32" t="e">
        <f t="shared" si="9"/>
        <v>#N/A</v>
      </c>
      <c r="AH32">
        <f t="shared" si="10"/>
        <v>4</v>
      </c>
      <c r="AI32" t="e">
        <f t="shared" si="11"/>
        <v>#N/A</v>
      </c>
      <c r="AJ32">
        <f t="shared" si="12"/>
        <v>8</v>
      </c>
      <c r="AK32" t="e">
        <f t="shared" si="13"/>
        <v>#N/A</v>
      </c>
    </row>
    <row r="33" spans="1:37" x14ac:dyDescent="0.3">
      <c r="A33" t="s">
        <v>172</v>
      </c>
      <c r="B33" t="s">
        <v>172</v>
      </c>
      <c r="C33" t="s">
        <v>145</v>
      </c>
      <c r="D33">
        <v>1</v>
      </c>
      <c r="E33" t="s">
        <v>44</v>
      </c>
      <c r="F33" t="s">
        <v>145</v>
      </c>
      <c r="G33">
        <v>1</v>
      </c>
      <c r="H33">
        <v>1</v>
      </c>
      <c r="I33">
        <v>0</v>
      </c>
      <c r="J33">
        <v>0</v>
      </c>
      <c r="K33">
        <v>0</v>
      </c>
      <c r="L33">
        <v>0</v>
      </c>
      <c r="M33">
        <v>0</v>
      </c>
      <c r="N33">
        <v>0</v>
      </c>
      <c r="O33">
        <v>0</v>
      </c>
      <c r="P33">
        <v>0</v>
      </c>
      <c r="Q33">
        <v>0</v>
      </c>
      <c r="R33">
        <v>1</v>
      </c>
      <c r="S33">
        <v>0</v>
      </c>
      <c r="T33" t="s">
        <v>29</v>
      </c>
      <c r="U33" t="s">
        <v>29</v>
      </c>
      <c r="V33" t="s">
        <v>320</v>
      </c>
      <c r="W33" s="6">
        <f t="shared" si="0"/>
        <v>3</v>
      </c>
      <c r="X33" s="6">
        <f t="shared" si="1"/>
        <v>3</v>
      </c>
      <c r="Y33" s="6">
        <f t="shared" si="2"/>
        <v>8</v>
      </c>
      <c r="Z33" s="6">
        <f t="shared" si="3"/>
        <v>-5</v>
      </c>
      <c r="AA33" t="str">
        <f t="shared" si="4"/>
        <v>UNDER</v>
      </c>
      <c r="AB33" t="s">
        <v>29</v>
      </c>
      <c r="AC33">
        <f t="shared" si="5"/>
        <v>3</v>
      </c>
      <c r="AD33" t="e">
        <f t="shared" si="6"/>
        <v>#N/A</v>
      </c>
      <c r="AE33" t="e">
        <f t="shared" si="7"/>
        <v>#N/A</v>
      </c>
      <c r="AF33" t="e">
        <f t="shared" si="8"/>
        <v>#N/A</v>
      </c>
      <c r="AG33" t="e">
        <f t="shared" si="9"/>
        <v>#N/A</v>
      </c>
      <c r="AH33">
        <f t="shared" si="10"/>
        <v>3</v>
      </c>
      <c r="AI33" t="e">
        <f t="shared" si="11"/>
        <v>#N/A</v>
      </c>
      <c r="AJ33">
        <f t="shared" si="12"/>
        <v>8</v>
      </c>
      <c r="AK33" t="e">
        <f t="shared" si="13"/>
        <v>#N/A</v>
      </c>
    </row>
    <row r="34" spans="1:37" x14ac:dyDescent="0.3">
      <c r="A34" t="s">
        <v>178</v>
      </c>
      <c r="B34" t="s">
        <v>178</v>
      </c>
      <c r="C34" t="s">
        <v>145</v>
      </c>
      <c r="D34">
        <v>1</v>
      </c>
      <c r="E34" t="s">
        <v>99</v>
      </c>
      <c r="F34" t="s">
        <v>145</v>
      </c>
      <c r="G34">
        <v>9</v>
      </c>
      <c r="H34">
        <v>1</v>
      </c>
      <c r="I34">
        <v>5</v>
      </c>
      <c r="J34">
        <v>0</v>
      </c>
      <c r="K34">
        <v>0</v>
      </c>
      <c r="L34">
        <v>0</v>
      </c>
      <c r="M34">
        <v>0</v>
      </c>
      <c r="N34">
        <v>0</v>
      </c>
      <c r="O34">
        <v>0</v>
      </c>
      <c r="P34">
        <v>0</v>
      </c>
      <c r="Q34">
        <v>0</v>
      </c>
      <c r="R34">
        <v>0</v>
      </c>
      <c r="S34">
        <v>0</v>
      </c>
      <c r="T34" t="s">
        <v>29</v>
      </c>
      <c r="U34" t="s">
        <v>29</v>
      </c>
      <c r="V34" t="s">
        <v>320</v>
      </c>
      <c r="W34" s="6">
        <f t="shared" ref="W34:W65" si="14">IF($V34="No","",ROUND((I34*w_Damage + N34*w_Poison + P34*w_Weaken*w_Horizon)*MIN(1+(G34-1)*w_OccEnemy,w_MaxEnemies) + (J34*w_Heal + K34*w_Shield + L34*w_Block + M34*w_Parry + O34*w_Strength*w_Horizon + S34*w_Combo)*MIN(1+(H34-1)*w_OccAlly,w_MaxAllies) + Q34*w_Draw + R34*w_Move,2))</f>
        <v>20</v>
      </c>
      <c r="X34" s="6">
        <f t="shared" ref="X34:X65" si="15">IF(W34="","",ROUND(W34/MAX(D34,1),2))</f>
        <v>20</v>
      </c>
      <c r="Y34" s="6">
        <f t="shared" ref="Y34:Y65" si="16">IF($V34="No","",ROUND((curve_Base+curve_Slope*D34)*IFERROR(VLOOKUP(E34,rarity_Mult,2,FALSE),1),2))</f>
        <v>10.8</v>
      </c>
      <c r="Z34" s="6">
        <f t="shared" ref="Z34:Z65" si="17">IF(OR(W34="",Y34=""),"",ROUND(W34-Y34,2))</f>
        <v>9.1999999999999993</v>
      </c>
      <c r="AA34" t="str">
        <f t="shared" ref="AA34:AA65" si="18">IF(Z34="","",IF($V34="Partial","RIDER",IF(ABS(Z34)&lt;=Y34*tol_Pct,"OK",IF(Z34&gt;0,"OVER","UNDER"))))</f>
        <v>OVER</v>
      </c>
      <c r="AB34" t="s">
        <v>29</v>
      </c>
      <c r="AC34" t="e">
        <f t="shared" ref="AC34:AC65" si="19">IF(AND($V34&lt;&gt;"No",$E34="Common",NOT(ISNUMBER(SEARCH("Ideas",$F34)))),$W34,NA())</f>
        <v>#N/A</v>
      </c>
      <c r="AD34" t="e">
        <f t="shared" ref="AD34:AD65" si="20">IF(AND($V34&lt;&gt;"No",$E34="Uncommon",NOT(ISNUMBER(SEARCH("Ideas",$F34)))),$W34,NA())</f>
        <v>#N/A</v>
      </c>
      <c r="AE34">
        <f t="shared" ref="AE34:AE65" si="21">IF(AND($V34&lt;&gt;"No",$E34="Rare",NOT(ISNUMBER(SEARCH("Ideas",$F34)))),$W34,NA())</f>
        <v>20</v>
      </c>
      <c r="AF34" t="e">
        <f t="shared" ref="AF34:AF65" si="22">IF(AND($V34&lt;&gt;"No",$E34="Legendary",NOT(ISNUMBER(SEARCH("Ideas",$F34)))),$W34,NA())</f>
        <v>#N/A</v>
      </c>
      <c r="AG34" t="e">
        <f t="shared" ref="AG34:AG65" si="23">IF(AND($V34&lt;&gt;"No",ISNUMBER(SEARCH("Knight",$C34)),NOT(ISNUMBER(SEARCH("Ideas",$F34)))),$X34,NA())</f>
        <v>#N/A</v>
      </c>
      <c r="AH34">
        <f t="shared" ref="AH34:AH65" si="24">IF(AND($V34&lt;&gt;"No",ISNUMBER(SEARCH("Mage",$C34)),NOT(ISNUMBER(SEARCH("Ideas",$F34)))),$X34,NA())</f>
        <v>20</v>
      </c>
      <c r="AI34" t="e">
        <f t="shared" ref="AI34:AI65" si="25">IF(AND($V34&lt;&gt;"No",ISNUMBER(SEARCH("Rogue",$C34)),NOT(ISNUMBER(SEARCH("Ideas",$F34)))),$X34,NA())</f>
        <v>#N/A</v>
      </c>
      <c r="AJ34">
        <f t="shared" ref="AJ34:AJ65" si="26">IF($V34&lt;&gt;"No",$Y34,NA())</f>
        <v>10.8</v>
      </c>
      <c r="AK34" t="e">
        <f t="shared" ref="AK34:AK65" si="27">IF(AND($V34&lt;&gt;"No",ISNUMBER(SEARCH("Ideas",$F34))),$W34,NA())</f>
        <v>#N/A</v>
      </c>
    </row>
    <row r="35" spans="1:37" x14ac:dyDescent="0.3">
      <c r="A35" t="s">
        <v>182</v>
      </c>
      <c r="B35" t="s">
        <v>182</v>
      </c>
      <c r="C35" t="s">
        <v>145</v>
      </c>
      <c r="D35">
        <v>1</v>
      </c>
      <c r="E35" t="s">
        <v>44</v>
      </c>
      <c r="F35" t="s">
        <v>145</v>
      </c>
      <c r="G35">
        <v>1</v>
      </c>
      <c r="H35">
        <v>1</v>
      </c>
      <c r="I35">
        <v>5</v>
      </c>
      <c r="J35">
        <v>0</v>
      </c>
      <c r="K35">
        <v>0</v>
      </c>
      <c r="L35">
        <v>0</v>
      </c>
      <c r="M35">
        <v>0</v>
      </c>
      <c r="N35">
        <v>0</v>
      </c>
      <c r="O35">
        <v>0</v>
      </c>
      <c r="P35">
        <v>0</v>
      </c>
      <c r="Q35">
        <v>0</v>
      </c>
      <c r="R35">
        <v>0</v>
      </c>
      <c r="S35">
        <v>0</v>
      </c>
      <c r="T35" t="s">
        <v>29</v>
      </c>
      <c r="U35" t="s">
        <v>29</v>
      </c>
      <c r="V35" t="s">
        <v>320</v>
      </c>
      <c r="W35" s="6">
        <f t="shared" si="14"/>
        <v>5</v>
      </c>
      <c r="X35" s="6">
        <f t="shared" si="15"/>
        <v>5</v>
      </c>
      <c r="Y35" s="6">
        <f t="shared" si="16"/>
        <v>8</v>
      </c>
      <c r="Z35" s="6">
        <f t="shared" si="17"/>
        <v>-3</v>
      </c>
      <c r="AA35" t="str">
        <f t="shared" si="18"/>
        <v>UNDER</v>
      </c>
      <c r="AB35" t="s">
        <v>29</v>
      </c>
      <c r="AC35">
        <f t="shared" si="19"/>
        <v>5</v>
      </c>
      <c r="AD35" t="e">
        <f t="shared" si="20"/>
        <v>#N/A</v>
      </c>
      <c r="AE35" t="e">
        <f t="shared" si="21"/>
        <v>#N/A</v>
      </c>
      <c r="AF35" t="e">
        <f t="shared" si="22"/>
        <v>#N/A</v>
      </c>
      <c r="AG35" t="e">
        <f t="shared" si="23"/>
        <v>#N/A</v>
      </c>
      <c r="AH35">
        <f t="shared" si="24"/>
        <v>5</v>
      </c>
      <c r="AI35" t="e">
        <f t="shared" si="25"/>
        <v>#N/A</v>
      </c>
      <c r="AJ35">
        <f t="shared" si="26"/>
        <v>8</v>
      </c>
      <c r="AK35" t="e">
        <f t="shared" si="27"/>
        <v>#N/A</v>
      </c>
    </row>
    <row r="36" spans="1:37" x14ac:dyDescent="0.3">
      <c r="A36" t="s">
        <v>184</v>
      </c>
      <c r="B36" t="s">
        <v>184</v>
      </c>
      <c r="C36" t="s">
        <v>145</v>
      </c>
      <c r="D36">
        <v>1</v>
      </c>
      <c r="E36" t="s">
        <v>99</v>
      </c>
      <c r="F36" t="s">
        <v>145</v>
      </c>
      <c r="G36">
        <v>5</v>
      </c>
      <c r="H36">
        <v>1</v>
      </c>
      <c r="I36">
        <v>4</v>
      </c>
      <c r="J36">
        <v>0</v>
      </c>
      <c r="K36">
        <v>0</v>
      </c>
      <c r="L36">
        <v>0</v>
      </c>
      <c r="M36">
        <v>0</v>
      </c>
      <c r="N36">
        <v>0</v>
      </c>
      <c r="O36">
        <v>0</v>
      </c>
      <c r="P36">
        <v>0</v>
      </c>
      <c r="Q36">
        <v>0</v>
      </c>
      <c r="R36">
        <v>0</v>
      </c>
      <c r="S36">
        <v>0</v>
      </c>
      <c r="T36" t="s">
        <v>29</v>
      </c>
      <c r="U36" t="s">
        <v>29</v>
      </c>
      <c r="V36" t="s">
        <v>320</v>
      </c>
      <c r="W36" s="6">
        <f t="shared" si="14"/>
        <v>12</v>
      </c>
      <c r="X36" s="6">
        <f t="shared" si="15"/>
        <v>12</v>
      </c>
      <c r="Y36" s="6">
        <f t="shared" si="16"/>
        <v>10.8</v>
      </c>
      <c r="Z36" s="6">
        <f t="shared" si="17"/>
        <v>1.2</v>
      </c>
      <c r="AA36" t="str">
        <f t="shared" si="18"/>
        <v>OK</v>
      </c>
      <c r="AB36" t="s">
        <v>29</v>
      </c>
      <c r="AC36" t="e">
        <f t="shared" si="19"/>
        <v>#N/A</v>
      </c>
      <c r="AD36" t="e">
        <f t="shared" si="20"/>
        <v>#N/A</v>
      </c>
      <c r="AE36">
        <f t="shared" si="21"/>
        <v>12</v>
      </c>
      <c r="AF36" t="e">
        <f t="shared" si="22"/>
        <v>#N/A</v>
      </c>
      <c r="AG36" t="e">
        <f t="shared" si="23"/>
        <v>#N/A</v>
      </c>
      <c r="AH36">
        <f t="shared" si="24"/>
        <v>12</v>
      </c>
      <c r="AI36" t="e">
        <f t="shared" si="25"/>
        <v>#N/A</v>
      </c>
      <c r="AJ36">
        <f t="shared" si="26"/>
        <v>10.8</v>
      </c>
      <c r="AK36" t="e">
        <f t="shared" si="27"/>
        <v>#N/A</v>
      </c>
    </row>
    <row r="37" spans="1:37" x14ac:dyDescent="0.3">
      <c r="A37" t="s">
        <v>187</v>
      </c>
      <c r="B37" t="s">
        <v>187</v>
      </c>
      <c r="C37" t="s">
        <v>145</v>
      </c>
      <c r="D37">
        <v>1</v>
      </c>
      <c r="E37" t="s">
        <v>99</v>
      </c>
      <c r="F37" t="s">
        <v>145</v>
      </c>
      <c r="G37">
        <v>1</v>
      </c>
      <c r="H37">
        <v>1</v>
      </c>
      <c r="I37">
        <v>5</v>
      </c>
      <c r="J37">
        <v>0</v>
      </c>
      <c r="K37">
        <v>0</v>
      </c>
      <c r="L37">
        <v>0</v>
      </c>
      <c r="M37">
        <v>0</v>
      </c>
      <c r="N37">
        <v>0</v>
      </c>
      <c r="O37">
        <v>0</v>
      </c>
      <c r="P37">
        <v>0</v>
      </c>
      <c r="Q37">
        <v>0</v>
      </c>
      <c r="R37">
        <v>0</v>
      </c>
      <c r="S37">
        <v>0</v>
      </c>
      <c r="T37" t="s">
        <v>29</v>
      </c>
      <c r="U37" t="s">
        <v>1056</v>
      </c>
      <c r="V37" t="s">
        <v>1138</v>
      </c>
      <c r="W37" s="6">
        <f t="shared" si="14"/>
        <v>5</v>
      </c>
      <c r="X37" s="6">
        <f t="shared" si="15"/>
        <v>5</v>
      </c>
      <c r="Y37" s="6">
        <f t="shared" si="16"/>
        <v>10.8</v>
      </c>
      <c r="Z37" s="6">
        <f t="shared" si="17"/>
        <v>-5.8</v>
      </c>
      <c r="AA37" t="str">
        <f t="shared" si="18"/>
        <v>RIDER</v>
      </c>
      <c r="AB37" t="s">
        <v>29</v>
      </c>
      <c r="AC37" t="e">
        <f t="shared" si="19"/>
        <v>#N/A</v>
      </c>
      <c r="AD37" t="e">
        <f t="shared" si="20"/>
        <v>#N/A</v>
      </c>
      <c r="AE37">
        <f t="shared" si="21"/>
        <v>5</v>
      </c>
      <c r="AF37" t="e">
        <f t="shared" si="22"/>
        <v>#N/A</v>
      </c>
      <c r="AG37" t="e">
        <f t="shared" si="23"/>
        <v>#N/A</v>
      </c>
      <c r="AH37">
        <f t="shared" si="24"/>
        <v>5</v>
      </c>
      <c r="AI37" t="e">
        <f t="shared" si="25"/>
        <v>#N/A</v>
      </c>
      <c r="AJ37">
        <f t="shared" si="26"/>
        <v>10.8</v>
      </c>
      <c r="AK37" t="e">
        <f t="shared" si="27"/>
        <v>#N/A</v>
      </c>
    </row>
    <row r="38" spans="1:37" x14ac:dyDescent="0.3">
      <c r="A38" t="s">
        <v>190</v>
      </c>
      <c r="B38" t="s">
        <v>190</v>
      </c>
      <c r="C38" t="s">
        <v>145</v>
      </c>
      <c r="D38">
        <v>1</v>
      </c>
      <c r="E38" t="s">
        <v>99</v>
      </c>
      <c r="F38" t="s">
        <v>145</v>
      </c>
      <c r="G38">
        <v>8</v>
      </c>
      <c r="H38">
        <v>1</v>
      </c>
      <c r="I38">
        <v>5</v>
      </c>
      <c r="J38">
        <v>0</v>
      </c>
      <c r="K38">
        <v>0</v>
      </c>
      <c r="L38">
        <v>0</v>
      </c>
      <c r="M38">
        <v>0</v>
      </c>
      <c r="N38">
        <v>0</v>
      </c>
      <c r="O38">
        <v>0</v>
      </c>
      <c r="P38">
        <v>0</v>
      </c>
      <c r="Q38">
        <v>0</v>
      </c>
      <c r="R38">
        <v>0</v>
      </c>
      <c r="S38">
        <v>0</v>
      </c>
      <c r="T38" t="s">
        <v>29</v>
      </c>
      <c r="U38" t="s">
        <v>29</v>
      </c>
      <c r="V38" t="s">
        <v>320</v>
      </c>
      <c r="W38" s="6">
        <f t="shared" si="14"/>
        <v>20</v>
      </c>
      <c r="X38" s="6">
        <f t="shared" si="15"/>
        <v>20</v>
      </c>
      <c r="Y38" s="6">
        <f t="shared" si="16"/>
        <v>10.8</v>
      </c>
      <c r="Z38" s="6">
        <f t="shared" si="17"/>
        <v>9.1999999999999993</v>
      </c>
      <c r="AA38" t="str">
        <f t="shared" si="18"/>
        <v>OVER</v>
      </c>
      <c r="AB38" t="s">
        <v>29</v>
      </c>
      <c r="AC38" t="e">
        <f t="shared" si="19"/>
        <v>#N/A</v>
      </c>
      <c r="AD38" t="e">
        <f t="shared" si="20"/>
        <v>#N/A</v>
      </c>
      <c r="AE38">
        <f t="shared" si="21"/>
        <v>20</v>
      </c>
      <c r="AF38" t="e">
        <f t="shared" si="22"/>
        <v>#N/A</v>
      </c>
      <c r="AG38" t="e">
        <f t="shared" si="23"/>
        <v>#N/A</v>
      </c>
      <c r="AH38">
        <f t="shared" si="24"/>
        <v>20</v>
      </c>
      <c r="AI38" t="e">
        <f t="shared" si="25"/>
        <v>#N/A</v>
      </c>
      <c r="AJ38">
        <f t="shared" si="26"/>
        <v>10.8</v>
      </c>
      <c r="AK38" t="e">
        <f t="shared" si="27"/>
        <v>#N/A</v>
      </c>
    </row>
    <row r="39" spans="1:37" x14ac:dyDescent="0.3">
      <c r="A39" t="s">
        <v>193</v>
      </c>
      <c r="B39" t="s">
        <v>193</v>
      </c>
      <c r="C39" t="s">
        <v>145</v>
      </c>
      <c r="D39">
        <v>2</v>
      </c>
      <c r="E39" t="s">
        <v>27</v>
      </c>
      <c r="F39" t="s">
        <v>145</v>
      </c>
      <c r="G39">
        <v>1</v>
      </c>
      <c r="H39">
        <v>1</v>
      </c>
      <c r="I39">
        <v>0</v>
      </c>
      <c r="J39">
        <v>0</v>
      </c>
      <c r="K39">
        <v>0</v>
      </c>
      <c r="L39">
        <v>0</v>
      </c>
      <c r="M39">
        <v>0</v>
      </c>
      <c r="N39">
        <v>0</v>
      </c>
      <c r="O39">
        <v>0</v>
      </c>
      <c r="P39">
        <v>0</v>
      </c>
      <c r="Q39">
        <v>0</v>
      </c>
      <c r="R39">
        <v>0</v>
      </c>
      <c r="S39">
        <v>0</v>
      </c>
      <c r="T39" t="s">
        <v>1140</v>
      </c>
      <c r="U39" t="s">
        <v>1135</v>
      </c>
      <c r="V39" t="s">
        <v>866</v>
      </c>
      <c r="W39" s="6" t="str">
        <f t="shared" si="14"/>
        <v/>
      </c>
      <c r="X39" s="6" t="str">
        <f t="shared" si="15"/>
        <v/>
      </c>
      <c r="Y39" s="6" t="str">
        <f t="shared" si="16"/>
        <v/>
      </c>
      <c r="Z39" s="6" t="str">
        <f t="shared" si="17"/>
        <v/>
      </c>
      <c r="AA39" t="str">
        <f t="shared" si="18"/>
        <v/>
      </c>
      <c r="AB39" t="s">
        <v>29</v>
      </c>
      <c r="AC39" t="e">
        <f t="shared" si="19"/>
        <v>#N/A</v>
      </c>
      <c r="AD39" t="e">
        <f t="shared" si="20"/>
        <v>#N/A</v>
      </c>
      <c r="AE39" t="e">
        <f t="shared" si="21"/>
        <v>#N/A</v>
      </c>
      <c r="AF39" t="e">
        <f t="shared" si="22"/>
        <v>#N/A</v>
      </c>
      <c r="AG39" t="e">
        <f t="shared" si="23"/>
        <v>#N/A</v>
      </c>
      <c r="AH39" t="e">
        <f t="shared" si="24"/>
        <v>#N/A</v>
      </c>
      <c r="AI39" t="e">
        <f t="shared" si="25"/>
        <v>#N/A</v>
      </c>
      <c r="AJ39" t="e">
        <f t="shared" si="26"/>
        <v>#N/A</v>
      </c>
      <c r="AK39" t="e">
        <f t="shared" si="27"/>
        <v>#N/A</v>
      </c>
    </row>
    <row r="40" spans="1:37" x14ac:dyDescent="0.3">
      <c r="A40" t="s">
        <v>197</v>
      </c>
      <c r="B40" t="s">
        <v>197</v>
      </c>
      <c r="C40" t="s">
        <v>145</v>
      </c>
      <c r="D40">
        <v>2</v>
      </c>
      <c r="E40" t="s">
        <v>27</v>
      </c>
      <c r="F40" t="s">
        <v>145</v>
      </c>
      <c r="G40">
        <v>1</v>
      </c>
      <c r="H40">
        <v>1</v>
      </c>
      <c r="I40">
        <v>0</v>
      </c>
      <c r="J40">
        <v>0</v>
      </c>
      <c r="K40">
        <v>0</v>
      </c>
      <c r="L40">
        <v>0</v>
      </c>
      <c r="M40">
        <v>0</v>
      </c>
      <c r="N40">
        <v>0</v>
      </c>
      <c r="O40">
        <v>0</v>
      </c>
      <c r="P40">
        <v>0</v>
      </c>
      <c r="Q40">
        <v>0</v>
      </c>
      <c r="R40">
        <v>0</v>
      </c>
      <c r="S40">
        <v>0</v>
      </c>
      <c r="T40" t="s">
        <v>1141</v>
      </c>
      <c r="U40" t="s">
        <v>1142</v>
      </c>
      <c r="V40" t="s">
        <v>866</v>
      </c>
      <c r="W40" s="6" t="str">
        <f t="shared" si="14"/>
        <v/>
      </c>
      <c r="X40" s="6" t="str">
        <f t="shared" si="15"/>
        <v/>
      </c>
      <c r="Y40" s="6" t="str">
        <f t="shared" si="16"/>
        <v/>
      </c>
      <c r="Z40" s="6" t="str">
        <f t="shared" si="17"/>
        <v/>
      </c>
      <c r="AA40" t="str">
        <f t="shared" si="18"/>
        <v/>
      </c>
      <c r="AB40" t="s">
        <v>29</v>
      </c>
      <c r="AC40" t="e">
        <f t="shared" si="19"/>
        <v>#N/A</v>
      </c>
      <c r="AD40" t="e">
        <f t="shared" si="20"/>
        <v>#N/A</v>
      </c>
      <c r="AE40" t="e">
        <f t="shared" si="21"/>
        <v>#N/A</v>
      </c>
      <c r="AF40" t="e">
        <f t="shared" si="22"/>
        <v>#N/A</v>
      </c>
      <c r="AG40" t="e">
        <f t="shared" si="23"/>
        <v>#N/A</v>
      </c>
      <c r="AH40" t="e">
        <f t="shared" si="24"/>
        <v>#N/A</v>
      </c>
      <c r="AI40" t="e">
        <f t="shared" si="25"/>
        <v>#N/A</v>
      </c>
      <c r="AJ40" t="e">
        <f t="shared" si="26"/>
        <v>#N/A</v>
      </c>
      <c r="AK40" t="e">
        <f t="shared" si="27"/>
        <v>#N/A</v>
      </c>
    </row>
    <row r="41" spans="1:37" x14ac:dyDescent="0.3">
      <c r="A41" t="s">
        <v>201</v>
      </c>
      <c r="B41" t="s">
        <v>201</v>
      </c>
      <c r="C41" t="s">
        <v>145</v>
      </c>
      <c r="D41">
        <v>2</v>
      </c>
      <c r="E41" t="s">
        <v>27</v>
      </c>
      <c r="F41" t="s">
        <v>145</v>
      </c>
      <c r="G41">
        <v>1</v>
      </c>
      <c r="H41">
        <v>1</v>
      </c>
      <c r="I41">
        <v>0</v>
      </c>
      <c r="J41">
        <v>0</v>
      </c>
      <c r="K41">
        <v>0</v>
      </c>
      <c r="L41">
        <v>0</v>
      </c>
      <c r="M41">
        <v>0</v>
      </c>
      <c r="N41">
        <v>0</v>
      </c>
      <c r="O41">
        <v>0</v>
      </c>
      <c r="P41">
        <v>0</v>
      </c>
      <c r="Q41">
        <v>0</v>
      </c>
      <c r="R41">
        <v>0</v>
      </c>
      <c r="S41">
        <v>0</v>
      </c>
      <c r="T41" t="s">
        <v>1143</v>
      </c>
      <c r="U41" t="s">
        <v>1135</v>
      </c>
      <c r="V41" t="s">
        <v>866</v>
      </c>
      <c r="W41" s="6" t="str">
        <f t="shared" si="14"/>
        <v/>
      </c>
      <c r="X41" s="6" t="str">
        <f t="shared" si="15"/>
        <v/>
      </c>
      <c r="Y41" s="6" t="str">
        <f t="shared" si="16"/>
        <v/>
      </c>
      <c r="Z41" s="6" t="str">
        <f t="shared" si="17"/>
        <v/>
      </c>
      <c r="AA41" t="str">
        <f t="shared" si="18"/>
        <v/>
      </c>
      <c r="AB41" t="s">
        <v>29</v>
      </c>
      <c r="AC41" t="e">
        <f t="shared" si="19"/>
        <v>#N/A</v>
      </c>
      <c r="AD41" t="e">
        <f t="shared" si="20"/>
        <v>#N/A</v>
      </c>
      <c r="AE41" t="e">
        <f t="shared" si="21"/>
        <v>#N/A</v>
      </c>
      <c r="AF41" t="e">
        <f t="shared" si="22"/>
        <v>#N/A</v>
      </c>
      <c r="AG41" t="e">
        <f t="shared" si="23"/>
        <v>#N/A</v>
      </c>
      <c r="AH41" t="e">
        <f t="shared" si="24"/>
        <v>#N/A</v>
      </c>
      <c r="AI41" t="e">
        <f t="shared" si="25"/>
        <v>#N/A</v>
      </c>
      <c r="AJ41" t="e">
        <f t="shared" si="26"/>
        <v>#N/A</v>
      </c>
      <c r="AK41" t="e">
        <f t="shared" si="27"/>
        <v>#N/A</v>
      </c>
    </row>
    <row r="42" spans="1:37" x14ac:dyDescent="0.3">
      <c r="A42" t="s">
        <v>205</v>
      </c>
      <c r="B42" t="s">
        <v>205</v>
      </c>
      <c r="C42" t="s">
        <v>145</v>
      </c>
      <c r="D42">
        <v>2</v>
      </c>
      <c r="E42" t="s">
        <v>27</v>
      </c>
      <c r="F42" t="s">
        <v>145</v>
      </c>
      <c r="G42">
        <v>1</v>
      </c>
      <c r="H42">
        <v>1</v>
      </c>
      <c r="I42">
        <v>0</v>
      </c>
      <c r="J42">
        <v>0</v>
      </c>
      <c r="K42">
        <v>0</v>
      </c>
      <c r="L42">
        <v>0</v>
      </c>
      <c r="M42">
        <v>0</v>
      </c>
      <c r="N42">
        <v>0</v>
      </c>
      <c r="O42">
        <v>0</v>
      </c>
      <c r="P42">
        <v>6</v>
      </c>
      <c r="Q42">
        <v>0</v>
      </c>
      <c r="R42">
        <v>0</v>
      </c>
      <c r="S42">
        <v>0</v>
      </c>
      <c r="T42" t="s">
        <v>1144</v>
      </c>
      <c r="U42" t="s">
        <v>29</v>
      </c>
      <c r="V42" t="s">
        <v>1138</v>
      </c>
      <c r="W42" s="6">
        <f t="shared" si="14"/>
        <v>18</v>
      </c>
      <c r="X42" s="6">
        <f t="shared" si="15"/>
        <v>9</v>
      </c>
      <c r="Y42" s="6">
        <f t="shared" si="16"/>
        <v>16.100000000000001</v>
      </c>
      <c r="Z42" s="6">
        <f t="shared" si="17"/>
        <v>1.9</v>
      </c>
      <c r="AA42" t="str">
        <f t="shared" si="18"/>
        <v>RIDER</v>
      </c>
      <c r="AB42" t="s">
        <v>29</v>
      </c>
      <c r="AC42" t="e">
        <f t="shared" si="19"/>
        <v>#N/A</v>
      </c>
      <c r="AD42">
        <f t="shared" si="20"/>
        <v>18</v>
      </c>
      <c r="AE42" t="e">
        <f t="shared" si="21"/>
        <v>#N/A</v>
      </c>
      <c r="AF42" t="e">
        <f t="shared" si="22"/>
        <v>#N/A</v>
      </c>
      <c r="AG42" t="e">
        <f t="shared" si="23"/>
        <v>#N/A</v>
      </c>
      <c r="AH42">
        <f t="shared" si="24"/>
        <v>9</v>
      </c>
      <c r="AI42" t="e">
        <f t="shared" si="25"/>
        <v>#N/A</v>
      </c>
      <c r="AJ42">
        <f t="shared" si="26"/>
        <v>16.100000000000001</v>
      </c>
      <c r="AK42" t="e">
        <f t="shared" si="27"/>
        <v>#N/A</v>
      </c>
    </row>
    <row r="43" spans="1:37" x14ac:dyDescent="0.3">
      <c r="A43" t="s">
        <v>211</v>
      </c>
      <c r="B43" t="s">
        <v>209</v>
      </c>
      <c r="C43" t="s">
        <v>145</v>
      </c>
      <c r="D43">
        <v>2</v>
      </c>
      <c r="E43" t="s">
        <v>27</v>
      </c>
      <c r="F43" t="s">
        <v>145</v>
      </c>
      <c r="G43">
        <v>1</v>
      </c>
      <c r="H43">
        <v>1</v>
      </c>
      <c r="I43">
        <v>0</v>
      </c>
      <c r="J43">
        <v>0</v>
      </c>
      <c r="K43">
        <v>0</v>
      </c>
      <c r="L43">
        <v>0</v>
      </c>
      <c r="M43">
        <v>0</v>
      </c>
      <c r="N43">
        <v>0</v>
      </c>
      <c r="O43">
        <v>0</v>
      </c>
      <c r="P43">
        <v>0</v>
      </c>
      <c r="Q43">
        <v>0</v>
      </c>
      <c r="R43">
        <v>0</v>
      </c>
      <c r="S43">
        <v>0</v>
      </c>
      <c r="T43" t="s">
        <v>29</v>
      </c>
      <c r="U43" t="s">
        <v>29</v>
      </c>
      <c r="V43" t="s">
        <v>866</v>
      </c>
      <c r="W43" s="6" t="str">
        <f t="shared" si="14"/>
        <v/>
      </c>
      <c r="X43" s="6" t="str">
        <f t="shared" si="15"/>
        <v/>
      </c>
      <c r="Y43" s="6" t="str">
        <f t="shared" si="16"/>
        <v/>
      </c>
      <c r="Z43" s="6" t="str">
        <f t="shared" si="17"/>
        <v/>
      </c>
      <c r="AA43" t="str">
        <f t="shared" si="18"/>
        <v/>
      </c>
      <c r="AB43" t="s">
        <v>1145</v>
      </c>
      <c r="AC43" t="e">
        <f t="shared" si="19"/>
        <v>#N/A</v>
      </c>
      <c r="AD43" t="e">
        <f t="shared" si="20"/>
        <v>#N/A</v>
      </c>
      <c r="AE43" t="e">
        <f t="shared" si="21"/>
        <v>#N/A</v>
      </c>
      <c r="AF43" t="e">
        <f t="shared" si="22"/>
        <v>#N/A</v>
      </c>
      <c r="AG43" t="e">
        <f t="shared" si="23"/>
        <v>#N/A</v>
      </c>
      <c r="AH43" t="e">
        <f t="shared" si="24"/>
        <v>#N/A</v>
      </c>
      <c r="AI43" t="e">
        <f t="shared" si="25"/>
        <v>#N/A</v>
      </c>
      <c r="AJ43" t="e">
        <f t="shared" si="26"/>
        <v>#N/A</v>
      </c>
      <c r="AK43" t="e">
        <f t="shared" si="27"/>
        <v>#N/A</v>
      </c>
    </row>
    <row r="44" spans="1:37" x14ac:dyDescent="0.3">
      <c r="A44" t="s">
        <v>215</v>
      </c>
      <c r="B44" t="s">
        <v>213</v>
      </c>
      <c r="C44" t="s">
        <v>145</v>
      </c>
      <c r="D44">
        <v>2</v>
      </c>
      <c r="E44" t="s">
        <v>99</v>
      </c>
      <c r="F44" t="s">
        <v>145</v>
      </c>
      <c r="G44">
        <v>3</v>
      </c>
      <c r="H44">
        <v>1</v>
      </c>
      <c r="I44">
        <v>8</v>
      </c>
      <c r="J44">
        <v>0</v>
      </c>
      <c r="K44">
        <v>0</v>
      </c>
      <c r="L44">
        <v>0</v>
      </c>
      <c r="M44">
        <v>0</v>
      </c>
      <c r="N44">
        <v>0</v>
      </c>
      <c r="O44">
        <v>0</v>
      </c>
      <c r="P44">
        <v>0</v>
      </c>
      <c r="Q44">
        <v>0</v>
      </c>
      <c r="R44">
        <v>0</v>
      </c>
      <c r="S44">
        <v>0</v>
      </c>
      <c r="T44" t="s">
        <v>29</v>
      </c>
      <c r="U44" t="s">
        <v>29</v>
      </c>
      <c r="V44" t="s">
        <v>320</v>
      </c>
      <c r="W44" s="6">
        <f t="shared" si="14"/>
        <v>16</v>
      </c>
      <c r="X44" s="6">
        <f t="shared" si="15"/>
        <v>8</v>
      </c>
      <c r="Y44" s="6">
        <f t="shared" si="16"/>
        <v>18.899999999999999</v>
      </c>
      <c r="Z44" s="6">
        <f t="shared" si="17"/>
        <v>-2.9</v>
      </c>
      <c r="AA44" t="str">
        <f t="shared" si="18"/>
        <v>OK</v>
      </c>
      <c r="AB44" t="s">
        <v>29</v>
      </c>
      <c r="AC44" t="e">
        <f t="shared" si="19"/>
        <v>#N/A</v>
      </c>
      <c r="AD44" t="e">
        <f t="shared" si="20"/>
        <v>#N/A</v>
      </c>
      <c r="AE44">
        <f t="shared" si="21"/>
        <v>16</v>
      </c>
      <c r="AF44" t="e">
        <f t="shared" si="22"/>
        <v>#N/A</v>
      </c>
      <c r="AG44" t="e">
        <f t="shared" si="23"/>
        <v>#N/A</v>
      </c>
      <c r="AH44">
        <f t="shared" si="24"/>
        <v>8</v>
      </c>
      <c r="AI44" t="e">
        <f t="shared" si="25"/>
        <v>#N/A</v>
      </c>
      <c r="AJ44">
        <f t="shared" si="26"/>
        <v>18.899999999999999</v>
      </c>
      <c r="AK44" t="e">
        <f t="shared" si="27"/>
        <v>#N/A</v>
      </c>
    </row>
    <row r="45" spans="1:37" x14ac:dyDescent="0.3">
      <c r="A45" t="s">
        <v>220</v>
      </c>
      <c r="B45" t="s">
        <v>218</v>
      </c>
      <c r="C45" t="s">
        <v>145</v>
      </c>
      <c r="D45">
        <v>2</v>
      </c>
      <c r="E45" t="s">
        <v>99</v>
      </c>
      <c r="F45" t="s">
        <v>145</v>
      </c>
      <c r="G45">
        <v>1</v>
      </c>
      <c r="H45">
        <v>3</v>
      </c>
      <c r="I45">
        <v>0</v>
      </c>
      <c r="J45">
        <v>0</v>
      </c>
      <c r="K45">
        <v>0</v>
      </c>
      <c r="L45">
        <v>0</v>
      </c>
      <c r="M45">
        <v>0</v>
      </c>
      <c r="N45">
        <v>0</v>
      </c>
      <c r="O45">
        <v>0</v>
      </c>
      <c r="P45">
        <v>0</v>
      </c>
      <c r="Q45">
        <v>0</v>
      </c>
      <c r="R45">
        <v>0</v>
      </c>
      <c r="S45">
        <v>0</v>
      </c>
      <c r="T45" t="s">
        <v>29</v>
      </c>
      <c r="U45" t="s">
        <v>220</v>
      </c>
      <c r="V45" t="s">
        <v>866</v>
      </c>
      <c r="W45" s="6" t="str">
        <f t="shared" si="14"/>
        <v/>
      </c>
      <c r="X45" s="6" t="str">
        <f t="shared" si="15"/>
        <v/>
      </c>
      <c r="Y45" s="6" t="str">
        <f t="shared" si="16"/>
        <v/>
      </c>
      <c r="Z45" s="6" t="str">
        <f t="shared" si="17"/>
        <v/>
      </c>
      <c r="AA45" t="str">
        <f t="shared" si="18"/>
        <v/>
      </c>
      <c r="AB45" t="s">
        <v>29</v>
      </c>
      <c r="AC45" t="e">
        <f t="shared" si="19"/>
        <v>#N/A</v>
      </c>
      <c r="AD45" t="e">
        <f t="shared" si="20"/>
        <v>#N/A</v>
      </c>
      <c r="AE45" t="e">
        <f t="shared" si="21"/>
        <v>#N/A</v>
      </c>
      <c r="AF45" t="e">
        <f t="shared" si="22"/>
        <v>#N/A</v>
      </c>
      <c r="AG45" t="e">
        <f t="shared" si="23"/>
        <v>#N/A</v>
      </c>
      <c r="AH45" t="e">
        <f t="shared" si="24"/>
        <v>#N/A</v>
      </c>
      <c r="AI45" t="e">
        <f t="shared" si="25"/>
        <v>#N/A</v>
      </c>
      <c r="AJ45" t="e">
        <f t="shared" si="26"/>
        <v>#N/A</v>
      </c>
      <c r="AK45" t="e">
        <f t="shared" si="27"/>
        <v>#N/A</v>
      </c>
    </row>
    <row r="46" spans="1:37" x14ac:dyDescent="0.3">
      <c r="A46" t="s">
        <v>225</v>
      </c>
      <c r="B46" t="s">
        <v>222</v>
      </c>
      <c r="C46" t="s">
        <v>145</v>
      </c>
      <c r="D46">
        <v>2</v>
      </c>
      <c r="E46" t="s">
        <v>99</v>
      </c>
      <c r="F46" t="s">
        <v>145</v>
      </c>
      <c r="G46">
        <v>1</v>
      </c>
      <c r="H46">
        <v>1</v>
      </c>
      <c r="I46">
        <v>0</v>
      </c>
      <c r="J46">
        <v>0</v>
      </c>
      <c r="K46">
        <v>0</v>
      </c>
      <c r="L46">
        <v>0</v>
      </c>
      <c r="M46">
        <v>0</v>
      </c>
      <c r="N46">
        <v>0</v>
      </c>
      <c r="O46">
        <v>0</v>
      </c>
      <c r="P46">
        <v>6</v>
      </c>
      <c r="Q46">
        <v>0</v>
      </c>
      <c r="R46">
        <v>0</v>
      </c>
      <c r="S46">
        <v>0</v>
      </c>
      <c r="T46" t="s">
        <v>1146</v>
      </c>
      <c r="U46" t="s">
        <v>29</v>
      </c>
      <c r="V46" t="s">
        <v>1138</v>
      </c>
      <c r="W46" s="6">
        <f t="shared" si="14"/>
        <v>18</v>
      </c>
      <c r="X46" s="6">
        <f t="shared" si="15"/>
        <v>9</v>
      </c>
      <c r="Y46" s="6">
        <f t="shared" si="16"/>
        <v>18.899999999999999</v>
      </c>
      <c r="Z46" s="6">
        <f t="shared" si="17"/>
        <v>-0.9</v>
      </c>
      <c r="AA46" t="str">
        <f t="shared" si="18"/>
        <v>RIDER</v>
      </c>
      <c r="AB46" t="s">
        <v>29</v>
      </c>
      <c r="AC46" t="e">
        <f t="shared" si="19"/>
        <v>#N/A</v>
      </c>
      <c r="AD46" t="e">
        <f t="shared" si="20"/>
        <v>#N/A</v>
      </c>
      <c r="AE46">
        <f t="shared" si="21"/>
        <v>18</v>
      </c>
      <c r="AF46" t="e">
        <f t="shared" si="22"/>
        <v>#N/A</v>
      </c>
      <c r="AG46" t="e">
        <f t="shared" si="23"/>
        <v>#N/A</v>
      </c>
      <c r="AH46">
        <f t="shared" si="24"/>
        <v>9</v>
      </c>
      <c r="AI46" t="e">
        <f t="shared" si="25"/>
        <v>#N/A</v>
      </c>
      <c r="AJ46">
        <f t="shared" si="26"/>
        <v>18.899999999999999</v>
      </c>
      <c r="AK46" t="e">
        <f t="shared" si="27"/>
        <v>#N/A</v>
      </c>
    </row>
    <row r="47" spans="1:37" x14ac:dyDescent="0.3">
      <c r="A47" t="s">
        <v>227</v>
      </c>
      <c r="B47" t="s">
        <v>227</v>
      </c>
      <c r="C47" t="s">
        <v>145</v>
      </c>
      <c r="D47">
        <v>3</v>
      </c>
      <c r="E47" t="s">
        <v>99</v>
      </c>
      <c r="F47" t="s">
        <v>145</v>
      </c>
      <c r="G47">
        <v>1</v>
      </c>
      <c r="H47">
        <v>1</v>
      </c>
      <c r="I47">
        <v>0</v>
      </c>
      <c r="J47">
        <v>0</v>
      </c>
      <c r="K47">
        <v>0</v>
      </c>
      <c r="L47">
        <v>0</v>
      </c>
      <c r="M47">
        <v>0</v>
      </c>
      <c r="N47">
        <v>0</v>
      </c>
      <c r="O47">
        <v>0</v>
      </c>
      <c r="P47">
        <v>0</v>
      </c>
      <c r="Q47">
        <v>0</v>
      </c>
      <c r="R47">
        <v>0</v>
      </c>
      <c r="S47">
        <v>0</v>
      </c>
      <c r="T47" t="s">
        <v>1147</v>
      </c>
      <c r="U47" t="s">
        <v>1131</v>
      </c>
      <c r="V47" t="s">
        <v>866</v>
      </c>
      <c r="W47" s="6" t="str">
        <f t="shared" si="14"/>
        <v/>
      </c>
      <c r="X47" s="6" t="str">
        <f t="shared" si="15"/>
        <v/>
      </c>
      <c r="Y47" s="6" t="str">
        <f t="shared" si="16"/>
        <v/>
      </c>
      <c r="Z47" s="6" t="str">
        <f t="shared" si="17"/>
        <v/>
      </c>
      <c r="AA47" t="str">
        <f t="shared" si="18"/>
        <v/>
      </c>
      <c r="AB47" t="s">
        <v>29</v>
      </c>
      <c r="AC47" t="e">
        <f t="shared" si="19"/>
        <v>#N/A</v>
      </c>
      <c r="AD47" t="e">
        <f t="shared" si="20"/>
        <v>#N/A</v>
      </c>
      <c r="AE47" t="e">
        <f t="shared" si="21"/>
        <v>#N/A</v>
      </c>
      <c r="AF47" t="e">
        <f t="shared" si="22"/>
        <v>#N/A</v>
      </c>
      <c r="AG47" t="e">
        <f t="shared" si="23"/>
        <v>#N/A</v>
      </c>
      <c r="AH47" t="e">
        <f t="shared" si="24"/>
        <v>#N/A</v>
      </c>
      <c r="AI47" t="e">
        <f t="shared" si="25"/>
        <v>#N/A</v>
      </c>
      <c r="AJ47" t="e">
        <f t="shared" si="26"/>
        <v>#N/A</v>
      </c>
      <c r="AK47" t="e">
        <f t="shared" si="27"/>
        <v>#N/A</v>
      </c>
    </row>
    <row r="48" spans="1:37" x14ac:dyDescent="0.3">
      <c r="A48" t="s">
        <v>231</v>
      </c>
      <c r="B48" t="s">
        <v>231</v>
      </c>
      <c r="C48" t="s">
        <v>145</v>
      </c>
      <c r="D48">
        <v>3</v>
      </c>
      <c r="E48" t="s">
        <v>99</v>
      </c>
      <c r="F48" t="s">
        <v>145</v>
      </c>
      <c r="G48">
        <v>1</v>
      </c>
      <c r="H48">
        <v>1</v>
      </c>
      <c r="I48">
        <v>0</v>
      </c>
      <c r="J48">
        <v>0</v>
      </c>
      <c r="K48">
        <v>0</v>
      </c>
      <c r="L48">
        <v>0</v>
      </c>
      <c r="M48">
        <v>0</v>
      </c>
      <c r="N48">
        <v>0</v>
      </c>
      <c r="O48">
        <v>0</v>
      </c>
      <c r="P48">
        <v>0</v>
      </c>
      <c r="Q48">
        <v>0</v>
      </c>
      <c r="R48">
        <v>0</v>
      </c>
      <c r="S48">
        <v>0</v>
      </c>
      <c r="T48" t="s">
        <v>1148</v>
      </c>
      <c r="U48" t="s">
        <v>1131</v>
      </c>
      <c r="V48" t="s">
        <v>866</v>
      </c>
      <c r="W48" s="6" t="str">
        <f t="shared" si="14"/>
        <v/>
      </c>
      <c r="X48" s="6" t="str">
        <f t="shared" si="15"/>
        <v/>
      </c>
      <c r="Y48" s="6" t="str">
        <f t="shared" si="16"/>
        <v/>
      </c>
      <c r="Z48" s="6" t="str">
        <f t="shared" si="17"/>
        <v/>
      </c>
      <c r="AA48" t="str">
        <f t="shared" si="18"/>
        <v/>
      </c>
      <c r="AB48" t="s">
        <v>29</v>
      </c>
      <c r="AC48" t="e">
        <f t="shared" si="19"/>
        <v>#N/A</v>
      </c>
      <c r="AD48" t="e">
        <f t="shared" si="20"/>
        <v>#N/A</v>
      </c>
      <c r="AE48" t="e">
        <f t="shared" si="21"/>
        <v>#N/A</v>
      </c>
      <c r="AF48" t="e">
        <f t="shared" si="22"/>
        <v>#N/A</v>
      </c>
      <c r="AG48" t="e">
        <f t="shared" si="23"/>
        <v>#N/A</v>
      </c>
      <c r="AH48" t="e">
        <f t="shared" si="24"/>
        <v>#N/A</v>
      </c>
      <c r="AI48" t="e">
        <f t="shared" si="25"/>
        <v>#N/A</v>
      </c>
      <c r="AJ48" t="e">
        <f t="shared" si="26"/>
        <v>#N/A</v>
      </c>
      <c r="AK48" t="e">
        <f t="shared" si="27"/>
        <v>#N/A</v>
      </c>
    </row>
    <row r="49" spans="1:37" x14ac:dyDescent="0.3">
      <c r="A49" t="s">
        <v>238</v>
      </c>
      <c r="B49" t="s">
        <v>235</v>
      </c>
      <c r="C49" t="s">
        <v>145</v>
      </c>
      <c r="D49">
        <v>3</v>
      </c>
      <c r="E49" t="s">
        <v>99</v>
      </c>
      <c r="F49" t="s">
        <v>145</v>
      </c>
      <c r="G49">
        <v>1</v>
      </c>
      <c r="H49">
        <v>1</v>
      </c>
      <c r="I49">
        <v>0</v>
      </c>
      <c r="J49">
        <v>0</v>
      </c>
      <c r="K49">
        <v>0</v>
      </c>
      <c r="L49">
        <v>0</v>
      </c>
      <c r="M49">
        <v>0</v>
      </c>
      <c r="N49">
        <v>0</v>
      </c>
      <c r="O49">
        <v>0</v>
      </c>
      <c r="P49">
        <v>0</v>
      </c>
      <c r="Q49">
        <v>0</v>
      </c>
      <c r="R49">
        <v>0</v>
      </c>
      <c r="S49">
        <v>0</v>
      </c>
      <c r="T49" t="s">
        <v>107</v>
      </c>
      <c r="U49" t="s">
        <v>107</v>
      </c>
      <c r="V49" t="s">
        <v>866</v>
      </c>
      <c r="W49" s="6" t="str">
        <f t="shared" si="14"/>
        <v/>
      </c>
      <c r="X49" s="6" t="str">
        <f t="shared" si="15"/>
        <v/>
      </c>
      <c r="Y49" s="6" t="str">
        <f t="shared" si="16"/>
        <v/>
      </c>
      <c r="Z49" s="6" t="str">
        <f t="shared" si="17"/>
        <v/>
      </c>
      <c r="AA49" t="str">
        <f t="shared" si="18"/>
        <v/>
      </c>
      <c r="AB49" t="s">
        <v>29</v>
      </c>
      <c r="AC49" t="e">
        <f t="shared" si="19"/>
        <v>#N/A</v>
      </c>
      <c r="AD49" t="e">
        <f t="shared" si="20"/>
        <v>#N/A</v>
      </c>
      <c r="AE49" t="e">
        <f t="shared" si="21"/>
        <v>#N/A</v>
      </c>
      <c r="AF49" t="e">
        <f t="shared" si="22"/>
        <v>#N/A</v>
      </c>
      <c r="AG49" t="e">
        <f t="shared" si="23"/>
        <v>#N/A</v>
      </c>
      <c r="AH49" t="e">
        <f t="shared" si="24"/>
        <v>#N/A</v>
      </c>
      <c r="AI49" t="e">
        <f t="shared" si="25"/>
        <v>#N/A</v>
      </c>
      <c r="AJ49" t="e">
        <f t="shared" si="26"/>
        <v>#N/A</v>
      </c>
      <c r="AK49" t="e">
        <f t="shared" si="27"/>
        <v>#N/A</v>
      </c>
    </row>
    <row r="50" spans="1:37" x14ac:dyDescent="0.3">
      <c r="A50" t="s">
        <v>240</v>
      </c>
      <c r="B50" t="s">
        <v>240</v>
      </c>
      <c r="C50" t="s">
        <v>145</v>
      </c>
      <c r="D50">
        <v>0</v>
      </c>
      <c r="E50" t="s">
        <v>27</v>
      </c>
      <c r="F50" t="s">
        <v>145</v>
      </c>
      <c r="G50">
        <v>1</v>
      </c>
      <c r="H50">
        <v>1</v>
      </c>
      <c r="I50">
        <v>0</v>
      </c>
      <c r="J50">
        <v>0</v>
      </c>
      <c r="K50">
        <v>0</v>
      </c>
      <c r="L50">
        <v>0</v>
      </c>
      <c r="M50">
        <v>0</v>
      </c>
      <c r="N50">
        <v>0</v>
      </c>
      <c r="O50">
        <v>0</v>
      </c>
      <c r="P50">
        <v>0</v>
      </c>
      <c r="Q50">
        <v>1</v>
      </c>
      <c r="R50">
        <v>0</v>
      </c>
      <c r="S50">
        <v>0</v>
      </c>
      <c r="T50" t="s">
        <v>29</v>
      </c>
      <c r="U50" t="s">
        <v>29</v>
      </c>
      <c r="V50" t="s">
        <v>1138</v>
      </c>
      <c r="W50" s="6">
        <f t="shared" si="14"/>
        <v>3</v>
      </c>
      <c r="X50" s="6">
        <f t="shared" si="15"/>
        <v>3</v>
      </c>
      <c r="Y50" s="6">
        <f t="shared" si="16"/>
        <v>2.2999999999999998</v>
      </c>
      <c r="Z50" s="6">
        <f t="shared" si="17"/>
        <v>0.7</v>
      </c>
      <c r="AA50" t="str">
        <f t="shared" si="18"/>
        <v>RIDER</v>
      </c>
      <c r="AB50" t="s">
        <v>29</v>
      </c>
      <c r="AC50" t="e">
        <f t="shared" si="19"/>
        <v>#N/A</v>
      </c>
      <c r="AD50">
        <f t="shared" si="20"/>
        <v>3</v>
      </c>
      <c r="AE50" t="e">
        <f t="shared" si="21"/>
        <v>#N/A</v>
      </c>
      <c r="AF50" t="e">
        <f t="shared" si="22"/>
        <v>#N/A</v>
      </c>
      <c r="AG50" t="e">
        <f t="shared" si="23"/>
        <v>#N/A</v>
      </c>
      <c r="AH50">
        <f t="shared" si="24"/>
        <v>3</v>
      </c>
      <c r="AI50" t="e">
        <f t="shared" si="25"/>
        <v>#N/A</v>
      </c>
      <c r="AJ50">
        <f t="shared" si="26"/>
        <v>2.2999999999999998</v>
      </c>
      <c r="AK50" t="e">
        <f t="shared" si="27"/>
        <v>#N/A</v>
      </c>
    </row>
    <row r="51" spans="1:37" x14ac:dyDescent="0.3">
      <c r="A51" t="s">
        <v>244</v>
      </c>
      <c r="B51" t="s">
        <v>244</v>
      </c>
      <c r="C51" t="s">
        <v>246</v>
      </c>
      <c r="D51">
        <v>1</v>
      </c>
      <c r="E51" t="s">
        <v>27</v>
      </c>
      <c r="F51" t="s">
        <v>246</v>
      </c>
      <c r="G51">
        <v>1</v>
      </c>
      <c r="H51">
        <v>1</v>
      </c>
      <c r="I51">
        <v>0</v>
      </c>
      <c r="J51">
        <v>0</v>
      </c>
      <c r="K51">
        <v>0</v>
      </c>
      <c r="L51">
        <v>0</v>
      </c>
      <c r="M51">
        <v>0</v>
      </c>
      <c r="N51">
        <v>0</v>
      </c>
      <c r="O51">
        <v>0</v>
      </c>
      <c r="P51">
        <v>0</v>
      </c>
      <c r="Q51">
        <v>0</v>
      </c>
      <c r="R51">
        <v>0</v>
      </c>
      <c r="S51">
        <v>0</v>
      </c>
      <c r="T51" t="s">
        <v>29</v>
      </c>
      <c r="U51" t="s">
        <v>244</v>
      </c>
      <c r="V51" t="s">
        <v>866</v>
      </c>
      <c r="W51" s="6" t="str">
        <f t="shared" si="14"/>
        <v/>
      </c>
      <c r="X51" s="6" t="str">
        <f t="shared" si="15"/>
        <v/>
      </c>
      <c r="Y51" s="6" t="str">
        <f t="shared" si="16"/>
        <v/>
      </c>
      <c r="Z51" s="6" t="str">
        <f t="shared" si="17"/>
        <v/>
      </c>
      <c r="AA51" t="str">
        <f t="shared" si="18"/>
        <v/>
      </c>
      <c r="AB51" t="s">
        <v>29</v>
      </c>
      <c r="AC51" t="e">
        <f t="shared" si="19"/>
        <v>#N/A</v>
      </c>
      <c r="AD51" t="e">
        <f t="shared" si="20"/>
        <v>#N/A</v>
      </c>
      <c r="AE51" t="e">
        <f t="shared" si="21"/>
        <v>#N/A</v>
      </c>
      <c r="AF51" t="e">
        <f t="shared" si="22"/>
        <v>#N/A</v>
      </c>
      <c r="AG51" t="e">
        <f t="shared" si="23"/>
        <v>#N/A</v>
      </c>
      <c r="AH51" t="e">
        <f t="shared" si="24"/>
        <v>#N/A</v>
      </c>
      <c r="AI51" t="e">
        <f t="shared" si="25"/>
        <v>#N/A</v>
      </c>
      <c r="AJ51" t="e">
        <f t="shared" si="26"/>
        <v>#N/A</v>
      </c>
      <c r="AK51" t="e">
        <f t="shared" si="27"/>
        <v>#N/A</v>
      </c>
    </row>
    <row r="52" spans="1:37" x14ac:dyDescent="0.3">
      <c r="A52" t="s">
        <v>249</v>
      </c>
      <c r="B52" t="s">
        <v>249</v>
      </c>
      <c r="C52" t="s">
        <v>246</v>
      </c>
      <c r="D52">
        <v>1</v>
      </c>
      <c r="E52" t="s">
        <v>27</v>
      </c>
      <c r="F52" t="s">
        <v>246</v>
      </c>
      <c r="G52">
        <v>1</v>
      </c>
      <c r="H52">
        <v>1</v>
      </c>
      <c r="I52">
        <v>0</v>
      </c>
      <c r="J52">
        <v>0</v>
      </c>
      <c r="K52">
        <v>0</v>
      </c>
      <c r="L52">
        <v>10</v>
      </c>
      <c r="M52">
        <v>0</v>
      </c>
      <c r="N52">
        <v>0</v>
      </c>
      <c r="O52">
        <v>0</v>
      </c>
      <c r="P52">
        <v>0</v>
      </c>
      <c r="Q52">
        <v>0</v>
      </c>
      <c r="R52">
        <v>0</v>
      </c>
      <c r="S52">
        <v>0</v>
      </c>
      <c r="T52" t="s">
        <v>29</v>
      </c>
      <c r="U52" t="s">
        <v>29</v>
      </c>
      <c r="V52" t="s">
        <v>320</v>
      </c>
      <c r="W52" s="6">
        <f t="shared" si="14"/>
        <v>9</v>
      </c>
      <c r="X52" s="6">
        <f t="shared" si="15"/>
        <v>9</v>
      </c>
      <c r="Y52" s="6">
        <f t="shared" si="16"/>
        <v>9.1999999999999993</v>
      </c>
      <c r="Z52" s="6">
        <f t="shared" si="17"/>
        <v>-0.2</v>
      </c>
      <c r="AA52" t="str">
        <f t="shared" si="18"/>
        <v>OK</v>
      </c>
      <c r="AB52" t="s">
        <v>29</v>
      </c>
      <c r="AC52" t="e">
        <f t="shared" si="19"/>
        <v>#N/A</v>
      </c>
      <c r="AD52">
        <f t="shared" si="20"/>
        <v>9</v>
      </c>
      <c r="AE52" t="e">
        <f t="shared" si="21"/>
        <v>#N/A</v>
      </c>
      <c r="AF52" t="e">
        <f t="shared" si="22"/>
        <v>#N/A</v>
      </c>
      <c r="AG52" t="e">
        <f t="shared" si="23"/>
        <v>#N/A</v>
      </c>
      <c r="AH52" t="e">
        <f t="shared" si="24"/>
        <v>#N/A</v>
      </c>
      <c r="AI52">
        <f t="shared" si="25"/>
        <v>9</v>
      </c>
      <c r="AJ52">
        <f t="shared" si="26"/>
        <v>9.1999999999999993</v>
      </c>
      <c r="AK52" t="e">
        <f t="shared" si="27"/>
        <v>#N/A</v>
      </c>
    </row>
    <row r="53" spans="1:37" x14ac:dyDescent="0.3">
      <c r="A53" t="s">
        <v>252</v>
      </c>
      <c r="B53" t="s">
        <v>252</v>
      </c>
      <c r="C53" t="s">
        <v>246</v>
      </c>
      <c r="D53">
        <v>1</v>
      </c>
      <c r="E53" t="s">
        <v>99</v>
      </c>
      <c r="F53" t="s">
        <v>246</v>
      </c>
      <c r="G53">
        <v>1</v>
      </c>
      <c r="H53">
        <v>1</v>
      </c>
      <c r="I53">
        <v>0</v>
      </c>
      <c r="J53">
        <v>0</v>
      </c>
      <c r="K53">
        <v>0</v>
      </c>
      <c r="L53">
        <v>0</v>
      </c>
      <c r="M53">
        <v>0</v>
      </c>
      <c r="N53">
        <v>0</v>
      </c>
      <c r="O53">
        <v>0</v>
      </c>
      <c r="P53">
        <v>0</v>
      </c>
      <c r="Q53">
        <v>0</v>
      </c>
      <c r="R53">
        <v>0</v>
      </c>
      <c r="S53">
        <v>0</v>
      </c>
      <c r="T53" t="s">
        <v>29</v>
      </c>
      <c r="U53" t="s">
        <v>252</v>
      </c>
      <c r="V53" t="s">
        <v>866</v>
      </c>
      <c r="W53" s="6" t="str">
        <f t="shared" si="14"/>
        <v/>
      </c>
      <c r="X53" s="6" t="str">
        <f t="shared" si="15"/>
        <v/>
      </c>
      <c r="Y53" s="6" t="str">
        <f t="shared" si="16"/>
        <v/>
      </c>
      <c r="Z53" s="6" t="str">
        <f t="shared" si="17"/>
        <v/>
      </c>
      <c r="AA53" t="str">
        <f t="shared" si="18"/>
        <v/>
      </c>
      <c r="AB53" t="s">
        <v>29</v>
      </c>
      <c r="AC53" t="e">
        <f t="shared" si="19"/>
        <v>#N/A</v>
      </c>
      <c r="AD53" t="e">
        <f t="shared" si="20"/>
        <v>#N/A</v>
      </c>
      <c r="AE53" t="e">
        <f t="shared" si="21"/>
        <v>#N/A</v>
      </c>
      <c r="AF53" t="e">
        <f t="shared" si="22"/>
        <v>#N/A</v>
      </c>
      <c r="AG53" t="e">
        <f t="shared" si="23"/>
        <v>#N/A</v>
      </c>
      <c r="AH53" t="e">
        <f t="shared" si="24"/>
        <v>#N/A</v>
      </c>
      <c r="AI53" t="e">
        <f t="shared" si="25"/>
        <v>#N/A</v>
      </c>
      <c r="AJ53" t="e">
        <f t="shared" si="26"/>
        <v>#N/A</v>
      </c>
      <c r="AK53" t="e">
        <f t="shared" si="27"/>
        <v>#N/A</v>
      </c>
    </row>
    <row r="54" spans="1:37" x14ac:dyDescent="0.3">
      <c r="A54" t="s">
        <v>256</v>
      </c>
      <c r="B54" t="s">
        <v>256</v>
      </c>
      <c r="C54" t="s">
        <v>246</v>
      </c>
      <c r="D54">
        <v>1</v>
      </c>
      <c r="E54" t="s">
        <v>27</v>
      </c>
      <c r="F54" t="s">
        <v>246</v>
      </c>
      <c r="G54">
        <v>1</v>
      </c>
      <c r="H54">
        <v>1</v>
      </c>
      <c r="I54">
        <v>0</v>
      </c>
      <c r="J54">
        <v>0</v>
      </c>
      <c r="K54">
        <v>0</v>
      </c>
      <c r="L54">
        <v>0</v>
      </c>
      <c r="M54">
        <v>0</v>
      </c>
      <c r="N54">
        <v>0</v>
      </c>
      <c r="O54">
        <v>0</v>
      </c>
      <c r="P54">
        <v>0</v>
      </c>
      <c r="Q54">
        <v>0</v>
      </c>
      <c r="R54">
        <v>0</v>
      </c>
      <c r="S54">
        <v>0</v>
      </c>
      <c r="T54" t="s">
        <v>29</v>
      </c>
      <c r="U54" t="s">
        <v>1079</v>
      </c>
      <c r="V54" t="s">
        <v>866</v>
      </c>
      <c r="W54" s="6" t="str">
        <f t="shared" si="14"/>
        <v/>
      </c>
      <c r="X54" s="6" t="str">
        <f t="shared" si="15"/>
        <v/>
      </c>
      <c r="Y54" s="6" t="str">
        <f t="shared" si="16"/>
        <v/>
      </c>
      <c r="Z54" s="6" t="str">
        <f t="shared" si="17"/>
        <v/>
      </c>
      <c r="AA54" t="str">
        <f t="shared" si="18"/>
        <v/>
      </c>
      <c r="AB54" t="s">
        <v>29</v>
      </c>
      <c r="AC54" t="e">
        <f t="shared" si="19"/>
        <v>#N/A</v>
      </c>
      <c r="AD54" t="e">
        <f t="shared" si="20"/>
        <v>#N/A</v>
      </c>
      <c r="AE54" t="e">
        <f t="shared" si="21"/>
        <v>#N/A</v>
      </c>
      <c r="AF54" t="e">
        <f t="shared" si="22"/>
        <v>#N/A</v>
      </c>
      <c r="AG54" t="e">
        <f t="shared" si="23"/>
        <v>#N/A</v>
      </c>
      <c r="AH54" t="e">
        <f t="shared" si="24"/>
        <v>#N/A</v>
      </c>
      <c r="AI54" t="e">
        <f t="shared" si="25"/>
        <v>#N/A</v>
      </c>
      <c r="AJ54" t="e">
        <f t="shared" si="26"/>
        <v>#N/A</v>
      </c>
      <c r="AK54" t="e">
        <f t="shared" si="27"/>
        <v>#N/A</v>
      </c>
    </row>
    <row r="55" spans="1:37" x14ac:dyDescent="0.3">
      <c r="A55" t="s">
        <v>261</v>
      </c>
      <c r="B55" t="s">
        <v>261</v>
      </c>
      <c r="C55" t="s">
        <v>246</v>
      </c>
      <c r="D55">
        <v>1</v>
      </c>
      <c r="E55" t="s">
        <v>27</v>
      </c>
      <c r="F55" t="s">
        <v>246</v>
      </c>
      <c r="G55">
        <v>1</v>
      </c>
      <c r="H55">
        <v>1</v>
      </c>
      <c r="I55">
        <v>0</v>
      </c>
      <c r="J55">
        <v>0</v>
      </c>
      <c r="K55">
        <v>0</v>
      </c>
      <c r="L55">
        <v>0</v>
      </c>
      <c r="M55">
        <v>0</v>
      </c>
      <c r="N55">
        <v>0</v>
      </c>
      <c r="O55">
        <v>0</v>
      </c>
      <c r="P55">
        <v>2</v>
      </c>
      <c r="Q55">
        <v>0</v>
      </c>
      <c r="R55">
        <v>0</v>
      </c>
      <c r="S55">
        <v>0</v>
      </c>
      <c r="T55" t="s">
        <v>29</v>
      </c>
      <c r="U55" t="s">
        <v>29</v>
      </c>
      <c r="V55" t="s">
        <v>320</v>
      </c>
      <c r="W55" s="6">
        <f t="shared" si="14"/>
        <v>6</v>
      </c>
      <c r="X55" s="6">
        <f t="shared" si="15"/>
        <v>6</v>
      </c>
      <c r="Y55" s="6">
        <f t="shared" si="16"/>
        <v>9.1999999999999993</v>
      </c>
      <c r="Z55" s="6">
        <f t="shared" si="17"/>
        <v>-3.2</v>
      </c>
      <c r="AA55" t="str">
        <f t="shared" si="18"/>
        <v>UNDER</v>
      </c>
      <c r="AB55" t="s">
        <v>29</v>
      </c>
      <c r="AC55" t="e">
        <f t="shared" si="19"/>
        <v>#N/A</v>
      </c>
      <c r="AD55">
        <f t="shared" si="20"/>
        <v>6</v>
      </c>
      <c r="AE55" t="e">
        <f t="shared" si="21"/>
        <v>#N/A</v>
      </c>
      <c r="AF55" t="e">
        <f t="shared" si="22"/>
        <v>#N/A</v>
      </c>
      <c r="AG55" t="e">
        <f t="shared" si="23"/>
        <v>#N/A</v>
      </c>
      <c r="AH55" t="e">
        <f t="shared" si="24"/>
        <v>#N/A</v>
      </c>
      <c r="AI55">
        <f t="shared" si="25"/>
        <v>6</v>
      </c>
      <c r="AJ55">
        <f t="shared" si="26"/>
        <v>9.1999999999999993</v>
      </c>
      <c r="AK55" t="e">
        <f t="shared" si="27"/>
        <v>#N/A</v>
      </c>
    </row>
    <row r="56" spans="1:37" x14ac:dyDescent="0.3">
      <c r="A56" t="s">
        <v>265</v>
      </c>
      <c r="B56" t="s">
        <v>265</v>
      </c>
      <c r="C56" t="s">
        <v>246</v>
      </c>
      <c r="D56">
        <v>0</v>
      </c>
      <c r="E56" t="s">
        <v>27</v>
      </c>
      <c r="F56" t="s">
        <v>246</v>
      </c>
      <c r="G56">
        <v>1</v>
      </c>
      <c r="H56">
        <v>1</v>
      </c>
      <c r="I56">
        <v>3</v>
      </c>
      <c r="J56">
        <v>0</v>
      </c>
      <c r="K56">
        <v>0</v>
      </c>
      <c r="L56">
        <v>0</v>
      </c>
      <c r="M56">
        <v>0</v>
      </c>
      <c r="N56">
        <v>0</v>
      </c>
      <c r="O56">
        <v>0</v>
      </c>
      <c r="P56">
        <v>0</v>
      </c>
      <c r="Q56">
        <v>0</v>
      </c>
      <c r="R56">
        <v>0</v>
      </c>
      <c r="S56">
        <v>0</v>
      </c>
      <c r="T56" t="s">
        <v>29</v>
      </c>
      <c r="U56" t="s">
        <v>29</v>
      </c>
      <c r="V56" t="s">
        <v>320</v>
      </c>
      <c r="W56" s="6">
        <f t="shared" si="14"/>
        <v>3</v>
      </c>
      <c r="X56" s="6">
        <f t="shared" si="15"/>
        <v>3</v>
      </c>
      <c r="Y56" s="6">
        <f t="shared" si="16"/>
        <v>2.2999999999999998</v>
      </c>
      <c r="Z56" s="6">
        <f t="shared" si="17"/>
        <v>0.7</v>
      </c>
      <c r="AA56" t="str">
        <f t="shared" si="18"/>
        <v>OVER</v>
      </c>
      <c r="AB56" t="s">
        <v>29</v>
      </c>
      <c r="AC56" t="e">
        <f t="shared" si="19"/>
        <v>#N/A</v>
      </c>
      <c r="AD56">
        <f t="shared" si="20"/>
        <v>3</v>
      </c>
      <c r="AE56" t="e">
        <f t="shared" si="21"/>
        <v>#N/A</v>
      </c>
      <c r="AF56" t="e">
        <f t="shared" si="22"/>
        <v>#N/A</v>
      </c>
      <c r="AG56" t="e">
        <f t="shared" si="23"/>
        <v>#N/A</v>
      </c>
      <c r="AH56" t="e">
        <f t="shared" si="24"/>
        <v>#N/A</v>
      </c>
      <c r="AI56">
        <f t="shared" si="25"/>
        <v>3</v>
      </c>
      <c r="AJ56">
        <f t="shared" si="26"/>
        <v>2.2999999999999998</v>
      </c>
      <c r="AK56" t="e">
        <f t="shared" si="27"/>
        <v>#N/A</v>
      </c>
    </row>
    <row r="57" spans="1:37" x14ac:dyDescent="0.3">
      <c r="A57" t="s">
        <v>269</v>
      </c>
      <c r="B57" t="s">
        <v>269</v>
      </c>
      <c r="C57" t="s">
        <v>272</v>
      </c>
      <c r="D57">
        <v>1</v>
      </c>
      <c r="E57" t="s">
        <v>27</v>
      </c>
      <c r="F57" t="s">
        <v>246</v>
      </c>
      <c r="G57">
        <v>1</v>
      </c>
      <c r="H57">
        <v>1</v>
      </c>
      <c r="I57">
        <v>4</v>
      </c>
      <c r="J57">
        <v>0</v>
      </c>
      <c r="K57">
        <v>0</v>
      </c>
      <c r="L57">
        <v>0</v>
      </c>
      <c r="M57">
        <v>0</v>
      </c>
      <c r="N57">
        <v>6</v>
      </c>
      <c r="O57">
        <v>0</v>
      </c>
      <c r="P57">
        <v>0</v>
      </c>
      <c r="Q57">
        <v>0</v>
      </c>
      <c r="R57">
        <v>0</v>
      </c>
      <c r="S57">
        <v>0</v>
      </c>
      <c r="T57" t="s">
        <v>29</v>
      </c>
      <c r="U57" t="s">
        <v>29</v>
      </c>
      <c r="V57" t="s">
        <v>320</v>
      </c>
      <c r="W57" s="6">
        <f t="shared" si="14"/>
        <v>11.2</v>
      </c>
      <c r="X57" s="6">
        <f t="shared" si="15"/>
        <v>11.2</v>
      </c>
      <c r="Y57" s="6">
        <f t="shared" si="16"/>
        <v>9.1999999999999993</v>
      </c>
      <c r="Z57" s="6">
        <f t="shared" si="17"/>
        <v>2</v>
      </c>
      <c r="AA57" t="str">
        <f t="shared" si="18"/>
        <v>OK</v>
      </c>
      <c r="AB57" t="s">
        <v>1149</v>
      </c>
      <c r="AC57" t="e">
        <f t="shared" si="19"/>
        <v>#N/A</v>
      </c>
      <c r="AD57">
        <f t="shared" si="20"/>
        <v>11.2</v>
      </c>
      <c r="AE57" t="e">
        <f t="shared" si="21"/>
        <v>#N/A</v>
      </c>
      <c r="AF57" t="e">
        <f t="shared" si="22"/>
        <v>#N/A</v>
      </c>
      <c r="AG57" t="e">
        <f t="shared" si="23"/>
        <v>#N/A</v>
      </c>
      <c r="AH57" t="e">
        <f t="shared" si="24"/>
        <v>#N/A</v>
      </c>
      <c r="AI57" t="e">
        <f t="shared" si="25"/>
        <v>#N/A</v>
      </c>
      <c r="AJ57">
        <f t="shared" si="26"/>
        <v>9.1999999999999993</v>
      </c>
      <c r="AK57" t="e">
        <f t="shared" si="27"/>
        <v>#N/A</v>
      </c>
    </row>
    <row r="58" spans="1:37" x14ac:dyDescent="0.3">
      <c r="A58" t="s">
        <v>274</v>
      </c>
      <c r="B58" t="s">
        <v>274</v>
      </c>
      <c r="C58" t="s">
        <v>246</v>
      </c>
      <c r="D58">
        <v>1</v>
      </c>
      <c r="E58" t="s">
        <v>99</v>
      </c>
      <c r="F58" t="s">
        <v>246</v>
      </c>
      <c r="G58">
        <v>1</v>
      </c>
      <c r="H58">
        <v>1</v>
      </c>
      <c r="I58">
        <v>0</v>
      </c>
      <c r="J58">
        <v>0</v>
      </c>
      <c r="K58">
        <v>0</v>
      </c>
      <c r="L58">
        <v>0</v>
      </c>
      <c r="M58">
        <v>0</v>
      </c>
      <c r="N58">
        <v>0</v>
      </c>
      <c r="O58">
        <v>0</v>
      </c>
      <c r="P58">
        <v>0</v>
      </c>
      <c r="Q58">
        <v>0</v>
      </c>
      <c r="R58">
        <v>0</v>
      </c>
      <c r="S58">
        <v>0</v>
      </c>
      <c r="T58" t="s">
        <v>29</v>
      </c>
      <c r="U58" t="s">
        <v>275</v>
      </c>
      <c r="V58" t="s">
        <v>866</v>
      </c>
      <c r="W58" s="6" t="str">
        <f t="shared" si="14"/>
        <v/>
      </c>
      <c r="X58" s="6" t="str">
        <f t="shared" si="15"/>
        <v/>
      </c>
      <c r="Y58" s="6" t="str">
        <f t="shared" si="16"/>
        <v/>
      </c>
      <c r="Z58" s="6" t="str">
        <f t="shared" si="17"/>
        <v/>
      </c>
      <c r="AA58" t="str">
        <f t="shared" si="18"/>
        <v/>
      </c>
      <c r="AB58" t="s">
        <v>29</v>
      </c>
      <c r="AC58" t="e">
        <f t="shared" si="19"/>
        <v>#N/A</v>
      </c>
      <c r="AD58" t="e">
        <f t="shared" si="20"/>
        <v>#N/A</v>
      </c>
      <c r="AE58" t="e">
        <f t="shared" si="21"/>
        <v>#N/A</v>
      </c>
      <c r="AF58" t="e">
        <f t="shared" si="22"/>
        <v>#N/A</v>
      </c>
      <c r="AG58" t="e">
        <f t="shared" si="23"/>
        <v>#N/A</v>
      </c>
      <c r="AH58" t="e">
        <f t="shared" si="24"/>
        <v>#N/A</v>
      </c>
      <c r="AI58" t="e">
        <f t="shared" si="25"/>
        <v>#N/A</v>
      </c>
      <c r="AJ58" t="e">
        <f t="shared" si="26"/>
        <v>#N/A</v>
      </c>
      <c r="AK58" t="e">
        <f t="shared" si="27"/>
        <v>#N/A</v>
      </c>
    </row>
    <row r="59" spans="1:37" x14ac:dyDescent="0.3">
      <c r="A59" t="s">
        <v>278</v>
      </c>
      <c r="B59" t="s">
        <v>278</v>
      </c>
      <c r="C59" t="s">
        <v>246</v>
      </c>
      <c r="D59">
        <v>1</v>
      </c>
      <c r="E59" t="s">
        <v>44</v>
      </c>
      <c r="F59" t="s">
        <v>246</v>
      </c>
      <c r="G59">
        <v>1</v>
      </c>
      <c r="H59">
        <v>1</v>
      </c>
      <c r="I59">
        <v>0</v>
      </c>
      <c r="J59">
        <v>0</v>
      </c>
      <c r="K59">
        <v>0</v>
      </c>
      <c r="L59">
        <v>0</v>
      </c>
      <c r="M59">
        <v>0</v>
      </c>
      <c r="N59">
        <v>10</v>
      </c>
      <c r="O59">
        <v>0</v>
      </c>
      <c r="P59">
        <v>0</v>
      </c>
      <c r="Q59">
        <v>0</v>
      </c>
      <c r="R59">
        <v>0</v>
      </c>
      <c r="S59">
        <v>0</v>
      </c>
      <c r="T59" t="s">
        <v>29</v>
      </c>
      <c r="U59" t="s">
        <v>29</v>
      </c>
      <c r="V59" t="s">
        <v>320</v>
      </c>
      <c r="W59" s="6">
        <f t="shared" si="14"/>
        <v>12</v>
      </c>
      <c r="X59" s="6">
        <f t="shared" si="15"/>
        <v>12</v>
      </c>
      <c r="Y59" s="6">
        <f t="shared" si="16"/>
        <v>8</v>
      </c>
      <c r="Z59" s="6">
        <f t="shared" si="17"/>
        <v>4</v>
      </c>
      <c r="AA59" t="str">
        <f t="shared" si="18"/>
        <v>OVER</v>
      </c>
      <c r="AB59" t="s">
        <v>29</v>
      </c>
      <c r="AC59">
        <f t="shared" si="19"/>
        <v>12</v>
      </c>
      <c r="AD59" t="e">
        <f t="shared" si="20"/>
        <v>#N/A</v>
      </c>
      <c r="AE59" t="e">
        <f t="shared" si="21"/>
        <v>#N/A</v>
      </c>
      <c r="AF59" t="e">
        <f t="shared" si="22"/>
        <v>#N/A</v>
      </c>
      <c r="AG59" t="e">
        <f t="shared" si="23"/>
        <v>#N/A</v>
      </c>
      <c r="AH59" t="e">
        <f t="shared" si="24"/>
        <v>#N/A</v>
      </c>
      <c r="AI59">
        <f t="shared" si="25"/>
        <v>12</v>
      </c>
      <c r="AJ59">
        <f t="shared" si="26"/>
        <v>8</v>
      </c>
      <c r="AK59" t="e">
        <f t="shared" si="27"/>
        <v>#N/A</v>
      </c>
    </row>
    <row r="60" spans="1:37" x14ac:dyDescent="0.3">
      <c r="A60" t="s">
        <v>285</v>
      </c>
      <c r="B60" t="s">
        <v>282</v>
      </c>
      <c r="C60" t="s">
        <v>246</v>
      </c>
      <c r="D60">
        <v>2</v>
      </c>
      <c r="E60" t="s">
        <v>99</v>
      </c>
      <c r="F60" t="s">
        <v>246</v>
      </c>
      <c r="G60">
        <v>1</v>
      </c>
      <c r="H60">
        <v>1</v>
      </c>
      <c r="I60">
        <v>0</v>
      </c>
      <c r="J60">
        <v>0</v>
      </c>
      <c r="K60">
        <v>0</v>
      </c>
      <c r="L60">
        <v>0</v>
      </c>
      <c r="M60">
        <v>0</v>
      </c>
      <c r="N60">
        <v>0</v>
      </c>
      <c r="O60">
        <v>0</v>
      </c>
      <c r="P60">
        <v>0</v>
      </c>
      <c r="Q60">
        <v>0</v>
      </c>
      <c r="R60">
        <v>0</v>
      </c>
      <c r="S60">
        <v>0</v>
      </c>
      <c r="T60" t="s">
        <v>1150</v>
      </c>
      <c r="U60" t="s">
        <v>1129</v>
      </c>
      <c r="V60" t="s">
        <v>866</v>
      </c>
      <c r="W60" s="6" t="str">
        <f t="shared" si="14"/>
        <v/>
      </c>
      <c r="X60" s="6" t="str">
        <f t="shared" si="15"/>
        <v/>
      </c>
      <c r="Y60" s="6" t="str">
        <f t="shared" si="16"/>
        <v/>
      </c>
      <c r="Z60" s="6" t="str">
        <f t="shared" si="17"/>
        <v/>
      </c>
      <c r="AA60" t="str">
        <f t="shared" si="18"/>
        <v/>
      </c>
      <c r="AB60" t="s">
        <v>29</v>
      </c>
      <c r="AC60" t="e">
        <f t="shared" si="19"/>
        <v>#N/A</v>
      </c>
      <c r="AD60" t="e">
        <f t="shared" si="20"/>
        <v>#N/A</v>
      </c>
      <c r="AE60" t="e">
        <f t="shared" si="21"/>
        <v>#N/A</v>
      </c>
      <c r="AF60" t="e">
        <f t="shared" si="22"/>
        <v>#N/A</v>
      </c>
      <c r="AG60" t="e">
        <f t="shared" si="23"/>
        <v>#N/A</v>
      </c>
      <c r="AH60" t="e">
        <f t="shared" si="24"/>
        <v>#N/A</v>
      </c>
      <c r="AI60" t="e">
        <f t="shared" si="25"/>
        <v>#N/A</v>
      </c>
      <c r="AJ60" t="e">
        <f t="shared" si="26"/>
        <v>#N/A</v>
      </c>
      <c r="AK60" t="e">
        <f t="shared" si="27"/>
        <v>#N/A</v>
      </c>
    </row>
    <row r="61" spans="1:37" x14ac:dyDescent="0.3">
      <c r="A61" t="s">
        <v>291</v>
      </c>
      <c r="B61" t="s">
        <v>288</v>
      </c>
      <c r="C61" t="s">
        <v>272</v>
      </c>
      <c r="D61">
        <v>0</v>
      </c>
      <c r="E61" t="s">
        <v>91</v>
      </c>
      <c r="F61" t="s">
        <v>1151</v>
      </c>
      <c r="G61">
        <v>1</v>
      </c>
      <c r="H61">
        <v>1</v>
      </c>
      <c r="I61">
        <v>0</v>
      </c>
      <c r="J61">
        <v>0</v>
      </c>
      <c r="K61">
        <v>0</v>
      </c>
      <c r="L61">
        <v>0</v>
      </c>
      <c r="M61">
        <v>0</v>
      </c>
      <c r="N61">
        <v>0</v>
      </c>
      <c r="O61">
        <v>0</v>
      </c>
      <c r="P61">
        <v>0</v>
      </c>
      <c r="Q61">
        <v>0</v>
      </c>
      <c r="R61">
        <v>0</v>
      </c>
      <c r="S61">
        <v>0</v>
      </c>
      <c r="T61" t="s">
        <v>107</v>
      </c>
      <c r="U61" t="s">
        <v>107</v>
      </c>
      <c r="V61" t="s">
        <v>866</v>
      </c>
      <c r="W61" s="6" t="str">
        <f t="shared" si="14"/>
        <v/>
      </c>
      <c r="X61" s="6" t="str">
        <f t="shared" si="15"/>
        <v/>
      </c>
      <c r="Y61" s="6" t="str">
        <f t="shared" si="16"/>
        <v/>
      </c>
      <c r="Z61" s="6" t="str">
        <f t="shared" si="17"/>
        <v/>
      </c>
      <c r="AA61" t="str">
        <f t="shared" si="18"/>
        <v/>
      </c>
      <c r="AB61" t="s">
        <v>29</v>
      </c>
      <c r="AC61" t="e">
        <f t="shared" si="19"/>
        <v>#N/A</v>
      </c>
      <c r="AD61" t="e">
        <f t="shared" si="20"/>
        <v>#N/A</v>
      </c>
      <c r="AE61" t="e">
        <f t="shared" si="21"/>
        <v>#N/A</v>
      </c>
      <c r="AF61" t="e">
        <f t="shared" si="22"/>
        <v>#N/A</v>
      </c>
      <c r="AG61" t="e">
        <f t="shared" si="23"/>
        <v>#N/A</v>
      </c>
      <c r="AH61" t="e">
        <f t="shared" si="24"/>
        <v>#N/A</v>
      </c>
      <c r="AI61" t="e">
        <f t="shared" si="25"/>
        <v>#N/A</v>
      </c>
      <c r="AJ61" t="e">
        <f t="shared" si="26"/>
        <v>#N/A</v>
      </c>
      <c r="AK61" t="e">
        <f t="shared" si="27"/>
        <v>#N/A</v>
      </c>
    </row>
    <row r="62" spans="1:37" x14ac:dyDescent="0.3">
      <c r="A62" t="s">
        <v>295</v>
      </c>
      <c r="B62" t="s">
        <v>294</v>
      </c>
      <c r="C62" t="s">
        <v>272</v>
      </c>
      <c r="D62">
        <v>0</v>
      </c>
      <c r="E62" t="s">
        <v>91</v>
      </c>
      <c r="F62" t="s">
        <v>1151</v>
      </c>
      <c r="G62">
        <v>1</v>
      </c>
      <c r="H62">
        <v>1</v>
      </c>
      <c r="I62">
        <v>0</v>
      </c>
      <c r="J62">
        <v>0</v>
      </c>
      <c r="K62">
        <v>0</v>
      </c>
      <c r="L62">
        <v>0</v>
      </c>
      <c r="M62">
        <v>0</v>
      </c>
      <c r="N62">
        <v>0</v>
      </c>
      <c r="O62">
        <v>0</v>
      </c>
      <c r="P62">
        <v>0</v>
      </c>
      <c r="Q62">
        <v>0</v>
      </c>
      <c r="R62">
        <v>0</v>
      </c>
      <c r="S62">
        <v>0</v>
      </c>
      <c r="T62" t="s">
        <v>107</v>
      </c>
      <c r="U62" t="s">
        <v>107</v>
      </c>
      <c r="V62" t="s">
        <v>866</v>
      </c>
      <c r="W62" s="6" t="str">
        <f t="shared" si="14"/>
        <v/>
      </c>
      <c r="X62" s="6" t="str">
        <f t="shared" si="15"/>
        <v/>
      </c>
      <c r="Y62" s="6" t="str">
        <f t="shared" si="16"/>
        <v/>
      </c>
      <c r="Z62" s="6" t="str">
        <f t="shared" si="17"/>
        <v/>
      </c>
      <c r="AA62" t="str">
        <f t="shared" si="18"/>
        <v/>
      </c>
      <c r="AB62" t="s">
        <v>29</v>
      </c>
      <c r="AC62" t="e">
        <f t="shared" si="19"/>
        <v>#N/A</v>
      </c>
      <c r="AD62" t="e">
        <f t="shared" si="20"/>
        <v>#N/A</v>
      </c>
      <c r="AE62" t="e">
        <f t="shared" si="21"/>
        <v>#N/A</v>
      </c>
      <c r="AF62" t="e">
        <f t="shared" si="22"/>
        <v>#N/A</v>
      </c>
      <c r="AG62" t="e">
        <f t="shared" si="23"/>
        <v>#N/A</v>
      </c>
      <c r="AH62" t="e">
        <f t="shared" si="24"/>
        <v>#N/A</v>
      </c>
      <c r="AI62" t="e">
        <f t="shared" si="25"/>
        <v>#N/A</v>
      </c>
      <c r="AJ62" t="e">
        <f t="shared" si="26"/>
        <v>#N/A</v>
      </c>
      <c r="AK62" t="e">
        <f t="shared" si="27"/>
        <v>#N/A</v>
      </c>
    </row>
    <row r="63" spans="1:37" x14ac:dyDescent="0.3">
      <c r="A63" t="s">
        <v>299</v>
      </c>
      <c r="B63" t="s">
        <v>299</v>
      </c>
      <c r="C63" t="s">
        <v>272</v>
      </c>
      <c r="D63">
        <v>1</v>
      </c>
      <c r="E63" t="s">
        <v>91</v>
      </c>
      <c r="F63" t="s">
        <v>1151</v>
      </c>
      <c r="G63">
        <v>1</v>
      </c>
      <c r="H63">
        <v>1</v>
      </c>
      <c r="I63">
        <v>3</v>
      </c>
      <c r="J63">
        <v>0</v>
      </c>
      <c r="K63">
        <v>0</v>
      </c>
      <c r="L63">
        <v>0</v>
      </c>
      <c r="M63">
        <v>0</v>
      </c>
      <c r="N63">
        <v>0</v>
      </c>
      <c r="O63">
        <v>0</v>
      </c>
      <c r="P63">
        <v>0</v>
      </c>
      <c r="Q63">
        <v>0</v>
      </c>
      <c r="R63">
        <v>0</v>
      </c>
      <c r="S63">
        <v>0</v>
      </c>
      <c r="T63" t="s">
        <v>29</v>
      </c>
      <c r="U63" t="s">
        <v>29</v>
      </c>
      <c r="V63" t="s">
        <v>320</v>
      </c>
      <c r="W63" s="6">
        <f t="shared" si="14"/>
        <v>3</v>
      </c>
      <c r="X63" s="6">
        <f t="shared" si="15"/>
        <v>3</v>
      </c>
      <c r="Y63" s="6">
        <f t="shared" si="16"/>
        <v>8</v>
      </c>
      <c r="Z63" s="6">
        <f t="shared" si="17"/>
        <v>-5</v>
      </c>
      <c r="AA63" t="str">
        <f t="shared" si="18"/>
        <v>UNDER</v>
      </c>
      <c r="AB63" t="s">
        <v>29</v>
      </c>
      <c r="AC63" t="e">
        <f t="shared" si="19"/>
        <v>#N/A</v>
      </c>
      <c r="AD63" t="e">
        <f t="shared" si="20"/>
        <v>#N/A</v>
      </c>
      <c r="AE63" t="e">
        <f t="shared" si="21"/>
        <v>#N/A</v>
      </c>
      <c r="AF63" t="e">
        <f t="shared" si="22"/>
        <v>#N/A</v>
      </c>
      <c r="AG63" t="e">
        <f t="shared" si="23"/>
        <v>#N/A</v>
      </c>
      <c r="AH63" t="e">
        <f t="shared" si="24"/>
        <v>#N/A</v>
      </c>
      <c r="AI63" t="e">
        <f t="shared" si="25"/>
        <v>#N/A</v>
      </c>
      <c r="AJ63">
        <f t="shared" si="26"/>
        <v>8</v>
      </c>
      <c r="AK63" t="e">
        <f t="shared" si="27"/>
        <v>#N/A</v>
      </c>
    </row>
    <row r="64" spans="1:37" x14ac:dyDescent="0.3">
      <c r="A64" t="s">
        <v>302</v>
      </c>
      <c r="B64" t="s">
        <v>29</v>
      </c>
      <c r="C64" t="s">
        <v>272</v>
      </c>
      <c r="D64">
        <v>1</v>
      </c>
      <c r="E64" t="s">
        <v>91</v>
      </c>
      <c r="F64" t="s">
        <v>1151</v>
      </c>
      <c r="G64">
        <v>1</v>
      </c>
      <c r="H64">
        <v>1</v>
      </c>
      <c r="I64">
        <v>4</v>
      </c>
      <c r="J64">
        <v>0</v>
      </c>
      <c r="K64">
        <v>0</v>
      </c>
      <c r="L64">
        <v>0</v>
      </c>
      <c r="M64">
        <v>0</v>
      </c>
      <c r="N64">
        <v>0</v>
      </c>
      <c r="O64">
        <v>0</v>
      </c>
      <c r="P64">
        <v>0</v>
      </c>
      <c r="Q64">
        <v>0</v>
      </c>
      <c r="R64">
        <v>0</v>
      </c>
      <c r="S64">
        <v>0</v>
      </c>
      <c r="T64" t="s">
        <v>29</v>
      </c>
      <c r="U64" t="s">
        <v>29</v>
      </c>
      <c r="V64" t="s">
        <v>320</v>
      </c>
      <c r="W64" s="6">
        <f t="shared" si="14"/>
        <v>4</v>
      </c>
      <c r="X64" s="6">
        <f t="shared" si="15"/>
        <v>4</v>
      </c>
      <c r="Y64" s="6">
        <f t="shared" si="16"/>
        <v>8</v>
      </c>
      <c r="Z64" s="6">
        <f t="shared" si="17"/>
        <v>-4</v>
      </c>
      <c r="AA64" t="str">
        <f t="shared" si="18"/>
        <v>UNDER</v>
      </c>
      <c r="AB64" t="s">
        <v>1152</v>
      </c>
      <c r="AC64" t="e">
        <f t="shared" si="19"/>
        <v>#N/A</v>
      </c>
      <c r="AD64" t="e">
        <f t="shared" si="20"/>
        <v>#N/A</v>
      </c>
      <c r="AE64" t="e">
        <f t="shared" si="21"/>
        <v>#N/A</v>
      </c>
      <c r="AF64" t="e">
        <f t="shared" si="22"/>
        <v>#N/A</v>
      </c>
      <c r="AG64" t="e">
        <f t="shared" si="23"/>
        <v>#N/A</v>
      </c>
      <c r="AH64" t="e">
        <f t="shared" si="24"/>
        <v>#N/A</v>
      </c>
      <c r="AI64" t="e">
        <f t="shared" si="25"/>
        <v>#N/A</v>
      </c>
      <c r="AJ64">
        <f t="shared" si="26"/>
        <v>8</v>
      </c>
      <c r="AK64" t="e">
        <f t="shared" si="27"/>
        <v>#N/A</v>
      </c>
    </row>
    <row r="65" spans="1:37" x14ac:dyDescent="0.3">
      <c r="A65" t="s">
        <v>173</v>
      </c>
      <c r="B65" t="s">
        <v>304</v>
      </c>
      <c r="C65" t="s">
        <v>272</v>
      </c>
      <c r="D65">
        <v>1</v>
      </c>
      <c r="E65" t="s">
        <v>44</v>
      </c>
      <c r="F65" t="s">
        <v>1151</v>
      </c>
      <c r="G65">
        <v>1</v>
      </c>
      <c r="H65">
        <v>1</v>
      </c>
      <c r="I65">
        <v>0</v>
      </c>
      <c r="J65">
        <v>0</v>
      </c>
      <c r="K65">
        <v>0</v>
      </c>
      <c r="L65">
        <v>0</v>
      </c>
      <c r="M65">
        <v>0</v>
      </c>
      <c r="N65">
        <v>0</v>
      </c>
      <c r="O65">
        <v>0</v>
      </c>
      <c r="P65">
        <v>0</v>
      </c>
      <c r="Q65">
        <v>0</v>
      </c>
      <c r="R65">
        <v>1</v>
      </c>
      <c r="S65">
        <v>0</v>
      </c>
      <c r="T65" t="s">
        <v>29</v>
      </c>
      <c r="U65" t="s">
        <v>29</v>
      </c>
      <c r="V65" t="s">
        <v>320</v>
      </c>
      <c r="W65" s="6">
        <f t="shared" si="14"/>
        <v>3</v>
      </c>
      <c r="X65" s="6">
        <f t="shared" si="15"/>
        <v>3</v>
      </c>
      <c r="Y65" s="6">
        <f t="shared" si="16"/>
        <v>8</v>
      </c>
      <c r="Z65" s="6">
        <f t="shared" si="17"/>
        <v>-5</v>
      </c>
      <c r="AA65" t="str">
        <f t="shared" si="18"/>
        <v>UNDER</v>
      </c>
      <c r="AB65" t="s">
        <v>29</v>
      </c>
      <c r="AC65">
        <f t="shared" si="19"/>
        <v>3</v>
      </c>
      <c r="AD65" t="e">
        <f t="shared" si="20"/>
        <v>#N/A</v>
      </c>
      <c r="AE65" t="e">
        <f t="shared" si="21"/>
        <v>#N/A</v>
      </c>
      <c r="AF65" t="e">
        <f t="shared" si="22"/>
        <v>#N/A</v>
      </c>
      <c r="AG65" t="e">
        <f t="shared" si="23"/>
        <v>#N/A</v>
      </c>
      <c r="AH65" t="e">
        <f t="shared" si="24"/>
        <v>#N/A</v>
      </c>
      <c r="AI65" t="e">
        <f t="shared" si="25"/>
        <v>#N/A</v>
      </c>
      <c r="AJ65">
        <f t="shared" si="26"/>
        <v>8</v>
      </c>
      <c r="AK65" t="e">
        <f t="shared" si="27"/>
        <v>#N/A</v>
      </c>
    </row>
    <row r="66" spans="1:37" x14ac:dyDescent="0.3">
      <c r="A66" t="s">
        <v>308</v>
      </c>
      <c r="B66" t="s">
        <v>304</v>
      </c>
      <c r="C66" t="s">
        <v>272</v>
      </c>
      <c r="D66">
        <v>1</v>
      </c>
      <c r="E66" t="s">
        <v>91</v>
      </c>
      <c r="F66" t="s">
        <v>1151</v>
      </c>
      <c r="G66">
        <v>1</v>
      </c>
      <c r="H66">
        <v>1</v>
      </c>
      <c r="I66">
        <v>0</v>
      </c>
      <c r="J66">
        <v>0</v>
      </c>
      <c r="K66">
        <v>0</v>
      </c>
      <c r="L66">
        <v>0</v>
      </c>
      <c r="M66">
        <v>0</v>
      </c>
      <c r="N66">
        <v>0</v>
      </c>
      <c r="O66">
        <v>0</v>
      </c>
      <c r="P66">
        <v>0</v>
      </c>
      <c r="Q66">
        <v>0</v>
      </c>
      <c r="R66">
        <v>1</v>
      </c>
      <c r="S66">
        <v>0</v>
      </c>
      <c r="T66" t="s">
        <v>29</v>
      </c>
      <c r="U66" t="s">
        <v>29</v>
      </c>
      <c r="V66" t="s">
        <v>320</v>
      </c>
      <c r="W66" s="6">
        <f t="shared" ref="W66:W97" si="28">IF($V66="No","",ROUND((I66*w_Damage + N66*w_Poison + P66*w_Weaken*w_Horizon)*MIN(1+(G66-1)*w_OccEnemy,w_MaxEnemies) + (J66*w_Heal + K66*w_Shield + L66*w_Block + M66*w_Parry + O66*w_Strength*w_Horizon + S66*w_Combo)*MIN(1+(H66-1)*w_OccAlly,w_MaxAllies) + Q66*w_Draw + R66*w_Move,2))</f>
        <v>3</v>
      </c>
      <c r="X66" s="6">
        <f t="shared" ref="X66:X97" si="29">IF(W66="","",ROUND(W66/MAX(D66,1),2))</f>
        <v>3</v>
      </c>
      <c r="Y66" s="6">
        <f t="shared" ref="Y66:Y97" si="30">IF($V66="No","",ROUND((curve_Base+curve_Slope*D66)*IFERROR(VLOOKUP(E66,rarity_Mult,2,FALSE),1),2))</f>
        <v>8</v>
      </c>
      <c r="Z66" s="6">
        <f t="shared" ref="Z66:Z97" si="31">IF(OR(W66="",Y66=""),"",ROUND(W66-Y66,2))</f>
        <v>-5</v>
      </c>
      <c r="AA66" t="str">
        <f t="shared" ref="AA66:AA97" si="32">IF(Z66="","",IF($V66="Partial","RIDER",IF(ABS(Z66)&lt;=Y66*tol_Pct,"OK",IF(Z66&gt;0,"OVER","UNDER"))))</f>
        <v>UNDER</v>
      </c>
      <c r="AB66" t="s">
        <v>29</v>
      </c>
      <c r="AC66" t="e">
        <f t="shared" ref="AC66:AC97" si="33">IF(AND($V66&lt;&gt;"No",$E66="Common",NOT(ISNUMBER(SEARCH("Ideas",$F66)))),$W66,NA())</f>
        <v>#N/A</v>
      </c>
      <c r="AD66" t="e">
        <f t="shared" ref="AD66:AD97" si="34">IF(AND($V66&lt;&gt;"No",$E66="Uncommon",NOT(ISNUMBER(SEARCH("Ideas",$F66)))),$W66,NA())</f>
        <v>#N/A</v>
      </c>
      <c r="AE66" t="e">
        <f t="shared" ref="AE66:AE97" si="35">IF(AND($V66&lt;&gt;"No",$E66="Rare",NOT(ISNUMBER(SEARCH("Ideas",$F66)))),$W66,NA())</f>
        <v>#N/A</v>
      </c>
      <c r="AF66" t="e">
        <f t="shared" ref="AF66:AF97" si="36">IF(AND($V66&lt;&gt;"No",$E66="Legendary",NOT(ISNUMBER(SEARCH("Ideas",$F66)))),$W66,NA())</f>
        <v>#N/A</v>
      </c>
      <c r="AG66" t="e">
        <f t="shared" ref="AG66:AG97" si="37">IF(AND($V66&lt;&gt;"No",ISNUMBER(SEARCH("Knight",$C66)),NOT(ISNUMBER(SEARCH("Ideas",$F66)))),$X66,NA())</f>
        <v>#N/A</v>
      </c>
      <c r="AH66" t="e">
        <f t="shared" ref="AH66:AH97" si="38">IF(AND($V66&lt;&gt;"No",ISNUMBER(SEARCH("Mage",$C66)),NOT(ISNUMBER(SEARCH("Ideas",$F66)))),$X66,NA())</f>
        <v>#N/A</v>
      </c>
      <c r="AI66" t="e">
        <f t="shared" ref="AI66:AI97" si="39">IF(AND($V66&lt;&gt;"No",ISNUMBER(SEARCH("Rogue",$C66)),NOT(ISNUMBER(SEARCH("Ideas",$F66)))),$X66,NA())</f>
        <v>#N/A</v>
      </c>
      <c r="AJ66">
        <f t="shared" ref="AJ66:AJ97" si="40">IF($V66&lt;&gt;"No",$Y66,NA())</f>
        <v>8</v>
      </c>
      <c r="AK66" t="e">
        <f t="shared" ref="AK66:AK97" si="41">IF(AND($V66&lt;&gt;"No",ISNUMBER(SEARCH("Ideas",$F66))),$W66,NA())</f>
        <v>#N/A</v>
      </c>
    </row>
    <row r="67" spans="1:37" x14ac:dyDescent="0.3">
      <c r="A67" t="s">
        <v>318</v>
      </c>
      <c r="B67" t="s">
        <v>315</v>
      </c>
      <c r="C67" t="s">
        <v>32</v>
      </c>
      <c r="D67">
        <v>1</v>
      </c>
      <c r="E67" t="s">
        <v>44</v>
      </c>
      <c r="F67" t="s">
        <v>1153</v>
      </c>
      <c r="G67">
        <v>1</v>
      </c>
      <c r="H67">
        <v>1</v>
      </c>
      <c r="I67">
        <v>5</v>
      </c>
      <c r="J67">
        <v>0</v>
      </c>
      <c r="K67">
        <v>0</v>
      </c>
      <c r="L67">
        <v>5</v>
      </c>
      <c r="M67">
        <v>0</v>
      </c>
      <c r="N67">
        <v>0</v>
      </c>
      <c r="O67">
        <v>0</v>
      </c>
      <c r="P67">
        <v>0</v>
      </c>
      <c r="Q67">
        <v>0</v>
      </c>
      <c r="R67">
        <v>0</v>
      </c>
      <c r="S67">
        <v>0</v>
      </c>
      <c r="T67" t="s">
        <v>29</v>
      </c>
      <c r="U67" t="s">
        <v>29</v>
      </c>
      <c r="V67" t="s">
        <v>320</v>
      </c>
      <c r="W67" s="6">
        <f t="shared" si="28"/>
        <v>9.5</v>
      </c>
      <c r="X67" s="6">
        <f t="shared" si="29"/>
        <v>9.5</v>
      </c>
      <c r="Y67" s="6">
        <f t="shared" si="30"/>
        <v>8</v>
      </c>
      <c r="Z67" s="6">
        <f t="shared" si="31"/>
        <v>1.5</v>
      </c>
      <c r="AA67" t="str">
        <f t="shared" si="32"/>
        <v>OK</v>
      </c>
      <c r="AB67" t="s">
        <v>29</v>
      </c>
      <c r="AC67" t="e">
        <f t="shared" si="33"/>
        <v>#N/A</v>
      </c>
      <c r="AD67" t="e">
        <f t="shared" si="34"/>
        <v>#N/A</v>
      </c>
      <c r="AE67" t="e">
        <f t="shared" si="35"/>
        <v>#N/A</v>
      </c>
      <c r="AF67" t="e">
        <f t="shared" si="36"/>
        <v>#N/A</v>
      </c>
      <c r="AG67" t="e">
        <f t="shared" si="37"/>
        <v>#N/A</v>
      </c>
      <c r="AH67" t="e">
        <f t="shared" si="38"/>
        <v>#N/A</v>
      </c>
      <c r="AI67" t="e">
        <f t="shared" si="39"/>
        <v>#N/A</v>
      </c>
      <c r="AJ67">
        <f t="shared" si="40"/>
        <v>8</v>
      </c>
      <c r="AK67">
        <f t="shared" si="41"/>
        <v>9.5</v>
      </c>
    </row>
    <row r="68" spans="1:37" x14ac:dyDescent="0.3">
      <c r="A68" t="s">
        <v>81</v>
      </c>
      <c r="B68" t="s">
        <v>81</v>
      </c>
      <c r="C68" t="s">
        <v>32</v>
      </c>
      <c r="D68">
        <v>1</v>
      </c>
      <c r="E68" t="s">
        <v>27</v>
      </c>
      <c r="F68" t="s">
        <v>1153</v>
      </c>
      <c r="G68">
        <v>9</v>
      </c>
      <c r="H68">
        <v>1</v>
      </c>
      <c r="I68">
        <v>4</v>
      </c>
      <c r="J68">
        <v>0</v>
      </c>
      <c r="K68">
        <v>0</v>
      </c>
      <c r="L68">
        <v>0</v>
      </c>
      <c r="M68">
        <v>0</v>
      </c>
      <c r="N68">
        <v>0</v>
      </c>
      <c r="O68">
        <v>0</v>
      </c>
      <c r="P68">
        <v>0</v>
      </c>
      <c r="Q68">
        <v>0</v>
      </c>
      <c r="R68">
        <v>0</v>
      </c>
      <c r="S68">
        <v>0</v>
      </c>
      <c r="T68" t="s">
        <v>29</v>
      </c>
      <c r="U68" t="s">
        <v>29</v>
      </c>
      <c r="V68" t="s">
        <v>320</v>
      </c>
      <c r="W68" s="6">
        <f t="shared" si="28"/>
        <v>16</v>
      </c>
      <c r="X68" s="6">
        <f t="shared" si="29"/>
        <v>16</v>
      </c>
      <c r="Y68" s="6">
        <f t="shared" si="30"/>
        <v>9.1999999999999993</v>
      </c>
      <c r="Z68" s="6">
        <f t="shared" si="31"/>
        <v>6.8</v>
      </c>
      <c r="AA68" t="str">
        <f t="shared" si="32"/>
        <v>OVER</v>
      </c>
      <c r="AB68" t="s">
        <v>29</v>
      </c>
      <c r="AC68" t="e">
        <f t="shared" si="33"/>
        <v>#N/A</v>
      </c>
      <c r="AD68" t="e">
        <f t="shared" si="34"/>
        <v>#N/A</v>
      </c>
      <c r="AE68" t="e">
        <f t="shared" si="35"/>
        <v>#N/A</v>
      </c>
      <c r="AF68" t="e">
        <f t="shared" si="36"/>
        <v>#N/A</v>
      </c>
      <c r="AG68" t="e">
        <f t="shared" si="37"/>
        <v>#N/A</v>
      </c>
      <c r="AH68" t="e">
        <f t="shared" si="38"/>
        <v>#N/A</v>
      </c>
      <c r="AI68" t="e">
        <f t="shared" si="39"/>
        <v>#N/A</v>
      </c>
      <c r="AJ68">
        <f t="shared" si="40"/>
        <v>9.1999999999999993</v>
      </c>
      <c r="AK68">
        <f t="shared" si="41"/>
        <v>16</v>
      </c>
    </row>
    <row r="69" spans="1:37" x14ac:dyDescent="0.3">
      <c r="A69" t="s">
        <v>328</v>
      </c>
      <c r="B69" t="s">
        <v>326</v>
      </c>
      <c r="C69" t="s">
        <v>32</v>
      </c>
      <c r="D69">
        <v>2</v>
      </c>
      <c r="E69" t="s">
        <v>27</v>
      </c>
      <c r="F69" t="s">
        <v>1153</v>
      </c>
      <c r="G69">
        <v>1</v>
      </c>
      <c r="H69">
        <v>1</v>
      </c>
      <c r="I69">
        <v>0</v>
      </c>
      <c r="J69">
        <v>0</v>
      </c>
      <c r="K69">
        <v>7</v>
      </c>
      <c r="L69">
        <v>10</v>
      </c>
      <c r="M69">
        <v>0</v>
      </c>
      <c r="N69">
        <v>0</v>
      </c>
      <c r="O69">
        <v>0</v>
      </c>
      <c r="P69">
        <v>0</v>
      </c>
      <c r="Q69">
        <v>0</v>
      </c>
      <c r="R69">
        <v>0</v>
      </c>
      <c r="S69">
        <v>0</v>
      </c>
      <c r="T69" t="s">
        <v>29</v>
      </c>
      <c r="U69" t="s">
        <v>29</v>
      </c>
      <c r="V69" t="s">
        <v>320</v>
      </c>
      <c r="W69" s="6">
        <f t="shared" si="28"/>
        <v>13.9</v>
      </c>
      <c r="X69" s="6">
        <f t="shared" si="29"/>
        <v>6.95</v>
      </c>
      <c r="Y69" s="6">
        <f t="shared" si="30"/>
        <v>16.100000000000001</v>
      </c>
      <c r="Z69" s="6">
        <f t="shared" si="31"/>
        <v>-2.2000000000000002</v>
      </c>
      <c r="AA69" t="str">
        <f t="shared" si="32"/>
        <v>OK</v>
      </c>
      <c r="AB69" t="s">
        <v>29</v>
      </c>
      <c r="AC69" t="e">
        <f t="shared" si="33"/>
        <v>#N/A</v>
      </c>
      <c r="AD69" t="e">
        <f t="shared" si="34"/>
        <v>#N/A</v>
      </c>
      <c r="AE69" t="e">
        <f t="shared" si="35"/>
        <v>#N/A</v>
      </c>
      <c r="AF69" t="e">
        <f t="shared" si="36"/>
        <v>#N/A</v>
      </c>
      <c r="AG69" t="e">
        <f t="shared" si="37"/>
        <v>#N/A</v>
      </c>
      <c r="AH69" t="e">
        <f t="shared" si="38"/>
        <v>#N/A</v>
      </c>
      <c r="AI69" t="e">
        <f t="shared" si="39"/>
        <v>#N/A</v>
      </c>
      <c r="AJ69">
        <f t="shared" si="40"/>
        <v>16.100000000000001</v>
      </c>
      <c r="AK69">
        <f t="shared" si="41"/>
        <v>13.9</v>
      </c>
    </row>
    <row r="70" spans="1:37" x14ac:dyDescent="0.3">
      <c r="A70" t="s">
        <v>331</v>
      </c>
      <c r="B70" t="s">
        <v>331</v>
      </c>
      <c r="C70" t="s">
        <v>32</v>
      </c>
      <c r="D70">
        <v>1</v>
      </c>
      <c r="E70" t="s">
        <v>44</v>
      </c>
      <c r="F70" t="s">
        <v>1153</v>
      </c>
      <c r="G70">
        <v>1</v>
      </c>
      <c r="H70">
        <v>1</v>
      </c>
      <c r="I70">
        <v>0</v>
      </c>
      <c r="J70">
        <v>0</v>
      </c>
      <c r="K70">
        <v>0</v>
      </c>
      <c r="L70">
        <v>10</v>
      </c>
      <c r="M70">
        <v>0</v>
      </c>
      <c r="N70">
        <v>0</v>
      </c>
      <c r="O70">
        <v>0</v>
      </c>
      <c r="P70">
        <v>0</v>
      </c>
      <c r="Q70">
        <v>0</v>
      </c>
      <c r="R70">
        <v>0</v>
      </c>
      <c r="S70">
        <v>0</v>
      </c>
      <c r="T70" t="s">
        <v>29</v>
      </c>
      <c r="U70" t="s">
        <v>29</v>
      </c>
      <c r="V70" t="s">
        <v>320</v>
      </c>
      <c r="W70" s="6">
        <f t="shared" si="28"/>
        <v>9</v>
      </c>
      <c r="X70" s="6">
        <f t="shared" si="29"/>
        <v>9</v>
      </c>
      <c r="Y70" s="6">
        <f t="shared" si="30"/>
        <v>8</v>
      </c>
      <c r="Z70" s="6">
        <f t="shared" si="31"/>
        <v>1</v>
      </c>
      <c r="AA70" t="str">
        <f t="shared" si="32"/>
        <v>OK</v>
      </c>
      <c r="AB70" t="s">
        <v>29</v>
      </c>
      <c r="AC70" t="e">
        <f t="shared" si="33"/>
        <v>#N/A</v>
      </c>
      <c r="AD70" t="e">
        <f t="shared" si="34"/>
        <v>#N/A</v>
      </c>
      <c r="AE70" t="e">
        <f t="shared" si="35"/>
        <v>#N/A</v>
      </c>
      <c r="AF70" t="e">
        <f t="shared" si="36"/>
        <v>#N/A</v>
      </c>
      <c r="AG70" t="e">
        <f t="shared" si="37"/>
        <v>#N/A</v>
      </c>
      <c r="AH70" t="e">
        <f t="shared" si="38"/>
        <v>#N/A</v>
      </c>
      <c r="AI70" t="e">
        <f t="shared" si="39"/>
        <v>#N/A</v>
      </c>
      <c r="AJ70">
        <f t="shared" si="40"/>
        <v>8</v>
      </c>
      <c r="AK70">
        <f t="shared" si="41"/>
        <v>9</v>
      </c>
    </row>
    <row r="71" spans="1:37" x14ac:dyDescent="0.3">
      <c r="A71" t="s">
        <v>333</v>
      </c>
      <c r="B71" t="s">
        <v>333</v>
      </c>
      <c r="C71" t="s">
        <v>32</v>
      </c>
      <c r="D71">
        <v>2</v>
      </c>
      <c r="E71" t="s">
        <v>99</v>
      </c>
      <c r="F71" t="s">
        <v>1153</v>
      </c>
      <c r="G71">
        <v>1</v>
      </c>
      <c r="H71">
        <v>1</v>
      </c>
      <c r="I71">
        <v>0</v>
      </c>
      <c r="J71">
        <v>0</v>
      </c>
      <c r="K71">
        <v>0</v>
      </c>
      <c r="L71">
        <v>0</v>
      </c>
      <c r="M71">
        <v>2</v>
      </c>
      <c r="N71">
        <v>0</v>
      </c>
      <c r="O71">
        <v>0</v>
      </c>
      <c r="P71">
        <v>0</v>
      </c>
      <c r="Q71">
        <v>0</v>
      </c>
      <c r="R71">
        <v>0</v>
      </c>
      <c r="S71">
        <v>0</v>
      </c>
      <c r="T71" t="s">
        <v>29</v>
      </c>
      <c r="U71" t="s">
        <v>29</v>
      </c>
      <c r="V71" t="s">
        <v>320</v>
      </c>
      <c r="W71" s="6">
        <f t="shared" si="28"/>
        <v>10</v>
      </c>
      <c r="X71" s="6">
        <f t="shared" si="29"/>
        <v>5</v>
      </c>
      <c r="Y71" s="6">
        <f t="shared" si="30"/>
        <v>18.899999999999999</v>
      </c>
      <c r="Z71" s="6">
        <f t="shared" si="31"/>
        <v>-8.9</v>
      </c>
      <c r="AA71" t="str">
        <f t="shared" si="32"/>
        <v>UNDER</v>
      </c>
      <c r="AB71" t="s">
        <v>29</v>
      </c>
      <c r="AC71" t="e">
        <f t="shared" si="33"/>
        <v>#N/A</v>
      </c>
      <c r="AD71" t="e">
        <f t="shared" si="34"/>
        <v>#N/A</v>
      </c>
      <c r="AE71" t="e">
        <f t="shared" si="35"/>
        <v>#N/A</v>
      </c>
      <c r="AF71" t="e">
        <f t="shared" si="36"/>
        <v>#N/A</v>
      </c>
      <c r="AG71" t="e">
        <f t="shared" si="37"/>
        <v>#N/A</v>
      </c>
      <c r="AH71" t="e">
        <f t="shared" si="38"/>
        <v>#N/A</v>
      </c>
      <c r="AI71" t="e">
        <f t="shared" si="39"/>
        <v>#N/A</v>
      </c>
      <c r="AJ71">
        <f t="shared" si="40"/>
        <v>18.899999999999999</v>
      </c>
      <c r="AK71">
        <f t="shared" si="41"/>
        <v>10</v>
      </c>
    </row>
    <row r="72" spans="1:37" x14ac:dyDescent="0.3">
      <c r="A72" t="s">
        <v>339</v>
      </c>
      <c r="B72" t="s">
        <v>336</v>
      </c>
      <c r="C72" t="s">
        <v>32</v>
      </c>
      <c r="D72">
        <v>2</v>
      </c>
      <c r="E72" t="s">
        <v>44</v>
      </c>
      <c r="F72" t="s">
        <v>1153</v>
      </c>
      <c r="G72">
        <v>1</v>
      </c>
      <c r="H72">
        <v>1</v>
      </c>
      <c r="I72">
        <v>12</v>
      </c>
      <c r="J72">
        <v>0</v>
      </c>
      <c r="K72">
        <v>0</v>
      </c>
      <c r="L72">
        <v>0</v>
      </c>
      <c r="M72">
        <v>0</v>
      </c>
      <c r="N72">
        <v>0</v>
      </c>
      <c r="O72">
        <v>0</v>
      </c>
      <c r="P72">
        <v>0</v>
      </c>
      <c r="Q72">
        <v>0</v>
      </c>
      <c r="R72">
        <v>0</v>
      </c>
      <c r="S72">
        <v>0</v>
      </c>
      <c r="T72" t="s">
        <v>29</v>
      </c>
      <c r="U72" t="s">
        <v>29</v>
      </c>
      <c r="V72" t="s">
        <v>320</v>
      </c>
      <c r="W72" s="6">
        <f t="shared" si="28"/>
        <v>12</v>
      </c>
      <c r="X72" s="6">
        <f t="shared" si="29"/>
        <v>6</v>
      </c>
      <c r="Y72" s="6">
        <f t="shared" si="30"/>
        <v>14</v>
      </c>
      <c r="Z72" s="6">
        <f t="shared" si="31"/>
        <v>-2</v>
      </c>
      <c r="AA72" t="str">
        <f t="shared" si="32"/>
        <v>OK</v>
      </c>
      <c r="AB72" t="s">
        <v>29</v>
      </c>
      <c r="AC72" t="e">
        <f t="shared" si="33"/>
        <v>#N/A</v>
      </c>
      <c r="AD72" t="e">
        <f t="shared" si="34"/>
        <v>#N/A</v>
      </c>
      <c r="AE72" t="e">
        <f t="shared" si="35"/>
        <v>#N/A</v>
      </c>
      <c r="AF72" t="e">
        <f t="shared" si="36"/>
        <v>#N/A</v>
      </c>
      <c r="AG72" t="e">
        <f t="shared" si="37"/>
        <v>#N/A</v>
      </c>
      <c r="AH72" t="e">
        <f t="shared" si="38"/>
        <v>#N/A</v>
      </c>
      <c r="AI72" t="e">
        <f t="shared" si="39"/>
        <v>#N/A</v>
      </c>
      <c r="AJ72">
        <f t="shared" si="40"/>
        <v>14</v>
      </c>
      <c r="AK72">
        <f t="shared" si="41"/>
        <v>12</v>
      </c>
    </row>
    <row r="73" spans="1:37" x14ac:dyDescent="0.3">
      <c r="A73" t="s">
        <v>341</v>
      </c>
      <c r="B73" t="s">
        <v>71</v>
      </c>
      <c r="C73" t="s">
        <v>32</v>
      </c>
      <c r="D73">
        <v>1</v>
      </c>
      <c r="E73" t="s">
        <v>27</v>
      </c>
      <c r="F73" t="s">
        <v>1153</v>
      </c>
      <c r="G73">
        <v>1</v>
      </c>
      <c r="H73">
        <v>1</v>
      </c>
      <c r="I73">
        <v>0</v>
      </c>
      <c r="J73">
        <v>5</v>
      </c>
      <c r="K73">
        <v>0</v>
      </c>
      <c r="L73">
        <v>0</v>
      </c>
      <c r="M73">
        <v>0</v>
      </c>
      <c r="N73">
        <v>0</v>
      </c>
      <c r="O73">
        <v>0</v>
      </c>
      <c r="P73">
        <v>0</v>
      </c>
      <c r="Q73">
        <v>0</v>
      </c>
      <c r="R73">
        <v>0</v>
      </c>
      <c r="S73">
        <v>0</v>
      </c>
      <c r="T73" t="s">
        <v>29</v>
      </c>
      <c r="U73" t="s">
        <v>29</v>
      </c>
      <c r="V73" t="s">
        <v>320</v>
      </c>
      <c r="W73" s="6">
        <f t="shared" si="28"/>
        <v>4</v>
      </c>
      <c r="X73" s="6">
        <f t="shared" si="29"/>
        <v>4</v>
      </c>
      <c r="Y73" s="6">
        <f t="shared" si="30"/>
        <v>9.1999999999999993</v>
      </c>
      <c r="Z73" s="6">
        <f t="shared" si="31"/>
        <v>-5.2</v>
      </c>
      <c r="AA73" t="str">
        <f t="shared" si="32"/>
        <v>UNDER</v>
      </c>
      <c r="AB73" t="s">
        <v>29</v>
      </c>
      <c r="AC73" t="e">
        <f t="shared" si="33"/>
        <v>#N/A</v>
      </c>
      <c r="AD73" t="e">
        <f t="shared" si="34"/>
        <v>#N/A</v>
      </c>
      <c r="AE73" t="e">
        <f t="shared" si="35"/>
        <v>#N/A</v>
      </c>
      <c r="AF73" t="e">
        <f t="shared" si="36"/>
        <v>#N/A</v>
      </c>
      <c r="AG73" t="e">
        <f t="shared" si="37"/>
        <v>#N/A</v>
      </c>
      <c r="AH73" t="e">
        <f t="shared" si="38"/>
        <v>#N/A</v>
      </c>
      <c r="AI73" t="e">
        <f t="shared" si="39"/>
        <v>#N/A</v>
      </c>
      <c r="AJ73">
        <f t="shared" si="40"/>
        <v>9.1999999999999993</v>
      </c>
      <c r="AK73">
        <f t="shared" si="41"/>
        <v>4</v>
      </c>
    </row>
    <row r="74" spans="1:37" x14ac:dyDescent="0.3">
      <c r="A74" t="s">
        <v>347</v>
      </c>
      <c r="B74" t="s">
        <v>344</v>
      </c>
      <c r="C74" t="s">
        <v>32</v>
      </c>
      <c r="D74">
        <v>0</v>
      </c>
      <c r="E74" t="s">
        <v>44</v>
      </c>
      <c r="F74" t="s">
        <v>1153</v>
      </c>
      <c r="G74">
        <v>1</v>
      </c>
      <c r="H74">
        <v>1</v>
      </c>
      <c r="I74">
        <v>0</v>
      </c>
      <c r="J74">
        <v>0</v>
      </c>
      <c r="K74">
        <v>3</v>
      </c>
      <c r="L74">
        <v>5</v>
      </c>
      <c r="M74">
        <v>0</v>
      </c>
      <c r="N74">
        <v>0</v>
      </c>
      <c r="O74">
        <v>0</v>
      </c>
      <c r="P74">
        <v>0</v>
      </c>
      <c r="Q74">
        <v>0</v>
      </c>
      <c r="R74">
        <v>0</v>
      </c>
      <c r="S74">
        <v>0</v>
      </c>
      <c r="T74" t="s">
        <v>29</v>
      </c>
      <c r="U74" t="s">
        <v>29</v>
      </c>
      <c r="V74" t="s">
        <v>320</v>
      </c>
      <c r="W74" s="6">
        <f t="shared" si="28"/>
        <v>6.6</v>
      </c>
      <c r="X74" s="6">
        <f t="shared" si="29"/>
        <v>6.6</v>
      </c>
      <c r="Y74" s="6">
        <f t="shared" si="30"/>
        <v>2</v>
      </c>
      <c r="Z74" s="6">
        <f t="shared" si="31"/>
        <v>4.5999999999999996</v>
      </c>
      <c r="AA74" t="str">
        <f t="shared" si="32"/>
        <v>OVER</v>
      </c>
      <c r="AB74" t="s">
        <v>29</v>
      </c>
      <c r="AC74" t="e">
        <f t="shared" si="33"/>
        <v>#N/A</v>
      </c>
      <c r="AD74" t="e">
        <f t="shared" si="34"/>
        <v>#N/A</v>
      </c>
      <c r="AE74" t="e">
        <f t="shared" si="35"/>
        <v>#N/A</v>
      </c>
      <c r="AF74" t="e">
        <f t="shared" si="36"/>
        <v>#N/A</v>
      </c>
      <c r="AG74" t="e">
        <f t="shared" si="37"/>
        <v>#N/A</v>
      </c>
      <c r="AH74" t="e">
        <f t="shared" si="38"/>
        <v>#N/A</v>
      </c>
      <c r="AI74" t="e">
        <f t="shared" si="39"/>
        <v>#N/A</v>
      </c>
      <c r="AJ74">
        <f t="shared" si="40"/>
        <v>2</v>
      </c>
      <c r="AK74">
        <f t="shared" si="41"/>
        <v>6.6</v>
      </c>
    </row>
    <row r="75" spans="1:37" x14ac:dyDescent="0.3">
      <c r="A75" t="s">
        <v>350</v>
      </c>
      <c r="B75" t="s">
        <v>348</v>
      </c>
      <c r="C75" t="s">
        <v>32</v>
      </c>
      <c r="D75">
        <v>2</v>
      </c>
      <c r="E75" t="s">
        <v>27</v>
      </c>
      <c r="F75" t="s">
        <v>1153</v>
      </c>
      <c r="G75">
        <v>1</v>
      </c>
      <c r="H75">
        <v>1</v>
      </c>
      <c r="I75">
        <v>5</v>
      </c>
      <c r="J75">
        <v>0</v>
      </c>
      <c r="K75">
        <v>5</v>
      </c>
      <c r="L75">
        <v>0</v>
      </c>
      <c r="M75">
        <v>0</v>
      </c>
      <c r="N75">
        <v>0</v>
      </c>
      <c r="O75">
        <v>0</v>
      </c>
      <c r="P75">
        <v>0</v>
      </c>
      <c r="Q75">
        <v>0</v>
      </c>
      <c r="R75">
        <v>0</v>
      </c>
      <c r="S75">
        <v>0</v>
      </c>
      <c r="T75" t="s">
        <v>29</v>
      </c>
      <c r="U75" t="s">
        <v>29</v>
      </c>
      <c r="V75" t="s">
        <v>320</v>
      </c>
      <c r="W75" s="6">
        <f t="shared" si="28"/>
        <v>8.5</v>
      </c>
      <c r="X75" s="6">
        <f t="shared" si="29"/>
        <v>4.25</v>
      </c>
      <c r="Y75" s="6">
        <f t="shared" si="30"/>
        <v>16.100000000000001</v>
      </c>
      <c r="Z75" s="6">
        <f t="shared" si="31"/>
        <v>-7.6</v>
      </c>
      <c r="AA75" t="str">
        <f t="shared" si="32"/>
        <v>UNDER</v>
      </c>
      <c r="AB75" t="s">
        <v>29</v>
      </c>
      <c r="AC75" t="e">
        <f t="shared" si="33"/>
        <v>#N/A</v>
      </c>
      <c r="AD75" t="e">
        <f t="shared" si="34"/>
        <v>#N/A</v>
      </c>
      <c r="AE75" t="e">
        <f t="shared" si="35"/>
        <v>#N/A</v>
      </c>
      <c r="AF75" t="e">
        <f t="shared" si="36"/>
        <v>#N/A</v>
      </c>
      <c r="AG75" t="e">
        <f t="shared" si="37"/>
        <v>#N/A</v>
      </c>
      <c r="AH75" t="e">
        <f t="shared" si="38"/>
        <v>#N/A</v>
      </c>
      <c r="AI75" t="e">
        <f t="shared" si="39"/>
        <v>#N/A</v>
      </c>
      <c r="AJ75">
        <f t="shared" si="40"/>
        <v>16.100000000000001</v>
      </c>
      <c r="AK75">
        <f t="shared" si="41"/>
        <v>8.5</v>
      </c>
    </row>
    <row r="76" spans="1:37" x14ac:dyDescent="0.3">
      <c r="A76" t="s">
        <v>355</v>
      </c>
      <c r="B76" t="s">
        <v>352</v>
      </c>
      <c r="C76" t="s">
        <v>32</v>
      </c>
      <c r="D76">
        <v>3</v>
      </c>
      <c r="E76" t="s">
        <v>99</v>
      </c>
      <c r="F76" t="s">
        <v>1153</v>
      </c>
      <c r="G76">
        <v>1</v>
      </c>
      <c r="H76">
        <v>1</v>
      </c>
      <c r="I76">
        <v>0</v>
      </c>
      <c r="J76">
        <v>0</v>
      </c>
      <c r="K76">
        <v>15</v>
      </c>
      <c r="L76">
        <v>15</v>
      </c>
      <c r="M76">
        <v>0</v>
      </c>
      <c r="N76">
        <v>0</v>
      </c>
      <c r="O76">
        <v>0</v>
      </c>
      <c r="P76">
        <v>0</v>
      </c>
      <c r="Q76">
        <v>0</v>
      </c>
      <c r="R76">
        <v>0</v>
      </c>
      <c r="S76">
        <v>0</v>
      </c>
      <c r="T76" t="s">
        <v>29</v>
      </c>
      <c r="U76" t="s">
        <v>29</v>
      </c>
      <c r="V76" t="s">
        <v>320</v>
      </c>
      <c r="W76" s="6">
        <f t="shared" si="28"/>
        <v>24</v>
      </c>
      <c r="X76" s="6">
        <f t="shared" si="29"/>
        <v>8</v>
      </c>
      <c r="Y76" s="6">
        <f t="shared" si="30"/>
        <v>27</v>
      </c>
      <c r="Z76" s="6">
        <f t="shared" si="31"/>
        <v>-3</v>
      </c>
      <c r="AA76" t="str">
        <f t="shared" si="32"/>
        <v>OK</v>
      </c>
      <c r="AB76" t="s">
        <v>29</v>
      </c>
      <c r="AC76" t="e">
        <f t="shared" si="33"/>
        <v>#N/A</v>
      </c>
      <c r="AD76" t="e">
        <f t="shared" si="34"/>
        <v>#N/A</v>
      </c>
      <c r="AE76" t="e">
        <f t="shared" si="35"/>
        <v>#N/A</v>
      </c>
      <c r="AF76" t="e">
        <f t="shared" si="36"/>
        <v>#N/A</v>
      </c>
      <c r="AG76" t="e">
        <f t="shared" si="37"/>
        <v>#N/A</v>
      </c>
      <c r="AH76" t="e">
        <f t="shared" si="38"/>
        <v>#N/A</v>
      </c>
      <c r="AI76" t="e">
        <f t="shared" si="39"/>
        <v>#N/A</v>
      </c>
      <c r="AJ76">
        <f t="shared" si="40"/>
        <v>27</v>
      </c>
      <c r="AK76">
        <f t="shared" si="41"/>
        <v>24</v>
      </c>
    </row>
    <row r="77" spans="1:37" x14ac:dyDescent="0.3">
      <c r="A77" t="s">
        <v>359</v>
      </c>
      <c r="B77" t="s">
        <v>357</v>
      </c>
      <c r="C77" t="s">
        <v>32</v>
      </c>
      <c r="D77">
        <v>2</v>
      </c>
      <c r="E77" t="s">
        <v>27</v>
      </c>
      <c r="F77" t="s">
        <v>1153</v>
      </c>
      <c r="G77">
        <v>9</v>
      </c>
      <c r="H77">
        <v>1</v>
      </c>
      <c r="I77">
        <v>5</v>
      </c>
      <c r="J77">
        <v>0</v>
      </c>
      <c r="K77">
        <v>0</v>
      </c>
      <c r="L77">
        <v>0</v>
      </c>
      <c r="M77">
        <v>0</v>
      </c>
      <c r="N77">
        <v>0</v>
      </c>
      <c r="O77">
        <v>0</v>
      </c>
      <c r="P77">
        <v>0</v>
      </c>
      <c r="Q77">
        <v>0</v>
      </c>
      <c r="R77">
        <v>1</v>
      </c>
      <c r="S77">
        <v>0</v>
      </c>
      <c r="T77" t="s">
        <v>29</v>
      </c>
      <c r="U77" t="s">
        <v>29</v>
      </c>
      <c r="V77" t="s">
        <v>320</v>
      </c>
      <c r="W77" s="6">
        <f t="shared" si="28"/>
        <v>23</v>
      </c>
      <c r="X77" s="6">
        <f t="shared" si="29"/>
        <v>11.5</v>
      </c>
      <c r="Y77" s="6">
        <f t="shared" si="30"/>
        <v>16.100000000000001</v>
      </c>
      <c r="Z77" s="6">
        <f t="shared" si="31"/>
        <v>6.9</v>
      </c>
      <c r="AA77" t="str">
        <f t="shared" si="32"/>
        <v>OVER</v>
      </c>
      <c r="AB77" t="s">
        <v>29</v>
      </c>
      <c r="AC77" t="e">
        <f t="shared" si="33"/>
        <v>#N/A</v>
      </c>
      <c r="AD77" t="e">
        <f t="shared" si="34"/>
        <v>#N/A</v>
      </c>
      <c r="AE77" t="e">
        <f t="shared" si="35"/>
        <v>#N/A</v>
      </c>
      <c r="AF77" t="e">
        <f t="shared" si="36"/>
        <v>#N/A</v>
      </c>
      <c r="AG77" t="e">
        <f t="shared" si="37"/>
        <v>#N/A</v>
      </c>
      <c r="AH77" t="e">
        <f t="shared" si="38"/>
        <v>#N/A</v>
      </c>
      <c r="AI77" t="e">
        <f t="shared" si="39"/>
        <v>#N/A</v>
      </c>
      <c r="AJ77">
        <f t="shared" si="40"/>
        <v>16.100000000000001</v>
      </c>
      <c r="AK77">
        <f t="shared" si="41"/>
        <v>23</v>
      </c>
    </row>
    <row r="78" spans="1:37" x14ac:dyDescent="0.3">
      <c r="A78" t="s">
        <v>366</v>
      </c>
      <c r="B78" t="s">
        <v>364</v>
      </c>
      <c r="C78" t="s">
        <v>32</v>
      </c>
      <c r="D78">
        <v>1</v>
      </c>
      <c r="E78" t="s">
        <v>27</v>
      </c>
      <c r="F78" t="s">
        <v>1153</v>
      </c>
      <c r="G78">
        <v>1</v>
      </c>
      <c r="H78">
        <v>1</v>
      </c>
      <c r="I78">
        <v>3</v>
      </c>
      <c r="J78">
        <v>0</v>
      </c>
      <c r="K78">
        <v>0</v>
      </c>
      <c r="L78">
        <v>0</v>
      </c>
      <c r="M78">
        <v>0</v>
      </c>
      <c r="N78">
        <v>0</v>
      </c>
      <c r="O78">
        <v>0</v>
      </c>
      <c r="P78">
        <v>0</v>
      </c>
      <c r="Q78">
        <v>0</v>
      </c>
      <c r="R78">
        <v>0</v>
      </c>
      <c r="S78">
        <v>0</v>
      </c>
      <c r="T78" t="s">
        <v>29</v>
      </c>
      <c r="U78" t="s">
        <v>29</v>
      </c>
      <c r="V78" t="s">
        <v>320</v>
      </c>
      <c r="W78" s="6">
        <f t="shared" si="28"/>
        <v>3</v>
      </c>
      <c r="X78" s="6">
        <f t="shared" si="29"/>
        <v>3</v>
      </c>
      <c r="Y78" s="6">
        <f t="shared" si="30"/>
        <v>9.1999999999999993</v>
      </c>
      <c r="Z78" s="6">
        <f t="shared" si="31"/>
        <v>-6.2</v>
      </c>
      <c r="AA78" t="str">
        <f t="shared" si="32"/>
        <v>UNDER</v>
      </c>
      <c r="AB78" t="s">
        <v>29</v>
      </c>
      <c r="AC78" t="e">
        <f t="shared" si="33"/>
        <v>#N/A</v>
      </c>
      <c r="AD78" t="e">
        <f t="shared" si="34"/>
        <v>#N/A</v>
      </c>
      <c r="AE78" t="e">
        <f t="shared" si="35"/>
        <v>#N/A</v>
      </c>
      <c r="AF78" t="e">
        <f t="shared" si="36"/>
        <v>#N/A</v>
      </c>
      <c r="AG78" t="e">
        <f t="shared" si="37"/>
        <v>#N/A</v>
      </c>
      <c r="AH78" t="e">
        <f t="shared" si="38"/>
        <v>#N/A</v>
      </c>
      <c r="AI78" t="e">
        <f t="shared" si="39"/>
        <v>#N/A</v>
      </c>
      <c r="AJ78">
        <f t="shared" si="40"/>
        <v>9.1999999999999993</v>
      </c>
      <c r="AK78">
        <f t="shared" si="41"/>
        <v>3</v>
      </c>
    </row>
    <row r="79" spans="1:37" x14ac:dyDescent="0.3">
      <c r="A79" t="s">
        <v>387</v>
      </c>
      <c r="B79" t="s">
        <v>385</v>
      </c>
      <c r="C79" t="s">
        <v>32</v>
      </c>
      <c r="D79">
        <v>2</v>
      </c>
      <c r="E79" t="s">
        <v>99</v>
      </c>
      <c r="F79" t="s">
        <v>1153</v>
      </c>
      <c r="G79">
        <v>1</v>
      </c>
      <c r="H79">
        <v>5</v>
      </c>
      <c r="I79">
        <v>0</v>
      </c>
      <c r="J79">
        <v>0</v>
      </c>
      <c r="K79">
        <v>0</v>
      </c>
      <c r="L79">
        <v>10</v>
      </c>
      <c r="M79">
        <v>0</v>
      </c>
      <c r="N79">
        <v>0</v>
      </c>
      <c r="O79">
        <v>0</v>
      </c>
      <c r="P79">
        <v>0</v>
      </c>
      <c r="Q79">
        <v>0</v>
      </c>
      <c r="R79">
        <v>0</v>
      </c>
      <c r="S79">
        <v>0</v>
      </c>
      <c r="T79" t="s">
        <v>29</v>
      </c>
      <c r="U79" t="s">
        <v>29</v>
      </c>
      <c r="V79" t="s">
        <v>320</v>
      </c>
      <c r="W79" s="6">
        <f t="shared" si="28"/>
        <v>18</v>
      </c>
      <c r="X79" s="6">
        <f t="shared" si="29"/>
        <v>9</v>
      </c>
      <c r="Y79" s="6">
        <f t="shared" si="30"/>
        <v>18.899999999999999</v>
      </c>
      <c r="Z79" s="6">
        <f t="shared" si="31"/>
        <v>-0.9</v>
      </c>
      <c r="AA79" t="str">
        <f t="shared" si="32"/>
        <v>OK</v>
      </c>
      <c r="AB79" t="s">
        <v>29</v>
      </c>
      <c r="AC79" t="e">
        <f t="shared" si="33"/>
        <v>#N/A</v>
      </c>
      <c r="AD79" t="e">
        <f t="shared" si="34"/>
        <v>#N/A</v>
      </c>
      <c r="AE79" t="e">
        <f t="shared" si="35"/>
        <v>#N/A</v>
      </c>
      <c r="AF79" t="e">
        <f t="shared" si="36"/>
        <v>#N/A</v>
      </c>
      <c r="AG79" t="e">
        <f t="shared" si="37"/>
        <v>#N/A</v>
      </c>
      <c r="AH79" t="e">
        <f t="shared" si="38"/>
        <v>#N/A</v>
      </c>
      <c r="AI79" t="e">
        <f t="shared" si="39"/>
        <v>#N/A</v>
      </c>
      <c r="AJ79">
        <f t="shared" si="40"/>
        <v>18.899999999999999</v>
      </c>
      <c r="AK79">
        <f t="shared" si="41"/>
        <v>18</v>
      </c>
    </row>
    <row r="80" spans="1:37" x14ac:dyDescent="0.3">
      <c r="A80" t="s">
        <v>397</v>
      </c>
      <c r="B80" t="s">
        <v>395</v>
      </c>
      <c r="C80" t="s">
        <v>32</v>
      </c>
      <c r="D80">
        <v>2</v>
      </c>
      <c r="E80" t="s">
        <v>27</v>
      </c>
      <c r="F80" t="s">
        <v>1153</v>
      </c>
      <c r="G80">
        <v>1</v>
      </c>
      <c r="H80">
        <v>1</v>
      </c>
      <c r="I80">
        <v>0</v>
      </c>
      <c r="J80">
        <v>0</v>
      </c>
      <c r="K80">
        <v>0</v>
      </c>
      <c r="L80">
        <v>10</v>
      </c>
      <c r="M80">
        <v>0</v>
      </c>
      <c r="N80">
        <v>0</v>
      </c>
      <c r="O80">
        <v>0</v>
      </c>
      <c r="P80">
        <v>0</v>
      </c>
      <c r="Q80">
        <v>0</v>
      </c>
      <c r="R80">
        <v>0</v>
      </c>
      <c r="S80">
        <v>0</v>
      </c>
      <c r="T80" t="s">
        <v>29</v>
      </c>
      <c r="U80" t="s">
        <v>53</v>
      </c>
      <c r="V80" t="s">
        <v>1138</v>
      </c>
      <c r="W80" s="6">
        <f t="shared" si="28"/>
        <v>9</v>
      </c>
      <c r="X80" s="6">
        <f t="shared" si="29"/>
        <v>4.5</v>
      </c>
      <c r="Y80" s="6">
        <f t="shared" si="30"/>
        <v>16.100000000000001</v>
      </c>
      <c r="Z80" s="6">
        <f t="shared" si="31"/>
        <v>-7.1</v>
      </c>
      <c r="AA80" t="str">
        <f t="shared" si="32"/>
        <v>RIDER</v>
      </c>
      <c r="AB80" t="s">
        <v>29</v>
      </c>
      <c r="AC80" t="e">
        <f t="shared" si="33"/>
        <v>#N/A</v>
      </c>
      <c r="AD80" t="e">
        <f t="shared" si="34"/>
        <v>#N/A</v>
      </c>
      <c r="AE80" t="e">
        <f t="shared" si="35"/>
        <v>#N/A</v>
      </c>
      <c r="AF80" t="e">
        <f t="shared" si="36"/>
        <v>#N/A</v>
      </c>
      <c r="AG80" t="e">
        <f t="shared" si="37"/>
        <v>#N/A</v>
      </c>
      <c r="AH80" t="e">
        <f t="shared" si="38"/>
        <v>#N/A</v>
      </c>
      <c r="AI80" t="e">
        <f t="shared" si="39"/>
        <v>#N/A</v>
      </c>
      <c r="AJ80">
        <f t="shared" si="40"/>
        <v>16.100000000000001</v>
      </c>
      <c r="AK80">
        <f t="shared" si="41"/>
        <v>9</v>
      </c>
    </row>
    <row r="81" spans="1:37" x14ac:dyDescent="0.3">
      <c r="A81" t="s">
        <v>401</v>
      </c>
      <c r="B81" t="s">
        <v>399</v>
      </c>
      <c r="C81" t="s">
        <v>32</v>
      </c>
      <c r="D81">
        <v>1</v>
      </c>
      <c r="E81" t="s">
        <v>44</v>
      </c>
      <c r="F81" t="s">
        <v>1153</v>
      </c>
      <c r="G81">
        <v>1</v>
      </c>
      <c r="H81">
        <v>1</v>
      </c>
      <c r="I81">
        <v>0</v>
      </c>
      <c r="J81">
        <v>0</v>
      </c>
      <c r="K81">
        <v>5</v>
      </c>
      <c r="L81">
        <v>0</v>
      </c>
      <c r="M81">
        <v>0</v>
      </c>
      <c r="N81">
        <v>0</v>
      </c>
      <c r="O81">
        <v>0</v>
      </c>
      <c r="P81">
        <v>0</v>
      </c>
      <c r="Q81">
        <v>0</v>
      </c>
      <c r="R81">
        <v>0</v>
      </c>
      <c r="S81">
        <v>0</v>
      </c>
      <c r="T81" t="s">
        <v>29</v>
      </c>
      <c r="U81" t="s">
        <v>1066</v>
      </c>
      <c r="V81" t="s">
        <v>1138</v>
      </c>
      <c r="W81" s="6">
        <f t="shared" si="28"/>
        <v>3.5</v>
      </c>
      <c r="X81" s="6">
        <f t="shared" si="29"/>
        <v>3.5</v>
      </c>
      <c r="Y81" s="6">
        <f t="shared" si="30"/>
        <v>8</v>
      </c>
      <c r="Z81" s="6">
        <f t="shared" si="31"/>
        <v>-4.5</v>
      </c>
      <c r="AA81" t="str">
        <f t="shared" si="32"/>
        <v>RIDER</v>
      </c>
      <c r="AB81" t="s">
        <v>29</v>
      </c>
      <c r="AC81" t="e">
        <f t="shared" si="33"/>
        <v>#N/A</v>
      </c>
      <c r="AD81" t="e">
        <f t="shared" si="34"/>
        <v>#N/A</v>
      </c>
      <c r="AE81" t="e">
        <f t="shared" si="35"/>
        <v>#N/A</v>
      </c>
      <c r="AF81" t="e">
        <f t="shared" si="36"/>
        <v>#N/A</v>
      </c>
      <c r="AG81" t="e">
        <f t="shared" si="37"/>
        <v>#N/A</v>
      </c>
      <c r="AH81" t="e">
        <f t="shared" si="38"/>
        <v>#N/A</v>
      </c>
      <c r="AI81" t="e">
        <f t="shared" si="39"/>
        <v>#N/A</v>
      </c>
      <c r="AJ81">
        <f t="shared" si="40"/>
        <v>8</v>
      </c>
      <c r="AK81">
        <f t="shared" si="41"/>
        <v>3.5</v>
      </c>
    </row>
    <row r="82" spans="1:37" x14ac:dyDescent="0.3">
      <c r="A82" t="s">
        <v>404</v>
      </c>
      <c r="B82" t="s">
        <v>404</v>
      </c>
      <c r="C82" t="s">
        <v>32</v>
      </c>
      <c r="D82">
        <v>2</v>
      </c>
      <c r="E82" t="s">
        <v>99</v>
      </c>
      <c r="F82" t="s">
        <v>1153</v>
      </c>
      <c r="G82">
        <v>1</v>
      </c>
      <c r="H82">
        <v>1</v>
      </c>
      <c r="I82">
        <v>0</v>
      </c>
      <c r="J82">
        <v>0</v>
      </c>
      <c r="K82">
        <v>0</v>
      </c>
      <c r="L82">
        <v>0</v>
      </c>
      <c r="M82">
        <v>0</v>
      </c>
      <c r="N82">
        <v>0</v>
      </c>
      <c r="O82">
        <v>0</v>
      </c>
      <c r="P82">
        <v>0</v>
      </c>
      <c r="Q82">
        <v>0</v>
      </c>
      <c r="R82">
        <v>1</v>
      </c>
      <c r="S82">
        <v>0</v>
      </c>
      <c r="T82" t="s">
        <v>29</v>
      </c>
      <c r="U82" t="s">
        <v>29</v>
      </c>
      <c r="V82" t="s">
        <v>320</v>
      </c>
      <c r="W82" s="6">
        <f t="shared" si="28"/>
        <v>3</v>
      </c>
      <c r="X82" s="6">
        <f t="shared" si="29"/>
        <v>1.5</v>
      </c>
      <c r="Y82" s="6">
        <f t="shared" si="30"/>
        <v>18.899999999999999</v>
      </c>
      <c r="Z82" s="6">
        <f t="shared" si="31"/>
        <v>-15.9</v>
      </c>
      <c r="AA82" t="str">
        <f t="shared" si="32"/>
        <v>UNDER</v>
      </c>
      <c r="AB82" t="s">
        <v>29</v>
      </c>
      <c r="AC82" t="e">
        <f t="shared" si="33"/>
        <v>#N/A</v>
      </c>
      <c r="AD82" t="e">
        <f t="shared" si="34"/>
        <v>#N/A</v>
      </c>
      <c r="AE82" t="e">
        <f t="shared" si="35"/>
        <v>#N/A</v>
      </c>
      <c r="AF82" t="e">
        <f t="shared" si="36"/>
        <v>#N/A</v>
      </c>
      <c r="AG82" t="e">
        <f t="shared" si="37"/>
        <v>#N/A</v>
      </c>
      <c r="AH82" t="e">
        <f t="shared" si="38"/>
        <v>#N/A</v>
      </c>
      <c r="AI82" t="e">
        <f t="shared" si="39"/>
        <v>#N/A</v>
      </c>
      <c r="AJ82">
        <f t="shared" si="40"/>
        <v>18.899999999999999</v>
      </c>
      <c r="AK82">
        <f t="shared" si="41"/>
        <v>3</v>
      </c>
    </row>
    <row r="83" spans="1:37" x14ac:dyDescent="0.3">
      <c r="A83" t="s">
        <v>410</v>
      </c>
      <c r="B83" t="s">
        <v>407</v>
      </c>
      <c r="C83" t="s">
        <v>32</v>
      </c>
      <c r="D83">
        <v>2</v>
      </c>
      <c r="E83" t="s">
        <v>27</v>
      </c>
      <c r="F83" t="s">
        <v>1153</v>
      </c>
      <c r="G83">
        <v>1</v>
      </c>
      <c r="H83">
        <v>13</v>
      </c>
      <c r="I83">
        <v>0</v>
      </c>
      <c r="J83">
        <v>0</v>
      </c>
      <c r="K83">
        <v>0</v>
      </c>
      <c r="L83">
        <v>0</v>
      </c>
      <c r="M83">
        <v>0</v>
      </c>
      <c r="N83">
        <v>0</v>
      </c>
      <c r="O83">
        <v>2</v>
      </c>
      <c r="P83">
        <v>0</v>
      </c>
      <c r="Q83">
        <v>0</v>
      </c>
      <c r="R83">
        <v>0</v>
      </c>
      <c r="S83">
        <v>0</v>
      </c>
      <c r="T83" t="s">
        <v>29</v>
      </c>
      <c r="U83" t="s">
        <v>29</v>
      </c>
      <c r="V83" t="s">
        <v>320</v>
      </c>
      <c r="W83" s="6">
        <f t="shared" si="28"/>
        <v>18</v>
      </c>
      <c r="X83" s="6">
        <f t="shared" si="29"/>
        <v>9</v>
      </c>
      <c r="Y83" s="6">
        <f t="shared" si="30"/>
        <v>16.100000000000001</v>
      </c>
      <c r="Z83" s="6">
        <f t="shared" si="31"/>
        <v>1.9</v>
      </c>
      <c r="AA83" t="str">
        <f t="shared" si="32"/>
        <v>OK</v>
      </c>
      <c r="AB83" t="s">
        <v>29</v>
      </c>
      <c r="AC83" t="e">
        <f t="shared" si="33"/>
        <v>#N/A</v>
      </c>
      <c r="AD83" t="e">
        <f t="shared" si="34"/>
        <v>#N/A</v>
      </c>
      <c r="AE83" t="e">
        <f t="shared" si="35"/>
        <v>#N/A</v>
      </c>
      <c r="AF83" t="e">
        <f t="shared" si="36"/>
        <v>#N/A</v>
      </c>
      <c r="AG83" t="e">
        <f t="shared" si="37"/>
        <v>#N/A</v>
      </c>
      <c r="AH83" t="e">
        <f t="shared" si="38"/>
        <v>#N/A</v>
      </c>
      <c r="AI83" t="e">
        <f t="shared" si="39"/>
        <v>#N/A</v>
      </c>
      <c r="AJ83">
        <f t="shared" si="40"/>
        <v>16.100000000000001</v>
      </c>
      <c r="AK83">
        <f t="shared" si="41"/>
        <v>18</v>
      </c>
    </row>
    <row r="84" spans="1:37" x14ac:dyDescent="0.3">
      <c r="A84" t="s">
        <v>412</v>
      </c>
      <c r="B84" t="s">
        <v>412</v>
      </c>
      <c r="C84" t="s">
        <v>32</v>
      </c>
      <c r="D84">
        <v>1</v>
      </c>
      <c r="E84" t="s">
        <v>44</v>
      </c>
      <c r="F84" t="s">
        <v>1153</v>
      </c>
      <c r="G84">
        <v>1</v>
      </c>
      <c r="H84">
        <v>1</v>
      </c>
      <c r="I84">
        <v>0</v>
      </c>
      <c r="J84">
        <v>0</v>
      </c>
      <c r="K84">
        <v>0</v>
      </c>
      <c r="L84">
        <v>0</v>
      </c>
      <c r="M84">
        <v>0</v>
      </c>
      <c r="N84">
        <v>0</v>
      </c>
      <c r="O84">
        <v>0</v>
      </c>
      <c r="P84">
        <v>2</v>
      </c>
      <c r="Q84">
        <v>0</v>
      </c>
      <c r="R84">
        <v>0</v>
      </c>
      <c r="S84">
        <v>0</v>
      </c>
      <c r="T84" t="s">
        <v>29</v>
      </c>
      <c r="U84" t="s">
        <v>29</v>
      </c>
      <c r="V84" t="s">
        <v>320</v>
      </c>
      <c r="W84" s="6">
        <f t="shared" si="28"/>
        <v>6</v>
      </c>
      <c r="X84" s="6">
        <f t="shared" si="29"/>
        <v>6</v>
      </c>
      <c r="Y84" s="6">
        <f t="shared" si="30"/>
        <v>8</v>
      </c>
      <c r="Z84" s="6">
        <f t="shared" si="31"/>
        <v>-2</v>
      </c>
      <c r="AA84" t="str">
        <f t="shared" si="32"/>
        <v>OK</v>
      </c>
      <c r="AB84" t="s">
        <v>29</v>
      </c>
      <c r="AC84" t="e">
        <f t="shared" si="33"/>
        <v>#N/A</v>
      </c>
      <c r="AD84" t="e">
        <f t="shared" si="34"/>
        <v>#N/A</v>
      </c>
      <c r="AE84" t="e">
        <f t="shared" si="35"/>
        <v>#N/A</v>
      </c>
      <c r="AF84" t="e">
        <f t="shared" si="36"/>
        <v>#N/A</v>
      </c>
      <c r="AG84" t="e">
        <f t="shared" si="37"/>
        <v>#N/A</v>
      </c>
      <c r="AH84" t="e">
        <f t="shared" si="38"/>
        <v>#N/A</v>
      </c>
      <c r="AI84" t="e">
        <f t="shared" si="39"/>
        <v>#N/A</v>
      </c>
      <c r="AJ84">
        <f t="shared" si="40"/>
        <v>8</v>
      </c>
      <c r="AK84">
        <f t="shared" si="41"/>
        <v>6</v>
      </c>
    </row>
    <row r="85" spans="1:37" x14ac:dyDescent="0.3">
      <c r="A85" t="s">
        <v>417</v>
      </c>
      <c r="B85" t="s">
        <v>414</v>
      </c>
      <c r="C85" t="s">
        <v>32</v>
      </c>
      <c r="D85">
        <v>2</v>
      </c>
      <c r="E85" t="s">
        <v>27</v>
      </c>
      <c r="F85" t="s">
        <v>1153</v>
      </c>
      <c r="G85">
        <v>1</v>
      </c>
      <c r="H85">
        <v>1</v>
      </c>
      <c r="I85">
        <v>5</v>
      </c>
      <c r="J85">
        <v>0</v>
      </c>
      <c r="K85">
        <v>0</v>
      </c>
      <c r="L85">
        <v>0</v>
      </c>
      <c r="M85">
        <v>0</v>
      </c>
      <c r="N85">
        <v>0</v>
      </c>
      <c r="O85">
        <v>0</v>
      </c>
      <c r="P85">
        <v>3</v>
      </c>
      <c r="Q85">
        <v>0</v>
      </c>
      <c r="R85">
        <v>0</v>
      </c>
      <c r="S85">
        <v>0</v>
      </c>
      <c r="T85" t="s">
        <v>29</v>
      </c>
      <c r="U85" t="s">
        <v>29</v>
      </c>
      <c r="V85" t="s">
        <v>320</v>
      </c>
      <c r="W85" s="6">
        <f t="shared" si="28"/>
        <v>14</v>
      </c>
      <c r="X85" s="6">
        <f t="shared" si="29"/>
        <v>7</v>
      </c>
      <c r="Y85" s="6">
        <f t="shared" si="30"/>
        <v>16.100000000000001</v>
      </c>
      <c r="Z85" s="6">
        <f t="shared" si="31"/>
        <v>-2.1</v>
      </c>
      <c r="AA85" t="str">
        <f t="shared" si="32"/>
        <v>OK</v>
      </c>
      <c r="AB85" t="s">
        <v>29</v>
      </c>
      <c r="AC85" t="e">
        <f t="shared" si="33"/>
        <v>#N/A</v>
      </c>
      <c r="AD85" t="e">
        <f t="shared" si="34"/>
        <v>#N/A</v>
      </c>
      <c r="AE85" t="e">
        <f t="shared" si="35"/>
        <v>#N/A</v>
      </c>
      <c r="AF85" t="e">
        <f t="shared" si="36"/>
        <v>#N/A</v>
      </c>
      <c r="AG85" t="e">
        <f t="shared" si="37"/>
        <v>#N/A</v>
      </c>
      <c r="AH85" t="e">
        <f t="shared" si="38"/>
        <v>#N/A</v>
      </c>
      <c r="AI85" t="e">
        <f t="shared" si="39"/>
        <v>#N/A</v>
      </c>
      <c r="AJ85">
        <f t="shared" si="40"/>
        <v>16.100000000000001</v>
      </c>
      <c r="AK85">
        <f t="shared" si="41"/>
        <v>14</v>
      </c>
    </row>
    <row r="86" spans="1:37" x14ac:dyDescent="0.3">
      <c r="A86" t="s">
        <v>421</v>
      </c>
      <c r="B86" t="s">
        <v>418</v>
      </c>
      <c r="C86" t="s">
        <v>32</v>
      </c>
      <c r="D86">
        <v>1</v>
      </c>
      <c r="E86" t="s">
        <v>44</v>
      </c>
      <c r="F86" t="s">
        <v>1153</v>
      </c>
      <c r="G86">
        <v>1</v>
      </c>
      <c r="H86">
        <v>1</v>
      </c>
      <c r="I86">
        <v>0</v>
      </c>
      <c r="J86">
        <v>0</v>
      </c>
      <c r="K86">
        <v>0</v>
      </c>
      <c r="L86">
        <v>0</v>
      </c>
      <c r="M86">
        <v>0</v>
      </c>
      <c r="N86">
        <v>0</v>
      </c>
      <c r="O86">
        <v>0</v>
      </c>
      <c r="P86">
        <v>0</v>
      </c>
      <c r="Q86">
        <v>0</v>
      </c>
      <c r="R86">
        <v>0</v>
      </c>
      <c r="S86">
        <v>1</v>
      </c>
      <c r="T86" t="s">
        <v>29</v>
      </c>
      <c r="U86" t="s">
        <v>29</v>
      </c>
      <c r="V86" t="s">
        <v>320</v>
      </c>
      <c r="W86" s="6">
        <f t="shared" si="28"/>
        <v>6</v>
      </c>
      <c r="X86" s="6">
        <f t="shared" si="29"/>
        <v>6</v>
      </c>
      <c r="Y86" s="6">
        <f t="shared" si="30"/>
        <v>8</v>
      </c>
      <c r="Z86" s="6">
        <f t="shared" si="31"/>
        <v>-2</v>
      </c>
      <c r="AA86" t="str">
        <f t="shared" si="32"/>
        <v>OK</v>
      </c>
      <c r="AB86" t="s">
        <v>29</v>
      </c>
      <c r="AC86" t="e">
        <f t="shared" si="33"/>
        <v>#N/A</v>
      </c>
      <c r="AD86" t="e">
        <f t="shared" si="34"/>
        <v>#N/A</v>
      </c>
      <c r="AE86" t="e">
        <f t="shared" si="35"/>
        <v>#N/A</v>
      </c>
      <c r="AF86" t="e">
        <f t="shared" si="36"/>
        <v>#N/A</v>
      </c>
      <c r="AG86" t="e">
        <f t="shared" si="37"/>
        <v>#N/A</v>
      </c>
      <c r="AH86" t="e">
        <f t="shared" si="38"/>
        <v>#N/A</v>
      </c>
      <c r="AI86" t="e">
        <f t="shared" si="39"/>
        <v>#N/A</v>
      </c>
      <c r="AJ86">
        <f t="shared" si="40"/>
        <v>8</v>
      </c>
      <c r="AK86">
        <f t="shared" si="41"/>
        <v>6</v>
      </c>
    </row>
    <row r="87" spans="1:37" x14ac:dyDescent="0.3">
      <c r="A87" t="s">
        <v>425</v>
      </c>
      <c r="B87" t="s">
        <v>423</v>
      </c>
      <c r="C87" t="s">
        <v>32</v>
      </c>
      <c r="D87">
        <v>2</v>
      </c>
      <c r="E87" t="s">
        <v>99</v>
      </c>
      <c r="F87" t="s">
        <v>1153</v>
      </c>
      <c r="G87">
        <v>1</v>
      </c>
      <c r="H87">
        <v>1</v>
      </c>
      <c r="I87">
        <v>0</v>
      </c>
      <c r="J87">
        <v>0</v>
      </c>
      <c r="K87">
        <v>0</v>
      </c>
      <c r="L87">
        <v>15</v>
      </c>
      <c r="M87">
        <v>0</v>
      </c>
      <c r="N87">
        <v>0</v>
      </c>
      <c r="O87">
        <v>0</v>
      </c>
      <c r="P87">
        <v>0</v>
      </c>
      <c r="Q87">
        <v>0</v>
      </c>
      <c r="R87">
        <v>0</v>
      </c>
      <c r="S87">
        <v>1</v>
      </c>
      <c r="T87" t="s">
        <v>29</v>
      </c>
      <c r="U87" t="s">
        <v>29</v>
      </c>
      <c r="V87" t="s">
        <v>320</v>
      </c>
      <c r="W87" s="6">
        <f t="shared" si="28"/>
        <v>19.5</v>
      </c>
      <c r="X87" s="6">
        <f t="shared" si="29"/>
        <v>9.75</v>
      </c>
      <c r="Y87" s="6">
        <f t="shared" si="30"/>
        <v>18.899999999999999</v>
      </c>
      <c r="Z87" s="6">
        <f t="shared" si="31"/>
        <v>0.6</v>
      </c>
      <c r="AA87" t="str">
        <f t="shared" si="32"/>
        <v>OK</v>
      </c>
      <c r="AB87" t="s">
        <v>29</v>
      </c>
      <c r="AC87" t="e">
        <f t="shared" si="33"/>
        <v>#N/A</v>
      </c>
      <c r="AD87" t="e">
        <f t="shared" si="34"/>
        <v>#N/A</v>
      </c>
      <c r="AE87" t="e">
        <f t="shared" si="35"/>
        <v>#N/A</v>
      </c>
      <c r="AF87" t="e">
        <f t="shared" si="36"/>
        <v>#N/A</v>
      </c>
      <c r="AG87" t="e">
        <f t="shared" si="37"/>
        <v>#N/A</v>
      </c>
      <c r="AH87" t="e">
        <f t="shared" si="38"/>
        <v>#N/A</v>
      </c>
      <c r="AI87" t="e">
        <f t="shared" si="39"/>
        <v>#N/A</v>
      </c>
      <c r="AJ87">
        <f t="shared" si="40"/>
        <v>18.899999999999999</v>
      </c>
      <c r="AK87">
        <f t="shared" si="41"/>
        <v>19.5</v>
      </c>
    </row>
    <row r="88" spans="1:37" x14ac:dyDescent="0.3">
      <c r="A88" t="s">
        <v>426</v>
      </c>
      <c r="B88" t="s">
        <v>426</v>
      </c>
      <c r="C88" t="s">
        <v>32</v>
      </c>
      <c r="D88">
        <v>1</v>
      </c>
      <c r="E88" t="s">
        <v>27</v>
      </c>
      <c r="F88" t="s">
        <v>1153</v>
      </c>
      <c r="G88">
        <v>1</v>
      </c>
      <c r="H88">
        <v>1</v>
      </c>
      <c r="I88">
        <v>5</v>
      </c>
      <c r="J88">
        <v>0</v>
      </c>
      <c r="K88">
        <v>0</v>
      </c>
      <c r="L88">
        <v>0</v>
      </c>
      <c r="M88">
        <v>0</v>
      </c>
      <c r="N88">
        <v>0</v>
      </c>
      <c r="O88">
        <v>0</v>
      </c>
      <c r="P88">
        <v>0</v>
      </c>
      <c r="Q88">
        <v>0</v>
      </c>
      <c r="R88">
        <v>0</v>
      </c>
      <c r="S88">
        <v>0</v>
      </c>
      <c r="T88" t="s">
        <v>29</v>
      </c>
      <c r="U88" t="s">
        <v>1066</v>
      </c>
      <c r="V88" t="s">
        <v>1138</v>
      </c>
      <c r="W88" s="6">
        <f t="shared" si="28"/>
        <v>5</v>
      </c>
      <c r="X88" s="6">
        <f t="shared" si="29"/>
        <v>5</v>
      </c>
      <c r="Y88" s="6">
        <f t="shared" si="30"/>
        <v>9.1999999999999993</v>
      </c>
      <c r="Z88" s="6">
        <f t="shared" si="31"/>
        <v>-4.2</v>
      </c>
      <c r="AA88" t="str">
        <f t="shared" si="32"/>
        <v>RIDER</v>
      </c>
      <c r="AB88" t="s">
        <v>29</v>
      </c>
      <c r="AC88" t="e">
        <f t="shared" si="33"/>
        <v>#N/A</v>
      </c>
      <c r="AD88" t="e">
        <f t="shared" si="34"/>
        <v>#N/A</v>
      </c>
      <c r="AE88" t="e">
        <f t="shared" si="35"/>
        <v>#N/A</v>
      </c>
      <c r="AF88" t="e">
        <f t="shared" si="36"/>
        <v>#N/A</v>
      </c>
      <c r="AG88" t="e">
        <f t="shared" si="37"/>
        <v>#N/A</v>
      </c>
      <c r="AH88" t="e">
        <f t="shared" si="38"/>
        <v>#N/A</v>
      </c>
      <c r="AI88" t="e">
        <f t="shared" si="39"/>
        <v>#N/A</v>
      </c>
      <c r="AJ88">
        <f t="shared" si="40"/>
        <v>9.1999999999999993</v>
      </c>
      <c r="AK88">
        <f t="shared" si="41"/>
        <v>5</v>
      </c>
    </row>
    <row r="89" spans="1:37" x14ac:dyDescent="0.3">
      <c r="A89" t="s">
        <v>430</v>
      </c>
      <c r="B89" t="s">
        <v>428</v>
      </c>
      <c r="C89" t="s">
        <v>32</v>
      </c>
      <c r="D89">
        <v>1</v>
      </c>
      <c r="E89" t="s">
        <v>27</v>
      </c>
      <c r="F89" t="s">
        <v>1153</v>
      </c>
      <c r="G89">
        <v>1</v>
      </c>
      <c r="H89">
        <v>1</v>
      </c>
      <c r="I89">
        <v>0</v>
      </c>
      <c r="J89">
        <v>0</v>
      </c>
      <c r="K89">
        <v>0</v>
      </c>
      <c r="L89">
        <v>0</v>
      </c>
      <c r="M89">
        <v>0</v>
      </c>
      <c r="N89">
        <v>0</v>
      </c>
      <c r="O89">
        <v>0</v>
      </c>
      <c r="P89">
        <v>0</v>
      </c>
      <c r="Q89">
        <v>0</v>
      </c>
      <c r="R89">
        <v>0</v>
      </c>
      <c r="S89">
        <v>1</v>
      </c>
      <c r="T89" t="s">
        <v>29</v>
      </c>
      <c r="U89" t="s">
        <v>29</v>
      </c>
      <c r="V89" t="s">
        <v>320</v>
      </c>
      <c r="W89" s="6">
        <f t="shared" si="28"/>
        <v>6</v>
      </c>
      <c r="X89" s="6">
        <f t="shared" si="29"/>
        <v>6</v>
      </c>
      <c r="Y89" s="6">
        <f t="shared" si="30"/>
        <v>9.1999999999999993</v>
      </c>
      <c r="Z89" s="6">
        <f t="shared" si="31"/>
        <v>-3.2</v>
      </c>
      <c r="AA89" t="str">
        <f t="shared" si="32"/>
        <v>UNDER</v>
      </c>
      <c r="AB89" t="s">
        <v>29</v>
      </c>
      <c r="AC89" t="e">
        <f t="shared" si="33"/>
        <v>#N/A</v>
      </c>
      <c r="AD89" t="e">
        <f t="shared" si="34"/>
        <v>#N/A</v>
      </c>
      <c r="AE89" t="e">
        <f t="shared" si="35"/>
        <v>#N/A</v>
      </c>
      <c r="AF89" t="e">
        <f t="shared" si="36"/>
        <v>#N/A</v>
      </c>
      <c r="AG89" t="e">
        <f t="shared" si="37"/>
        <v>#N/A</v>
      </c>
      <c r="AH89" t="e">
        <f t="shared" si="38"/>
        <v>#N/A</v>
      </c>
      <c r="AI89" t="e">
        <f t="shared" si="39"/>
        <v>#N/A</v>
      </c>
      <c r="AJ89">
        <f t="shared" si="40"/>
        <v>9.1999999999999993</v>
      </c>
      <c r="AK89">
        <f t="shared" si="41"/>
        <v>6</v>
      </c>
    </row>
    <row r="90" spans="1:37" x14ac:dyDescent="0.3">
      <c r="A90" t="s">
        <v>431</v>
      </c>
      <c r="B90" t="s">
        <v>431</v>
      </c>
      <c r="C90" t="s">
        <v>32</v>
      </c>
      <c r="D90">
        <v>2</v>
      </c>
      <c r="E90" t="s">
        <v>99</v>
      </c>
      <c r="F90" t="s">
        <v>1153</v>
      </c>
      <c r="G90">
        <v>1</v>
      </c>
      <c r="H90">
        <v>1</v>
      </c>
      <c r="I90">
        <v>0</v>
      </c>
      <c r="J90">
        <v>0</v>
      </c>
      <c r="K90">
        <v>0</v>
      </c>
      <c r="L90">
        <v>0</v>
      </c>
      <c r="M90">
        <v>0</v>
      </c>
      <c r="N90">
        <v>0</v>
      </c>
      <c r="O90">
        <v>3</v>
      </c>
      <c r="P90">
        <v>0</v>
      </c>
      <c r="Q90">
        <v>1</v>
      </c>
      <c r="R90">
        <v>0</v>
      </c>
      <c r="S90">
        <v>0</v>
      </c>
      <c r="T90" t="s">
        <v>29</v>
      </c>
      <c r="U90" t="s">
        <v>29</v>
      </c>
      <c r="V90" t="s">
        <v>320</v>
      </c>
      <c r="W90" s="6">
        <f t="shared" si="28"/>
        <v>12</v>
      </c>
      <c r="X90" s="6">
        <f t="shared" si="29"/>
        <v>6</v>
      </c>
      <c r="Y90" s="6">
        <f t="shared" si="30"/>
        <v>18.899999999999999</v>
      </c>
      <c r="Z90" s="6">
        <f t="shared" si="31"/>
        <v>-6.9</v>
      </c>
      <c r="AA90" t="str">
        <f t="shared" si="32"/>
        <v>UNDER</v>
      </c>
      <c r="AB90" t="s">
        <v>29</v>
      </c>
      <c r="AC90" t="e">
        <f t="shared" si="33"/>
        <v>#N/A</v>
      </c>
      <c r="AD90" t="e">
        <f t="shared" si="34"/>
        <v>#N/A</v>
      </c>
      <c r="AE90" t="e">
        <f t="shared" si="35"/>
        <v>#N/A</v>
      </c>
      <c r="AF90" t="e">
        <f t="shared" si="36"/>
        <v>#N/A</v>
      </c>
      <c r="AG90" t="e">
        <f t="shared" si="37"/>
        <v>#N/A</v>
      </c>
      <c r="AH90" t="e">
        <f t="shared" si="38"/>
        <v>#N/A</v>
      </c>
      <c r="AI90" t="e">
        <f t="shared" si="39"/>
        <v>#N/A</v>
      </c>
      <c r="AJ90">
        <f t="shared" si="40"/>
        <v>18.899999999999999</v>
      </c>
      <c r="AK90">
        <f t="shared" si="41"/>
        <v>12</v>
      </c>
    </row>
    <row r="91" spans="1:37" x14ac:dyDescent="0.3">
      <c r="A91" t="s">
        <v>435</v>
      </c>
      <c r="B91" t="s">
        <v>433</v>
      </c>
      <c r="C91" t="s">
        <v>32</v>
      </c>
      <c r="D91">
        <v>1</v>
      </c>
      <c r="E91" t="s">
        <v>44</v>
      </c>
      <c r="F91" t="s">
        <v>1153</v>
      </c>
      <c r="G91">
        <v>1</v>
      </c>
      <c r="H91">
        <v>1</v>
      </c>
      <c r="I91">
        <v>0</v>
      </c>
      <c r="J91">
        <v>0</v>
      </c>
      <c r="K91">
        <v>5</v>
      </c>
      <c r="L91">
        <v>0</v>
      </c>
      <c r="M91">
        <v>0</v>
      </c>
      <c r="N91">
        <v>0</v>
      </c>
      <c r="O91">
        <v>0</v>
      </c>
      <c r="P91">
        <v>0</v>
      </c>
      <c r="Q91">
        <v>0</v>
      </c>
      <c r="R91">
        <v>0</v>
      </c>
      <c r="S91">
        <v>0</v>
      </c>
      <c r="T91" t="s">
        <v>29</v>
      </c>
      <c r="U91" t="s">
        <v>29</v>
      </c>
      <c r="V91" t="s">
        <v>320</v>
      </c>
      <c r="W91" s="6">
        <f t="shared" si="28"/>
        <v>3.5</v>
      </c>
      <c r="X91" s="6">
        <f t="shared" si="29"/>
        <v>3.5</v>
      </c>
      <c r="Y91" s="6">
        <f t="shared" si="30"/>
        <v>8</v>
      </c>
      <c r="Z91" s="6">
        <f t="shared" si="31"/>
        <v>-4.5</v>
      </c>
      <c r="AA91" t="str">
        <f t="shared" si="32"/>
        <v>UNDER</v>
      </c>
      <c r="AB91" t="s">
        <v>29</v>
      </c>
      <c r="AC91" t="e">
        <f t="shared" si="33"/>
        <v>#N/A</v>
      </c>
      <c r="AD91" t="e">
        <f t="shared" si="34"/>
        <v>#N/A</v>
      </c>
      <c r="AE91" t="e">
        <f t="shared" si="35"/>
        <v>#N/A</v>
      </c>
      <c r="AF91" t="e">
        <f t="shared" si="36"/>
        <v>#N/A</v>
      </c>
      <c r="AG91" t="e">
        <f t="shared" si="37"/>
        <v>#N/A</v>
      </c>
      <c r="AH91" t="e">
        <f t="shared" si="38"/>
        <v>#N/A</v>
      </c>
      <c r="AI91" t="e">
        <f t="shared" si="39"/>
        <v>#N/A</v>
      </c>
      <c r="AJ91">
        <f t="shared" si="40"/>
        <v>8</v>
      </c>
      <c r="AK91">
        <f t="shared" si="41"/>
        <v>3.5</v>
      </c>
    </row>
    <row r="92" spans="1:37" x14ac:dyDescent="0.3">
      <c r="A92" t="s">
        <v>437</v>
      </c>
      <c r="B92" t="s">
        <v>437</v>
      </c>
      <c r="C92" t="s">
        <v>32</v>
      </c>
      <c r="D92">
        <v>3</v>
      </c>
      <c r="E92" t="s">
        <v>438</v>
      </c>
      <c r="F92" t="s">
        <v>1153</v>
      </c>
      <c r="G92">
        <v>1</v>
      </c>
      <c r="H92">
        <v>1</v>
      </c>
      <c r="I92">
        <v>0</v>
      </c>
      <c r="J92">
        <v>0</v>
      </c>
      <c r="K92">
        <v>10</v>
      </c>
      <c r="L92">
        <v>25</v>
      </c>
      <c r="M92">
        <v>0</v>
      </c>
      <c r="N92">
        <v>0</v>
      </c>
      <c r="O92">
        <v>0</v>
      </c>
      <c r="P92">
        <v>0</v>
      </c>
      <c r="Q92">
        <v>0</v>
      </c>
      <c r="R92">
        <v>0</v>
      </c>
      <c r="S92">
        <v>1</v>
      </c>
      <c r="T92" t="s">
        <v>29</v>
      </c>
      <c r="U92" t="s">
        <v>29</v>
      </c>
      <c r="V92" t="s">
        <v>320</v>
      </c>
      <c r="W92" s="6">
        <f t="shared" si="28"/>
        <v>35.5</v>
      </c>
      <c r="X92" s="6">
        <f t="shared" si="29"/>
        <v>11.83</v>
      </c>
      <c r="Y92" s="6">
        <f t="shared" si="30"/>
        <v>32</v>
      </c>
      <c r="Z92" s="6">
        <f t="shared" si="31"/>
        <v>3.5</v>
      </c>
      <c r="AA92" t="str">
        <f t="shared" si="32"/>
        <v>OK</v>
      </c>
      <c r="AB92" t="s">
        <v>29</v>
      </c>
      <c r="AC92" t="e">
        <f t="shared" si="33"/>
        <v>#N/A</v>
      </c>
      <c r="AD92" t="e">
        <f t="shared" si="34"/>
        <v>#N/A</v>
      </c>
      <c r="AE92" t="e">
        <f t="shared" si="35"/>
        <v>#N/A</v>
      </c>
      <c r="AF92" t="e">
        <f t="shared" si="36"/>
        <v>#N/A</v>
      </c>
      <c r="AG92" t="e">
        <f t="shared" si="37"/>
        <v>#N/A</v>
      </c>
      <c r="AH92" t="e">
        <f t="shared" si="38"/>
        <v>#N/A</v>
      </c>
      <c r="AI92" t="e">
        <f t="shared" si="39"/>
        <v>#N/A</v>
      </c>
      <c r="AJ92">
        <f t="shared" si="40"/>
        <v>32</v>
      </c>
      <c r="AK92">
        <f t="shared" si="41"/>
        <v>35.5</v>
      </c>
    </row>
    <row r="93" spans="1:37" x14ac:dyDescent="0.3">
      <c r="A93" t="s">
        <v>469</v>
      </c>
      <c r="B93" t="s">
        <v>466</v>
      </c>
      <c r="C93" t="s">
        <v>32</v>
      </c>
      <c r="D93">
        <v>1</v>
      </c>
      <c r="E93" t="s">
        <v>44</v>
      </c>
      <c r="F93" t="s">
        <v>1153</v>
      </c>
      <c r="G93">
        <v>1</v>
      </c>
      <c r="H93">
        <v>1</v>
      </c>
      <c r="I93">
        <v>10</v>
      </c>
      <c r="J93">
        <v>0</v>
      </c>
      <c r="K93">
        <v>0</v>
      </c>
      <c r="L93">
        <v>0</v>
      </c>
      <c r="M93">
        <v>0</v>
      </c>
      <c r="N93">
        <v>0</v>
      </c>
      <c r="O93">
        <v>0</v>
      </c>
      <c r="P93">
        <v>0</v>
      </c>
      <c r="Q93">
        <v>0</v>
      </c>
      <c r="R93">
        <v>0</v>
      </c>
      <c r="S93">
        <v>0</v>
      </c>
      <c r="T93" t="s">
        <v>29</v>
      </c>
      <c r="U93" t="s">
        <v>29</v>
      </c>
      <c r="V93" t="s">
        <v>320</v>
      </c>
      <c r="W93" s="6">
        <f t="shared" si="28"/>
        <v>10</v>
      </c>
      <c r="X93" s="6">
        <f t="shared" si="29"/>
        <v>10</v>
      </c>
      <c r="Y93" s="6">
        <f t="shared" si="30"/>
        <v>8</v>
      </c>
      <c r="Z93" s="6">
        <f t="shared" si="31"/>
        <v>2</v>
      </c>
      <c r="AA93" t="str">
        <f t="shared" si="32"/>
        <v>OK</v>
      </c>
      <c r="AB93" t="s">
        <v>29</v>
      </c>
      <c r="AC93" t="e">
        <f t="shared" si="33"/>
        <v>#N/A</v>
      </c>
      <c r="AD93" t="e">
        <f t="shared" si="34"/>
        <v>#N/A</v>
      </c>
      <c r="AE93" t="e">
        <f t="shared" si="35"/>
        <v>#N/A</v>
      </c>
      <c r="AF93" t="e">
        <f t="shared" si="36"/>
        <v>#N/A</v>
      </c>
      <c r="AG93" t="e">
        <f t="shared" si="37"/>
        <v>#N/A</v>
      </c>
      <c r="AH93" t="e">
        <f t="shared" si="38"/>
        <v>#N/A</v>
      </c>
      <c r="AI93" t="e">
        <f t="shared" si="39"/>
        <v>#N/A</v>
      </c>
      <c r="AJ93">
        <f t="shared" si="40"/>
        <v>8</v>
      </c>
      <c r="AK93">
        <f t="shared" si="41"/>
        <v>10</v>
      </c>
    </row>
    <row r="94" spans="1:37" x14ac:dyDescent="0.3">
      <c r="A94" t="s">
        <v>492</v>
      </c>
      <c r="B94" t="s">
        <v>490</v>
      </c>
      <c r="C94" t="s">
        <v>32</v>
      </c>
      <c r="D94">
        <v>3</v>
      </c>
      <c r="E94" t="s">
        <v>438</v>
      </c>
      <c r="F94" t="s">
        <v>1153</v>
      </c>
      <c r="G94">
        <v>1</v>
      </c>
      <c r="H94">
        <v>1</v>
      </c>
      <c r="I94">
        <v>0</v>
      </c>
      <c r="J94">
        <v>0</v>
      </c>
      <c r="K94">
        <v>15</v>
      </c>
      <c r="L94">
        <v>0</v>
      </c>
      <c r="M94">
        <v>0</v>
      </c>
      <c r="N94">
        <v>0</v>
      </c>
      <c r="O94">
        <v>3</v>
      </c>
      <c r="P94">
        <v>0</v>
      </c>
      <c r="Q94">
        <v>1</v>
      </c>
      <c r="R94">
        <v>0</v>
      </c>
      <c r="S94">
        <v>0</v>
      </c>
      <c r="T94" t="s">
        <v>29</v>
      </c>
      <c r="U94" t="s">
        <v>29</v>
      </c>
      <c r="V94" t="s">
        <v>320</v>
      </c>
      <c r="W94" s="6">
        <f t="shared" si="28"/>
        <v>22.5</v>
      </c>
      <c r="X94" s="6">
        <f t="shared" si="29"/>
        <v>7.5</v>
      </c>
      <c r="Y94" s="6">
        <f t="shared" si="30"/>
        <v>32</v>
      </c>
      <c r="Z94" s="6">
        <f t="shared" si="31"/>
        <v>-9.5</v>
      </c>
      <c r="AA94" t="str">
        <f t="shared" si="32"/>
        <v>UNDER</v>
      </c>
      <c r="AB94" t="s">
        <v>29</v>
      </c>
      <c r="AC94" t="e">
        <f t="shared" si="33"/>
        <v>#N/A</v>
      </c>
      <c r="AD94" t="e">
        <f t="shared" si="34"/>
        <v>#N/A</v>
      </c>
      <c r="AE94" t="e">
        <f t="shared" si="35"/>
        <v>#N/A</v>
      </c>
      <c r="AF94" t="e">
        <f t="shared" si="36"/>
        <v>#N/A</v>
      </c>
      <c r="AG94" t="e">
        <f t="shared" si="37"/>
        <v>#N/A</v>
      </c>
      <c r="AH94" t="e">
        <f t="shared" si="38"/>
        <v>#N/A</v>
      </c>
      <c r="AI94" t="e">
        <f t="shared" si="39"/>
        <v>#N/A</v>
      </c>
      <c r="AJ94">
        <f t="shared" si="40"/>
        <v>32</v>
      </c>
      <c r="AK94">
        <f t="shared" si="41"/>
        <v>22.5</v>
      </c>
    </row>
    <row r="95" spans="1:37" x14ac:dyDescent="0.3">
      <c r="A95" t="s">
        <v>494</v>
      </c>
      <c r="B95" t="s">
        <v>494</v>
      </c>
      <c r="C95" t="s">
        <v>32</v>
      </c>
      <c r="D95">
        <v>3</v>
      </c>
      <c r="E95" t="s">
        <v>99</v>
      </c>
      <c r="F95" t="s">
        <v>1153</v>
      </c>
      <c r="G95">
        <v>9</v>
      </c>
      <c r="H95">
        <v>1</v>
      </c>
      <c r="I95">
        <v>8</v>
      </c>
      <c r="J95">
        <v>0</v>
      </c>
      <c r="K95">
        <v>0</v>
      </c>
      <c r="L95">
        <v>0</v>
      </c>
      <c r="M95">
        <v>0</v>
      </c>
      <c r="N95">
        <v>0</v>
      </c>
      <c r="O95">
        <v>0</v>
      </c>
      <c r="P95">
        <v>0</v>
      </c>
      <c r="Q95">
        <v>0</v>
      </c>
      <c r="R95">
        <v>0</v>
      </c>
      <c r="S95">
        <v>0</v>
      </c>
      <c r="T95" t="s">
        <v>29</v>
      </c>
      <c r="U95" t="s">
        <v>29</v>
      </c>
      <c r="V95" t="s">
        <v>320</v>
      </c>
      <c r="W95" s="6">
        <f t="shared" si="28"/>
        <v>32</v>
      </c>
      <c r="X95" s="6">
        <f t="shared" si="29"/>
        <v>10.67</v>
      </c>
      <c r="Y95" s="6">
        <f t="shared" si="30"/>
        <v>27</v>
      </c>
      <c r="Z95" s="6">
        <f t="shared" si="31"/>
        <v>5</v>
      </c>
      <c r="AA95" t="str">
        <f t="shared" si="32"/>
        <v>OK</v>
      </c>
      <c r="AB95" t="s">
        <v>29</v>
      </c>
      <c r="AC95" t="e">
        <f t="shared" si="33"/>
        <v>#N/A</v>
      </c>
      <c r="AD95" t="e">
        <f t="shared" si="34"/>
        <v>#N/A</v>
      </c>
      <c r="AE95" t="e">
        <f t="shared" si="35"/>
        <v>#N/A</v>
      </c>
      <c r="AF95" t="e">
        <f t="shared" si="36"/>
        <v>#N/A</v>
      </c>
      <c r="AG95" t="e">
        <f t="shared" si="37"/>
        <v>#N/A</v>
      </c>
      <c r="AH95" t="e">
        <f t="shared" si="38"/>
        <v>#N/A</v>
      </c>
      <c r="AI95" t="e">
        <f t="shared" si="39"/>
        <v>#N/A</v>
      </c>
      <c r="AJ95">
        <f t="shared" si="40"/>
        <v>27</v>
      </c>
      <c r="AK95">
        <f t="shared" si="41"/>
        <v>32</v>
      </c>
    </row>
    <row r="96" spans="1:37" x14ac:dyDescent="0.3">
      <c r="A96" t="s">
        <v>98</v>
      </c>
      <c r="B96" t="s">
        <v>98</v>
      </c>
      <c r="C96" t="s">
        <v>32</v>
      </c>
      <c r="D96">
        <v>2</v>
      </c>
      <c r="E96" t="s">
        <v>99</v>
      </c>
      <c r="F96" t="s">
        <v>1153</v>
      </c>
      <c r="G96">
        <v>9</v>
      </c>
      <c r="H96">
        <v>1</v>
      </c>
      <c r="I96">
        <v>6</v>
      </c>
      <c r="J96">
        <v>0</v>
      </c>
      <c r="K96">
        <v>0</v>
      </c>
      <c r="L96">
        <v>0</v>
      </c>
      <c r="M96">
        <v>0</v>
      </c>
      <c r="N96">
        <v>0</v>
      </c>
      <c r="O96">
        <v>0</v>
      </c>
      <c r="P96">
        <v>0</v>
      </c>
      <c r="Q96">
        <v>0</v>
      </c>
      <c r="R96">
        <v>0</v>
      </c>
      <c r="S96">
        <v>0</v>
      </c>
      <c r="T96" t="s">
        <v>29</v>
      </c>
      <c r="U96" t="s">
        <v>29</v>
      </c>
      <c r="V96" t="s">
        <v>320</v>
      </c>
      <c r="W96" s="6">
        <f t="shared" si="28"/>
        <v>24</v>
      </c>
      <c r="X96" s="6">
        <f t="shared" si="29"/>
        <v>12</v>
      </c>
      <c r="Y96" s="6">
        <f t="shared" si="30"/>
        <v>18.899999999999999</v>
      </c>
      <c r="Z96" s="6">
        <f t="shared" si="31"/>
        <v>5.0999999999999996</v>
      </c>
      <c r="AA96" t="str">
        <f t="shared" si="32"/>
        <v>OVER</v>
      </c>
      <c r="AB96" t="s">
        <v>29</v>
      </c>
      <c r="AC96" t="e">
        <f t="shared" si="33"/>
        <v>#N/A</v>
      </c>
      <c r="AD96" t="e">
        <f t="shared" si="34"/>
        <v>#N/A</v>
      </c>
      <c r="AE96" t="e">
        <f t="shared" si="35"/>
        <v>#N/A</v>
      </c>
      <c r="AF96" t="e">
        <f t="shared" si="36"/>
        <v>#N/A</v>
      </c>
      <c r="AG96" t="e">
        <f t="shared" si="37"/>
        <v>#N/A</v>
      </c>
      <c r="AH96" t="e">
        <f t="shared" si="38"/>
        <v>#N/A</v>
      </c>
      <c r="AI96" t="e">
        <f t="shared" si="39"/>
        <v>#N/A</v>
      </c>
      <c r="AJ96">
        <f t="shared" si="40"/>
        <v>18.899999999999999</v>
      </c>
      <c r="AK96">
        <f t="shared" si="41"/>
        <v>24</v>
      </c>
    </row>
    <row r="97" spans="1:37" x14ac:dyDescent="0.3">
      <c r="A97" t="s">
        <v>503</v>
      </c>
      <c r="B97" t="s">
        <v>501</v>
      </c>
      <c r="C97" t="s">
        <v>32</v>
      </c>
      <c r="D97">
        <v>3</v>
      </c>
      <c r="E97" t="s">
        <v>438</v>
      </c>
      <c r="F97" t="s">
        <v>1153</v>
      </c>
      <c r="G97">
        <v>1</v>
      </c>
      <c r="H97">
        <v>1</v>
      </c>
      <c r="I97">
        <v>0</v>
      </c>
      <c r="J97">
        <v>0</v>
      </c>
      <c r="K97">
        <v>10</v>
      </c>
      <c r="L97">
        <v>25</v>
      </c>
      <c r="M97">
        <v>0</v>
      </c>
      <c r="N97">
        <v>0</v>
      </c>
      <c r="O97">
        <v>0</v>
      </c>
      <c r="P97">
        <v>0</v>
      </c>
      <c r="Q97">
        <v>0</v>
      </c>
      <c r="R97">
        <v>0</v>
      </c>
      <c r="S97">
        <v>0</v>
      </c>
      <c r="T97" t="s">
        <v>29</v>
      </c>
      <c r="U97" t="s">
        <v>53</v>
      </c>
      <c r="V97" t="s">
        <v>1138</v>
      </c>
      <c r="W97" s="6">
        <f t="shared" si="28"/>
        <v>29.5</v>
      </c>
      <c r="X97" s="6">
        <f t="shared" si="29"/>
        <v>9.83</v>
      </c>
      <c r="Y97" s="6">
        <f t="shared" si="30"/>
        <v>32</v>
      </c>
      <c r="Z97" s="6">
        <f t="shared" si="31"/>
        <v>-2.5</v>
      </c>
      <c r="AA97" t="str">
        <f t="shared" si="32"/>
        <v>RIDER</v>
      </c>
      <c r="AB97" t="s">
        <v>29</v>
      </c>
      <c r="AC97" t="e">
        <f t="shared" si="33"/>
        <v>#N/A</v>
      </c>
      <c r="AD97" t="e">
        <f t="shared" si="34"/>
        <v>#N/A</v>
      </c>
      <c r="AE97" t="e">
        <f t="shared" si="35"/>
        <v>#N/A</v>
      </c>
      <c r="AF97" t="e">
        <f t="shared" si="36"/>
        <v>#N/A</v>
      </c>
      <c r="AG97" t="e">
        <f t="shared" si="37"/>
        <v>#N/A</v>
      </c>
      <c r="AH97" t="e">
        <f t="shared" si="38"/>
        <v>#N/A</v>
      </c>
      <c r="AI97" t="e">
        <f t="shared" si="39"/>
        <v>#N/A</v>
      </c>
      <c r="AJ97">
        <f t="shared" si="40"/>
        <v>32</v>
      </c>
      <c r="AK97">
        <f t="shared" si="41"/>
        <v>29.5</v>
      </c>
    </row>
    <row r="98" spans="1:37" x14ac:dyDescent="0.3">
      <c r="A98" t="s">
        <v>504</v>
      </c>
      <c r="B98" t="s">
        <v>504</v>
      </c>
      <c r="C98" t="s">
        <v>32</v>
      </c>
      <c r="D98">
        <v>3</v>
      </c>
      <c r="E98" t="s">
        <v>99</v>
      </c>
      <c r="F98" t="s">
        <v>1153</v>
      </c>
      <c r="G98">
        <v>1</v>
      </c>
      <c r="H98">
        <v>1</v>
      </c>
      <c r="I98">
        <v>15</v>
      </c>
      <c r="J98">
        <v>0</v>
      </c>
      <c r="K98">
        <v>0</v>
      </c>
      <c r="L98">
        <v>0</v>
      </c>
      <c r="M98">
        <v>0</v>
      </c>
      <c r="N98">
        <v>0</v>
      </c>
      <c r="O98">
        <v>0</v>
      </c>
      <c r="P98">
        <v>0</v>
      </c>
      <c r="Q98">
        <v>0</v>
      </c>
      <c r="R98">
        <v>0</v>
      </c>
      <c r="S98">
        <v>0</v>
      </c>
      <c r="T98" t="s">
        <v>29</v>
      </c>
      <c r="U98" t="s">
        <v>29</v>
      </c>
      <c r="V98" t="s">
        <v>320</v>
      </c>
      <c r="W98" s="6">
        <f t="shared" ref="W98:W129" si="42">IF($V98="No","",ROUND((I98*w_Damage + N98*w_Poison + P98*w_Weaken*w_Horizon)*MIN(1+(G98-1)*w_OccEnemy,w_MaxEnemies) + (J98*w_Heal + K98*w_Shield + L98*w_Block + M98*w_Parry + O98*w_Strength*w_Horizon + S98*w_Combo)*MIN(1+(H98-1)*w_OccAlly,w_MaxAllies) + Q98*w_Draw + R98*w_Move,2))</f>
        <v>15</v>
      </c>
      <c r="X98" s="6">
        <f t="shared" ref="X98:X129" si="43">IF(W98="","",ROUND(W98/MAX(D98,1),2))</f>
        <v>5</v>
      </c>
      <c r="Y98" s="6">
        <f t="shared" ref="Y98:Y129" si="44">IF($V98="No","",ROUND((curve_Base+curve_Slope*D98)*IFERROR(VLOOKUP(E98,rarity_Mult,2,FALSE),1),2))</f>
        <v>27</v>
      </c>
      <c r="Z98" s="6">
        <f t="shared" ref="Z98:Z129" si="45">IF(OR(W98="",Y98=""),"",ROUND(W98-Y98,2))</f>
        <v>-12</v>
      </c>
      <c r="AA98" t="str">
        <f t="shared" ref="AA98:AA129" si="46">IF(Z98="","",IF($V98="Partial","RIDER",IF(ABS(Z98)&lt;=Y98*tol_Pct,"OK",IF(Z98&gt;0,"OVER","UNDER"))))</f>
        <v>UNDER</v>
      </c>
      <c r="AB98" t="s">
        <v>29</v>
      </c>
      <c r="AC98" t="e">
        <f t="shared" ref="AC98:AC129" si="47">IF(AND($V98&lt;&gt;"No",$E98="Common",NOT(ISNUMBER(SEARCH("Ideas",$F98)))),$W98,NA())</f>
        <v>#N/A</v>
      </c>
      <c r="AD98" t="e">
        <f t="shared" ref="AD98:AD129" si="48">IF(AND($V98&lt;&gt;"No",$E98="Uncommon",NOT(ISNUMBER(SEARCH("Ideas",$F98)))),$W98,NA())</f>
        <v>#N/A</v>
      </c>
      <c r="AE98" t="e">
        <f t="shared" ref="AE98:AE129" si="49">IF(AND($V98&lt;&gt;"No",$E98="Rare",NOT(ISNUMBER(SEARCH("Ideas",$F98)))),$W98,NA())</f>
        <v>#N/A</v>
      </c>
      <c r="AF98" t="e">
        <f t="shared" ref="AF98:AF129" si="50">IF(AND($V98&lt;&gt;"No",$E98="Legendary",NOT(ISNUMBER(SEARCH("Ideas",$F98)))),$W98,NA())</f>
        <v>#N/A</v>
      </c>
      <c r="AG98" t="e">
        <f t="shared" ref="AG98:AG129" si="51">IF(AND($V98&lt;&gt;"No",ISNUMBER(SEARCH("Knight",$C98)),NOT(ISNUMBER(SEARCH("Ideas",$F98)))),$X98,NA())</f>
        <v>#N/A</v>
      </c>
      <c r="AH98" t="e">
        <f t="shared" ref="AH98:AH129" si="52">IF(AND($V98&lt;&gt;"No",ISNUMBER(SEARCH("Mage",$C98)),NOT(ISNUMBER(SEARCH("Ideas",$F98)))),$X98,NA())</f>
        <v>#N/A</v>
      </c>
      <c r="AI98" t="e">
        <f t="shared" ref="AI98:AI129" si="53">IF(AND($V98&lt;&gt;"No",ISNUMBER(SEARCH("Rogue",$C98)),NOT(ISNUMBER(SEARCH("Ideas",$F98)))),$X98,NA())</f>
        <v>#N/A</v>
      </c>
      <c r="AJ98">
        <f t="shared" ref="AJ98:AJ129" si="54">IF($V98&lt;&gt;"No",$Y98,NA())</f>
        <v>27</v>
      </c>
      <c r="AK98">
        <f t="shared" ref="AK98:AK129" si="55">IF(AND($V98&lt;&gt;"No",ISNUMBER(SEARCH("Ideas",$F98))),$W98,NA())</f>
        <v>15</v>
      </c>
    </row>
    <row r="99" spans="1:37" x14ac:dyDescent="0.3">
      <c r="A99" t="s">
        <v>515</v>
      </c>
      <c r="B99" t="s">
        <v>513</v>
      </c>
      <c r="C99" t="s">
        <v>32</v>
      </c>
      <c r="D99">
        <v>3</v>
      </c>
      <c r="E99" t="s">
        <v>438</v>
      </c>
      <c r="F99" t="s">
        <v>1153</v>
      </c>
      <c r="G99">
        <v>1</v>
      </c>
      <c r="H99">
        <v>13</v>
      </c>
      <c r="I99">
        <v>0</v>
      </c>
      <c r="J99">
        <v>10</v>
      </c>
      <c r="K99">
        <v>10</v>
      </c>
      <c r="L99">
        <v>0</v>
      </c>
      <c r="M99">
        <v>0</v>
      </c>
      <c r="N99">
        <v>0</v>
      </c>
      <c r="O99">
        <v>0</v>
      </c>
      <c r="P99">
        <v>0</v>
      </c>
      <c r="Q99">
        <v>0</v>
      </c>
      <c r="R99">
        <v>0</v>
      </c>
      <c r="S99">
        <v>0</v>
      </c>
      <c r="T99" t="s">
        <v>29</v>
      </c>
      <c r="U99" t="s">
        <v>29</v>
      </c>
      <c r="V99" t="s">
        <v>320</v>
      </c>
      <c r="W99" s="6">
        <f t="shared" si="42"/>
        <v>45</v>
      </c>
      <c r="X99" s="6">
        <f t="shared" si="43"/>
        <v>15</v>
      </c>
      <c r="Y99" s="6">
        <f t="shared" si="44"/>
        <v>32</v>
      </c>
      <c r="Z99" s="6">
        <f t="shared" si="45"/>
        <v>13</v>
      </c>
      <c r="AA99" t="str">
        <f t="shared" si="46"/>
        <v>OVER</v>
      </c>
      <c r="AB99" t="s">
        <v>29</v>
      </c>
      <c r="AC99" t="e">
        <f t="shared" si="47"/>
        <v>#N/A</v>
      </c>
      <c r="AD99" t="e">
        <f t="shared" si="48"/>
        <v>#N/A</v>
      </c>
      <c r="AE99" t="e">
        <f t="shared" si="49"/>
        <v>#N/A</v>
      </c>
      <c r="AF99" t="e">
        <f t="shared" si="50"/>
        <v>#N/A</v>
      </c>
      <c r="AG99" t="e">
        <f t="shared" si="51"/>
        <v>#N/A</v>
      </c>
      <c r="AH99" t="e">
        <f t="shared" si="52"/>
        <v>#N/A</v>
      </c>
      <c r="AI99" t="e">
        <f t="shared" si="53"/>
        <v>#N/A</v>
      </c>
      <c r="AJ99">
        <f t="shared" si="54"/>
        <v>32</v>
      </c>
      <c r="AK99">
        <f t="shared" si="55"/>
        <v>45</v>
      </c>
    </row>
    <row r="100" spans="1:37" x14ac:dyDescent="0.3">
      <c r="A100" t="s">
        <v>519</v>
      </c>
      <c r="B100" t="s">
        <v>517</v>
      </c>
      <c r="C100" t="s">
        <v>32</v>
      </c>
      <c r="D100">
        <v>3</v>
      </c>
      <c r="E100" t="s">
        <v>99</v>
      </c>
      <c r="F100" t="s">
        <v>1153</v>
      </c>
      <c r="G100">
        <v>13</v>
      </c>
      <c r="H100">
        <v>1</v>
      </c>
      <c r="I100">
        <v>10</v>
      </c>
      <c r="J100">
        <v>0</v>
      </c>
      <c r="K100">
        <v>0</v>
      </c>
      <c r="L100">
        <v>0</v>
      </c>
      <c r="M100">
        <v>0</v>
      </c>
      <c r="N100">
        <v>0</v>
      </c>
      <c r="O100">
        <v>0</v>
      </c>
      <c r="P100">
        <v>0</v>
      </c>
      <c r="Q100">
        <v>0</v>
      </c>
      <c r="R100">
        <v>0</v>
      </c>
      <c r="S100">
        <v>0</v>
      </c>
      <c r="T100" t="s">
        <v>29</v>
      </c>
      <c r="U100" t="s">
        <v>29</v>
      </c>
      <c r="V100" t="s">
        <v>320</v>
      </c>
      <c r="W100" s="6">
        <f t="shared" si="42"/>
        <v>40</v>
      </c>
      <c r="X100" s="6">
        <f t="shared" si="43"/>
        <v>13.33</v>
      </c>
      <c r="Y100" s="6">
        <f t="shared" si="44"/>
        <v>27</v>
      </c>
      <c r="Z100" s="6">
        <f t="shared" si="45"/>
        <v>13</v>
      </c>
      <c r="AA100" t="str">
        <f t="shared" si="46"/>
        <v>OVER</v>
      </c>
      <c r="AB100" t="s">
        <v>29</v>
      </c>
      <c r="AC100" t="e">
        <f t="shared" si="47"/>
        <v>#N/A</v>
      </c>
      <c r="AD100" t="e">
        <f t="shared" si="48"/>
        <v>#N/A</v>
      </c>
      <c r="AE100" t="e">
        <f t="shared" si="49"/>
        <v>#N/A</v>
      </c>
      <c r="AF100" t="e">
        <f t="shared" si="50"/>
        <v>#N/A</v>
      </c>
      <c r="AG100" t="e">
        <f t="shared" si="51"/>
        <v>#N/A</v>
      </c>
      <c r="AH100" t="e">
        <f t="shared" si="52"/>
        <v>#N/A</v>
      </c>
      <c r="AI100" t="e">
        <f t="shared" si="53"/>
        <v>#N/A</v>
      </c>
      <c r="AJ100">
        <f t="shared" si="54"/>
        <v>27</v>
      </c>
      <c r="AK100">
        <f t="shared" si="55"/>
        <v>40</v>
      </c>
    </row>
    <row r="101" spans="1:37" x14ac:dyDescent="0.3">
      <c r="A101" t="s">
        <v>522</v>
      </c>
      <c r="B101" t="s">
        <v>520</v>
      </c>
      <c r="C101" t="s">
        <v>32</v>
      </c>
      <c r="D101">
        <v>3</v>
      </c>
      <c r="E101" t="s">
        <v>438</v>
      </c>
      <c r="F101" t="s">
        <v>1153</v>
      </c>
      <c r="G101">
        <v>1</v>
      </c>
      <c r="H101">
        <v>1</v>
      </c>
      <c r="I101">
        <v>0</v>
      </c>
      <c r="J101">
        <v>0</v>
      </c>
      <c r="K101">
        <v>0</v>
      </c>
      <c r="L101">
        <v>25</v>
      </c>
      <c r="M101">
        <v>1</v>
      </c>
      <c r="N101">
        <v>0</v>
      </c>
      <c r="O101">
        <v>0</v>
      </c>
      <c r="P101">
        <v>0</v>
      </c>
      <c r="Q101">
        <v>0</v>
      </c>
      <c r="R101">
        <v>0</v>
      </c>
      <c r="S101">
        <v>0</v>
      </c>
      <c r="T101" t="s">
        <v>29</v>
      </c>
      <c r="U101" t="s">
        <v>29</v>
      </c>
      <c r="V101" t="s">
        <v>320</v>
      </c>
      <c r="W101" s="6">
        <f t="shared" si="42"/>
        <v>27.5</v>
      </c>
      <c r="X101" s="6">
        <f t="shared" si="43"/>
        <v>9.17</v>
      </c>
      <c r="Y101" s="6">
        <f t="shared" si="44"/>
        <v>32</v>
      </c>
      <c r="Z101" s="6">
        <f t="shared" si="45"/>
        <v>-4.5</v>
      </c>
      <c r="AA101" t="str">
        <f t="shared" si="46"/>
        <v>OK</v>
      </c>
      <c r="AB101" t="s">
        <v>29</v>
      </c>
      <c r="AC101" t="e">
        <f t="shared" si="47"/>
        <v>#N/A</v>
      </c>
      <c r="AD101" t="e">
        <f t="shared" si="48"/>
        <v>#N/A</v>
      </c>
      <c r="AE101" t="e">
        <f t="shared" si="49"/>
        <v>#N/A</v>
      </c>
      <c r="AF101" t="e">
        <f t="shared" si="50"/>
        <v>#N/A</v>
      </c>
      <c r="AG101" t="e">
        <f t="shared" si="51"/>
        <v>#N/A</v>
      </c>
      <c r="AH101" t="e">
        <f t="shared" si="52"/>
        <v>#N/A</v>
      </c>
      <c r="AI101" t="e">
        <f t="shared" si="53"/>
        <v>#N/A</v>
      </c>
      <c r="AJ101">
        <f t="shared" si="54"/>
        <v>32</v>
      </c>
      <c r="AK101">
        <f t="shared" si="55"/>
        <v>27.5</v>
      </c>
    </row>
    <row r="102" spans="1:37" x14ac:dyDescent="0.3">
      <c r="A102" t="s">
        <v>528</v>
      </c>
      <c r="B102" t="s">
        <v>528</v>
      </c>
      <c r="C102" t="s">
        <v>145</v>
      </c>
      <c r="D102">
        <v>1</v>
      </c>
      <c r="E102" t="s">
        <v>44</v>
      </c>
      <c r="F102" t="s">
        <v>1154</v>
      </c>
      <c r="G102">
        <v>1</v>
      </c>
      <c r="H102">
        <v>1</v>
      </c>
      <c r="I102">
        <v>6</v>
      </c>
      <c r="J102">
        <v>0</v>
      </c>
      <c r="K102">
        <v>0</v>
      </c>
      <c r="L102">
        <v>0</v>
      </c>
      <c r="M102">
        <v>0</v>
      </c>
      <c r="N102">
        <v>0</v>
      </c>
      <c r="O102">
        <v>0</v>
      </c>
      <c r="P102">
        <v>0</v>
      </c>
      <c r="Q102">
        <v>0</v>
      </c>
      <c r="R102">
        <v>0</v>
      </c>
      <c r="S102">
        <v>0</v>
      </c>
      <c r="T102" t="s">
        <v>29</v>
      </c>
      <c r="U102" t="s">
        <v>29</v>
      </c>
      <c r="V102" t="s">
        <v>320</v>
      </c>
      <c r="W102" s="6">
        <f t="shared" si="42"/>
        <v>6</v>
      </c>
      <c r="X102" s="6">
        <f t="shared" si="43"/>
        <v>6</v>
      </c>
      <c r="Y102" s="6">
        <f t="shared" si="44"/>
        <v>8</v>
      </c>
      <c r="Z102" s="6">
        <f t="shared" si="45"/>
        <v>-2</v>
      </c>
      <c r="AA102" t="str">
        <f t="shared" si="46"/>
        <v>OK</v>
      </c>
      <c r="AB102" t="s">
        <v>29</v>
      </c>
      <c r="AC102" t="e">
        <f t="shared" si="47"/>
        <v>#N/A</v>
      </c>
      <c r="AD102" t="e">
        <f t="shared" si="48"/>
        <v>#N/A</v>
      </c>
      <c r="AE102" t="e">
        <f t="shared" si="49"/>
        <v>#N/A</v>
      </c>
      <c r="AF102" t="e">
        <f t="shared" si="50"/>
        <v>#N/A</v>
      </c>
      <c r="AG102" t="e">
        <f t="shared" si="51"/>
        <v>#N/A</v>
      </c>
      <c r="AH102" t="e">
        <f t="shared" si="52"/>
        <v>#N/A</v>
      </c>
      <c r="AI102" t="e">
        <f t="shared" si="53"/>
        <v>#N/A</v>
      </c>
      <c r="AJ102">
        <f t="shared" si="54"/>
        <v>8</v>
      </c>
      <c r="AK102">
        <f t="shared" si="55"/>
        <v>6</v>
      </c>
    </row>
    <row r="103" spans="1:37" x14ac:dyDescent="0.3">
      <c r="A103" t="s">
        <v>532</v>
      </c>
      <c r="B103" t="s">
        <v>530</v>
      </c>
      <c r="C103" t="s">
        <v>145</v>
      </c>
      <c r="D103">
        <v>0</v>
      </c>
      <c r="E103" t="s">
        <v>44</v>
      </c>
      <c r="F103" t="s">
        <v>1154</v>
      </c>
      <c r="G103">
        <v>1</v>
      </c>
      <c r="H103">
        <v>1</v>
      </c>
      <c r="I103">
        <v>3</v>
      </c>
      <c r="J103">
        <v>0</v>
      </c>
      <c r="K103">
        <v>0</v>
      </c>
      <c r="L103">
        <v>0</v>
      </c>
      <c r="M103">
        <v>0</v>
      </c>
      <c r="N103">
        <v>0</v>
      </c>
      <c r="O103">
        <v>0</v>
      </c>
      <c r="P103">
        <v>0</v>
      </c>
      <c r="Q103">
        <v>0</v>
      </c>
      <c r="R103">
        <v>0</v>
      </c>
      <c r="S103">
        <v>0</v>
      </c>
      <c r="T103" t="s">
        <v>29</v>
      </c>
      <c r="U103" t="s">
        <v>29</v>
      </c>
      <c r="V103" t="s">
        <v>320</v>
      </c>
      <c r="W103" s="6">
        <f t="shared" si="42"/>
        <v>3</v>
      </c>
      <c r="X103" s="6">
        <f t="shared" si="43"/>
        <v>3</v>
      </c>
      <c r="Y103" s="6">
        <f t="shared" si="44"/>
        <v>2</v>
      </c>
      <c r="Z103" s="6">
        <f t="shared" si="45"/>
        <v>1</v>
      </c>
      <c r="AA103" t="str">
        <f t="shared" si="46"/>
        <v>OVER</v>
      </c>
      <c r="AB103" t="s">
        <v>29</v>
      </c>
      <c r="AC103" t="e">
        <f t="shared" si="47"/>
        <v>#N/A</v>
      </c>
      <c r="AD103" t="e">
        <f t="shared" si="48"/>
        <v>#N/A</v>
      </c>
      <c r="AE103" t="e">
        <f t="shared" si="49"/>
        <v>#N/A</v>
      </c>
      <c r="AF103" t="e">
        <f t="shared" si="50"/>
        <v>#N/A</v>
      </c>
      <c r="AG103" t="e">
        <f t="shared" si="51"/>
        <v>#N/A</v>
      </c>
      <c r="AH103" t="e">
        <f t="shared" si="52"/>
        <v>#N/A</v>
      </c>
      <c r="AI103" t="e">
        <f t="shared" si="53"/>
        <v>#N/A</v>
      </c>
      <c r="AJ103">
        <f t="shared" si="54"/>
        <v>2</v>
      </c>
      <c r="AK103">
        <f t="shared" si="55"/>
        <v>3</v>
      </c>
    </row>
    <row r="104" spans="1:37" x14ac:dyDescent="0.3">
      <c r="A104" t="s">
        <v>534</v>
      </c>
      <c r="B104" t="s">
        <v>534</v>
      </c>
      <c r="C104" t="s">
        <v>145</v>
      </c>
      <c r="D104">
        <v>1</v>
      </c>
      <c r="E104" t="s">
        <v>44</v>
      </c>
      <c r="F104" t="s">
        <v>1154</v>
      </c>
      <c r="G104">
        <v>1</v>
      </c>
      <c r="H104">
        <v>1</v>
      </c>
      <c r="I104">
        <v>5</v>
      </c>
      <c r="J104">
        <v>0</v>
      </c>
      <c r="K104">
        <v>0</v>
      </c>
      <c r="L104">
        <v>0</v>
      </c>
      <c r="M104">
        <v>0</v>
      </c>
      <c r="N104">
        <v>0</v>
      </c>
      <c r="O104">
        <v>0</v>
      </c>
      <c r="P104">
        <v>0</v>
      </c>
      <c r="Q104">
        <v>0</v>
      </c>
      <c r="R104">
        <v>0</v>
      </c>
      <c r="S104">
        <v>0</v>
      </c>
      <c r="T104" t="s">
        <v>29</v>
      </c>
      <c r="U104" t="s">
        <v>29</v>
      </c>
      <c r="V104" t="s">
        <v>320</v>
      </c>
      <c r="W104" s="6">
        <f t="shared" si="42"/>
        <v>5</v>
      </c>
      <c r="X104" s="6">
        <f t="shared" si="43"/>
        <v>5</v>
      </c>
      <c r="Y104" s="6">
        <f t="shared" si="44"/>
        <v>8</v>
      </c>
      <c r="Z104" s="6">
        <f t="shared" si="45"/>
        <v>-3</v>
      </c>
      <c r="AA104" t="str">
        <f t="shared" si="46"/>
        <v>UNDER</v>
      </c>
      <c r="AB104" t="s">
        <v>29</v>
      </c>
      <c r="AC104" t="e">
        <f t="shared" si="47"/>
        <v>#N/A</v>
      </c>
      <c r="AD104" t="e">
        <f t="shared" si="48"/>
        <v>#N/A</v>
      </c>
      <c r="AE104" t="e">
        <f t="shared" si="49"/>
        <v>#N/A</v>
      </c>
      <c r="AF104" t="e">
        <f t="shared" si="50"/>
        <v>#N/A</v>
      </c>
      <c r="AG104" t="e">
        <f t="shared" si="51"/>
        <v>#N/A</v>
      </c>
      <c r="AH104" t="e">
        <f t="shared" si="52"/>
        <v>#N/A</v>
      </c>
      <c r="AI104" t="e">
        <f t="shared" si="53"/>
        <v>#N/A</v>
      </c>
      <c r="AJ104">
        <f t="shared" si="54"/>
        <v>8</v>
      </c>
      <c r="AK104">
        <f t="shared" si="55"/>
        <v>5</v>
      </c>
    </row>
    <row r="105" spans="1:37" x14ac:dyDescent="0.3">
      <c r="A105" t="s">
        <v>538</v>
      </c>
      <c r="B105" t="s">
        <v>536</v>
      </c>
      <c r="C105" t="s">
        <v>145</v>
      </c>
      <c r="D105">
        <v>2</v>
      </c>
      <c r="E105" t="s">
        <v>99</v>
      </c>
      <c r="F105" t="s">
        <v>1154</v>
      </c>
      <c r="G105">
        <v>13</v>
      </c>
      <c r="H105">
        <v>1</v>
      </c>
      <c r="I105">
        <v>4</v>
      </c>
      <c r="J105">
        <v>0</v>
      </c>
      <c r="K105">
        <v>0</v>
      </c>
      <c r="L105">
        <v>0</v>
      </c>
      <c r="M105">
        <v>0</v>
      </c>
      <c r="N105">
        <v>0</v>
      </c>
      <c r="O105">
        <v>0</v>
      </c>
      <c r="P105">
        <v>0</v>
      </c>
      <c r="Q105">
        <v>0</v>
      </c>
      <c r="R105">
        <v>0</v>
      </c>
      <c r="S105">
        <v>0</v>
      </c>
      <c r="T105" t="s">
        <v>29</v>
      </c>
      <c r="U105" t="s">
        <v>29</v>
      </c>
      <c r="V105" t="s">
        <v>320</v>
      </c>
      <c r="W105" s="6">
        <f t="shared" si="42"/>
        <v>16</v>
      </c>
      <c r="X105" s="6">
        <f t="shared" si="43"/>
        <v>8</v>
      </c>
      <c r="Y105" s="6">
        <f t="shared" si="44"/>
        <v>18.899999999999999</v>
      </c>
      <c r="Z105" s="6">
        <f t="shared" si="45"/>
        <v>-2.9</v>
      </c>
      <c r="AA105" t="str">
        <f t="shared" si="46"/>
        <v>OK</v>
      </c>
      <c r="AB105" t="s">
        <v>29</v>
      </c>
      <c r="AC105" t="e">
        <f t="shared" si="47"/>
        <v>#N/A</v>
      </c>
      <c r="AD105" t="e">
        <f t="shared" si="48"/>
        <v>#N/A</v>
      </c>
      <c r="AE105" t="e">
        <f t="shared" si="49"/>
        <v>#N/A</v>
      </c>
      <c r="AF105" t="e">
        <f t="shared" si="50"/>
        <v>#N/A</v>
      </c>
      <c r="AG105" t="e">
        <f t="shared" si="51"/>
        <v>#N/A</v>
      </c>
      <c r="AH105" t="e">
        <f t="shared" si="52"/>
        <v>#N/A</v>
      </c>
      <c r="AI105" t="e">
        <f t="shared" si="53"/>
        <v>#N/A</v>
      </c>
      <c r="AJ105">
        <f t="shared" si="54"/>
        <v>18.899999999999999</v>
      </c>
      <c r="AK105">
        <f t="shared" si="55"/>
        <v>16</v>
      </c>
    </row>
    <row r="106" spans="1:37" x14ac:dyDescent="0.3">
      <c r="A106" t="s">
        <v>539</v>
      </c>
      <c r="B106" t="s">
        <v>539</v>
      </c>
      <c r="C106" t="s">
        <v>145</v>
      </c>
      <c r="D106">
        <v>3</v>
      </c>
      <c r="E106" t="s">
        <v>99</v>
      </c>
      <c r="F106" t="s">
        <v>1154</v>
      </c>
      <c r="G106">
        <v>9</v>
      </c>
      <c r="H106">
        <v>1</v>
      </c>
      <c r="I106">
        <v>12</v>
      </c>
      <c r="J106">
        <v>0</v>
      </c>
      <c r="K106">
        <v>0</v>
      </c>
      <c r="L106">
        <v>0</v>
      </c>
      <c r="M106">
        <v>0</v>
      </c>
      <c r="N106">
        <v>0</v>
      </c>
      <c r="O106">
        <v>0</v>
      </c>
      <c r="P106">
        <v>0</v>
      </c>
      <c r="Q106">
        <v>0</v>
      </c>
      <c r="R106">
        <v>0</v>
      </c>
      <c r="S106">
        <v>0</v>
      </c>
      <c r="T106" t="s">
        <v>29</v>
      </c>
      <c r="U106" t="s">
        <v>29</v>
      </c>
      <c r="V106" t="s">
        <v>320</v>
      </c>
      <c r="W106" s="6">
        <f t="shared" si="42"/>
        <v>48</v>
      </c>
      <c r="X106" s="6">
        <f t="shared" si="43"/>
        <v>16</v>
      </c>
      <c r="Y106" s="6">
        <f t="shared" si="44"/>
        <v>27</v>
      </c>
      <c r="Z106" s="6">
        <f t="shared" si="45"/>
        <v>21</v>
      </c>
      <c r="AA106" t="str">
        <f t="shared" si="46"/>
        <v>OVER</v>
      </c>
      <c r="AB106" t="s">
        <v>29</v>
      </c>
      <c r="AC106" t="e">
        <f t="shared" si="47"/>
        <v>#N/A</v>
      </c>
      <c r="AD106" t="e">
        <f t="shared" si="48"/>
        <v>#N/A</v>
      </c>
      <c r="AE106" t="e">
        <f t="shared" si="49"/>
        <v>#N/A</v>
      </c>
      <c r="AF106" t="e">
        <f t="shared" si="50"/>
        <v>#N/A</v>
      </c>
      <c r="AG106" t="e">
        <f t="shared" si="51"/>
        <v>#N/A</v>
      </c>
      <c r="AH106" t="e">
        <f t="shared" si="52"/>
        <v>#N/A</v>
      </c>
      <c r="AI106" t="e">
        <f t="shared" si="53"/>
        <v>#N/A</v>
      </c>
      <c r="AJ106">
        <f t="shared" si="54"/>
        <v>27</v>
      </c>
      <c r="AK106">
        <f t="shared" si="55"/>
        <v>48</v>
      </c>
    </row>
    <row r="107" spans="1:37" x14ac:dyDescent="0.3">
      <c r="A107" t="s">
        <v>543</v>
      </c>
      <c r="B107" t="s">
        <v>542</v>
      </c>
      <c r="C107" t="s">
        <v>145</v>
      </c>
      <c r="D107">
        <v>1</v>
      </c>
      <c r="E107" t="s">
        <v>27</v>
      </c>
      <c r="F107" t="s">
        <v>1154</v>
      </c>
      <c r="G107">
        <v>1</v>
      </c>
      <c r="H107">
        <v>1</v>
      </c>
      <c r="I107">
        <v>0</v>
      </c>
      <c r="J107">
        <v>0</v>
      </c>
      <c r="K107">
        <v>7</v>
      </c>
      <c r="L107">
        <v>0</v>
      </c>
      <c r="M107">
        <v>0</v>
      </c>
      <c r="N107">
        <v>0</v>
      </c>
      <c r="O107">
        <v>0</v>
      </c>
      <c r="P107">
        <v>0</v>
      </c>
      <c r="Q107">
        <v>0</v>
      </c>
      <c r="R107">
        <v>0</v>
      </c>
      <c r="S107">
        <v>0</v>
      </c>
      <c r="T107" t="s">
        <v>29</v>
      </c>
      <c r="U107" t="s">
        <v>29</v>
      </c>
      <c r="V107" t="s">
        <v>320</v>
      </c>
      <c r="W107" s="6">
        <f t="shared" si="42"/>
        <v>4.9000000000000004</v>
      </c>
      <c r="X107" s="6">
        <f t="shared" si="43"/>
        <v>4.9000000000000004</v>
      </c>
      <c r="Y107" s="6">
        <f t="shared" si="44"/>
        <v>9.1999999999999993</v>
      </c>
      <c r="Z107" s="6">
        <f t="shared" si="45"/>
        <v>-4.3</v>
      </c>
      <c r="AA107" t="str">
        <f t="shared" si="46"/>
        <v>UNDER</v>
      </c>
      <c r="AB107" t="s">
        <v>29</v>
      </c>
      <c r="AC107" t="e">
        <f t="shared" si="47"/>
        <v>#N/A</v>
      </c>
      <c r="AD107" t="e">
        <f t="shared" si="48"/>
        <v>#N/A</v>
      </c>
      <c r="AE107" t="e">
        <f t="shared" si="49"/>
        <v>#N/A</v>
      </c>
      <c r="AF107" t="e">
        <f t="shared" si="50"/>
        <v>#N/A</v>
      </c>
      <c r="AG107" t="e">
        <f t="shared" si="51"/>
        <v>#N/A</v>
      </c>
      <c r="AH107" t="e">
        <f t="shared" si="52"/>
        <v>#N/A</v>
      </c>
      <c r="AI107" t="e">
        <f t="shared" si="53"/>
        <v>#N/A</v>
      </c>
      <c r="AJ107">
        <f t="shared" si="54"/>
        <v>9.1999999999999993</v>
      </c>
      <c r="AK107">
        <f t="shared" si="55"/>
        <v>4.9000000000000004</v>
      </c>
    </row>
    <row r="108" spans="1:37" x14ac:dyDescent="0.3">
      <c r="A108" t="s">
        <v>547</v>
      </c>
      <c r="B108" t="s">
        <v>544</v>
      </c>
      <c r="C108" t="s">
        <v>145</v>
      </c>
      <c r="D108">
        <v>2</v>
      </c>
      <c r="E108" t="s">
        <v>27</v>
      </c>
      <c r="F108" t="s">
        <v>1154</v>
      </c>
      <c r="G108">
        <v>1</v>
      </c>
      <c r="H108">
        <v>1</v>
      </c>
      <c r="I108">
        <v>0</v>
      </c>
      <c r="J108">
        <v>15</v>
      </c>
      <c r="K108">
        <v>0</v>
      </c>
      <c r="L108">
        <v>0</v>
      </c>
      <c r="M108">
        <v>0</v>
      </c>
      <c r="N108">
        <v>0</v>
      </c>
      <c r="O108">
        <v>0</v>
      </c>
      <c r="P108">
        <v>0</v>
      </c>
      <c r="Q108">
        <v>0</v>
      </c>
      <c r="R108">
        <v>0</v>
      </c>
      <c r="S108">
        <v>0</v>
      </c>
      <c r="T108" t="s">
        <v>29</v>
      </c>
      <c r="U108" t="s">
        <v>29</v>
      </c>
      <c r="V108" t="s">
        <v>320</v>
      </c>
      <c r="W108" s="6">
        <f t="shared" si="42"/>
        <v>12</v>
      </c>
      <c r="X108" s="6">
        <f t="shared" si="43"/>
        <v>6</v>
      </c>
      <c r="Y108" s="6">
        <f t="shared" si="44"/>
        <v>16.100000000000001</v>
      </c>
      <c r="Z108" s="6">
        <f t="shared" si="45"/>
        <v>-4.0999999999999996</v>
      </c>
      <c r="AA108" t="str">
        <f t="shared" si="46"/>
        <v>UNDER</v>
      </c>
      <c r="AB108" t="s">
        <v>29</v>
      </c>
      <c r="AC108" t="e">
        <f t="shared" si="47"/>
        <v>#N/A</v>
      </c>
      <c r="AD108" t="e">
        <f t="shared" si="48"/>
        <v>#N/A</v>
      </c>
      <c r="AE108" t="e">
        <f t="shared" si="49"/>
        <v>#N/A</v>
      </c>
      <c r="AF108" t="e">
        <f t="shared" si="50"/>
        <v>#N/A</v>
      </c>
      <c r="AG108" t="e">
        <f t="shared" si="51"/>
        <v>#N/A</v>
      </c>
      <c r="AH108" t="e">
        <f t="shared" si="52"/>
        <v>#N/A</v>
      </c>
      <c r="AI108" t="e">
        <f t="shared" si="53"/>
        <v>#N/A</v>
      </c>
      <c r="AJ108">
        <f t="shared" si="54"/>
        <v>16.100000000000001</v>
      </c>
      <c r="AK108">
        <f t="shared" si="55"/>
        <v>12</v>
      </c>
    </row>
    <row r="109" spans="1:37" x14ac:dyDescent="0.3">
      <c r="A109" t="s">
        <v>548</v>
      </c>
      <c r="B109" t="s">
        <v>548</v>
      </c>
      <c r="C109" t="s">
        <v>145</v>
      </c>
      <c r="D109">
        <v>3</v>
      </c>
      <c r="E109" t="s">
        <v>99</v>
      </c>
      <c r="F109" t="s">
        <v>1154</v>
      </c>
      <c r="G109">
        <v>25</v>
      </c>
      <c r="H109">
        <v>1</v>
      </c>
      <c r="I109">
        <v>6</v>
      </c>
      <c r="J109">
        <v>0</v>
      </c>
      <c r="K109">
        <v>0</v>
      </c>
      <c r="L109">
        <v>0</v>
      </c>
      <c r="M109">
        <v>0</v>
      </c>
      <c r="N109">
        <v>0</v>
      </c>
      <c r="O109">
        <v>0</v>
      </c>
      <c r="P109">
        <v>0</v>
      </c>
      <c r="Q109">
        <v>0</v>
      </c>
      <c r="R109">
        <v>0</v>
      </c>
      <c r="S109">
        <v>0</v>
      </c>
      <c r="T109" t="s">
        <v>29</v>
      </c>
      <c r="U109" t="s">
        <v>29</v>
      </c>
      <c r="V109" t="s">
        <v>320</v>
      </c>
      <c r="W109" s="6">
        <f t="shared" si="42"/>
        <v>24</v>
      </c>
      <c r="X109" s="6">
        <f t="shared" si="43"/>
        <v>8</v>
      </c>
      <c r="Y109" s="6">
        <f t="shared" si="44"/>
        <v>27</v>
      </c>
      <c r="Z109" s="6">
        <f t="shared" si="45"/>
        <v>-3</v>
      </c>
      <c r="AA109" t="str">
        <f t="shared" si="46"/>
        <v>OK</v>
      </c>
      <c r="AB109" t="s">
        <v>29</v>
      </c>
      <c r="AC109" t="e">
        <f t="shared" si="47"/>
        <v>#N/A</v>
      </c>
      <c r="AD109" t="e">
        <f t="shared" si="48"/>
        <v>#N/A</v>
      </c>
      <c r="AE109" t="e">
        <f t="shared" si="49"/>
        <v>#N/A</v>
      </c>
      <c r="AF109" t="e">
        <f t="shared" si="50"/>
        <v>#N/A</v>
      </c>
      <c r="AG109" t="e">
        <f t="shared" si="51"/>
        <v>#N/A</v>
      </c>
      <c r="AH109" t="e">
        <f t="shared" si="52"/>
        <v>#N/A</v>
      </c>
      <c r="AI109" t="e">
        <f t="shared" si="53"/>
        <v>#N/A</v>
      </c>
      <c r="AJ109">
        <f t="shared" si="54"/>
        <v>27</v>
      </c>
      <c r="AK109">
        <f t="shared" si="55"/>
        <v>24</v>
      </c>
    </row>
    <row r="110" spans="1:37" x14ac:dyDescent="0.3">
      <c r="A110" t="s">
        <v>558</v>
      </c>
      <c r="B110" t="s">
        <v>556</v>
      </c>
      <c r="C110" t="s">
        <v>145</v>
      </c>
      <c r="D110">
        <v>2</v>
      </c>
      <c r="E110" t="s">
        <v>99</v>
      </c>
      <c r="F110" t="s">
        <v>1154</v>
      </c>
      <c r="G110">
        <v>1</v>
      </c>
      <c r="H110">
        <v>1</v>
      </c>
      <c r="I110">
        <v>0</v>
      </c>
      <c r="J110">
        <v>0</v>
      </c>
      <c r="K110">
        <v>5</v>
      </c>
      <c r="L110">
        <v>10</v>
      </c>
      <c r="M110">
        <v>1</v>
      </c>
      <c r="N110">
        <v>0</v>
      </c>
      <c r="O110">
        <v>0</v>
      </c>
      <c r="P110">
        <v>0</v>
      </c>
      <c r="Q110">
        <v>0</v>
      </c>
      <c r="R110">
        <v>0</v>
      </c>
      <c r="S110">
        <v>0</v>
      </c>
      <c r="T110" t="s">
        <v>29</v>
      </c>
      <c r="U110" t="s">
        <v>29</v>
      </c>
      <c r="V110" t="s">
        <v>320</v>
      </c>
      <c r="W110" s="6">
        <f t="shared" si="42"/>
        <v>17.5</v>
      </c>
      <c r="X110" s="6">
        <f t="shared" si="43"/>
        <v>8.75</v>
      </c>
      <c r="Y110" s="6">
        <f t="shared" si="44"/>
        <v>18.899999999999999</v>
      </c>
      <c r="Z110" s="6">
        <f t="shared" si="45"/>
        <v>-1.4</v>
      </c>
      <c r="AA110" t="str">
        <f t="shared" si="46"/>
        <v>OK</v>
      </c>
      <c r="AB110" t="s">
        <v>29</v>
      </c>
      <c r="AC110" t="e">
        <f t="shared" si="47"/>
        <v>#N/A</v>
      </c>
      <c r="AD110" t="e">
        <f t="shared" si="48"/>
        <v>#N/A</v>
      </c>
      <c r="AE110" t="e">
        <f t="shared" si="49"/>
        <v>#N/A</v>
      </c>
      <c r="AF110" t="e">
        <f t="shared" si="50"/>
        <v>#N/A</v>
      </c>
      <c r="AG110" t="e">
        <f t="shared" si="51"/>
        <v>#N/A</v>
      </c>
      <c r="AH110" t="e">
        <f t="shared" si="52"/>
        <v>#N/A</v>
      </c>
      <c r="AI110" t="e">
        <f t="shared" si="53"/>
        <v>#N/A</v>
      </c>
      <c r="AJ110">
        <f t="shared" si="54"/>
        <v>18.899999999999999</v>
      </c>
      <c r="AK110">
        <f t="shared" si="55"/>
        <v>17.5</v>
      </c>
    </row>
    <row r="111" spans="1:37" x14ac:dyDescent="0.3">
      <c r="A111" t="s">
        <v>559</v>
      </c>
      <c r="B111" t="s">
        <v>559</v>
      </c>
      <c r="C111" t="s">
        <v>145</v>
      </c>
      <c r="D111">
        <v>0</v>
      </c>
      <c r="E111" t="s">
        <v>27</v>
      </c>
      <c r="F111" t="s">
        <v>1154</v>
      </c>
      <c r="G111">
        <v>1</v>
      </c>
      <c r="H111">
        <v>1</v>
      </c>
      <c r="I111">
        <v>0</v>
      </c>
      <c r="J111">
        <v>0</v>
      </c>
      <c r="K111">
        <v>0</v>
      </c>
      <c r="L111">
        <v>0</v>
      </c>
      <c r="M111">
        <v>0</v>
      </c>
      <c r="N111">
        <v>0</v>
      </c>
      <c r="O111">
        <v>0</v>
      </c>
      <c r="P111">
        <v>0</v>
      </c>
      <c r="Q111">
        <v>0</v>
      </c>
      <c r="R111">
        <v>1</v>
      </c>
      <c r="S111">
        <v>0</v>
      </c>
      <c r="T111" t="s">
        <v>29</v>
      </c>
      <c r="U111" t="s">
        <v>29</v>
      </c>
      <c r="V111" t="s">
        <v>320</v>
      </c>
      <c r="W111" s="6">
        <f t="shared" si="42"/>
        <v>3</v>
      </c>
      <c r="X111" s="6">
        <f t="shared" si="43"/>
        <v>3</v>
      </c>
      <c r="Y111" s="6">
        <f t="shared" si="44"/>
        <v>2.2999999999999998</v>
      </c>
      <c r="Z111" s="6">
        <f t="shared" si="45"/>
        <v>0.7</v>
      </c>
      <c r="AA111" t="str">
        <f t="shared" si="46"/>
        <v>OVER</v>
      </c>
      <c r="AB111" t="s">
        <v>29</v>
      </c>
      <c r="AC111" t="e">
        <f t="shared" si="47"/>
        <v>#N/A</v>
      </c>
      <c r="AD111" t="e">
        <f t="shared" si="48"/>
        <v>#N/A</v>
      </c>
      <c r="AE111" t="e">
        <f t="shared" si="49"/>
        <v>#N/A</v>
      </c>
      <c r="AF111" t="e">
        <f t="shared" si="50"/>
        <v>#N/A</v>
      </c>
      <c r="AG111" t="e">
        <f t="shared" si="51"/>
        <v>#N/A</v>
      </c>
      <c r="AH111" t="e">
        <f t="shared" si="52"/>
        <v>#N/A</v>
      </c>
      <c r="AI111" t="e">
        <f t="shared" si="53"/>
        <v>#N/A</v>
      </c>
      <c r="AJ111">
        <f t="shared" si="54"/>
        <v>2.2999999999999998</v>
      </c>
      <c r="AK111">
        <f t="shared" si="55"/>
        <v>3</v>
      </c>
    </row>
    <row r="112" spans="1:37" x14ac:dyDescent="0.3">
      <c r="A112" t="s">
        <v>576</v>
      </c>
      <c r="B112" t="s">
        <v>576</v>
      </c>
      <c r="C112" t="s">
        <v>145</v>
      </c>
      <c r="D112">
        <v>1</v>
      </c>
      <c r="E112" t="s">
        <v>44</v>
      </c>
      <c r="F112" t="s">
        <v>1154</v>
      </c>
      <c r="G112">
        <v>5</v>
      </c>
      <c r="H112">
        <v>1</v>
      </c>
      <c r="I112">
        <v>0</v>
      </c>
      <c r="J112">
        <v>0</v>
      </c>
      <c r="K112">
        <v>0</v>
      </c>
      <c r="L112">
        <v>0</v>
      </c>
      <c r="M112">
        <v>0</v>
      </c>
      <c r="N112">
        <v>0</v>
      </c>
      <c r="O112">
        <v>0</v>
      </c>
      <c r="P112">
        <v>0</v>
      </c>
      <c r="Q112">
        <v>0</v>
      </c>
      <c r="R112">
        <v>0</v>
      </c>
      <c r="S112">
        <v>0</v>
      </c>
      <c r="T112" t="s">
        <v>29</v>
      </c>
      <c r="U112" t="s">
        <v>1066</v>
      </c>
      <c r="V112" t="s">
        <v>866</v>
      </c>
      <c r="W112" s="6" t="str">
        <f t="shared" si="42"/>
        <v/>
      </c>
      <c r="X112" s="6" t="str">
        <f t="shared" si="43"/>
        <v/>
      </c>
      <c r="Y112" s="6" t="str">
        <f t="shared" si="44"/>
        <v/>
      </c>
      <c r="Z112" s="6" t="str">
        <f t="shared" si="45"/>
        <v/>
      </c>
      <c r="AA112" t="str">
        <f t="shared" si="46"/>
        <v/>
      </c>
      <c r="AB112" t="s">
        <v>29</v>
      </c>
      <c r="AC112" t="e">
        <f t="shared" si="47"/>
        <v>#N/A</v>
      </c>
      <c r="AD112" t="e">
        <f t="shared" si="48"/>
        <v>#N/A</v>
      </c>
      <c r="AE112" t="e">
        <f t="shared" si="49"/>
        <v>#N/A</v>
      </c>
      <c r="AF112" t="e">
        <f t="shared" si="50"/>
        <v>#N/A</v>
      </c>
      <c r="AG112" t="e">
        <f t="shared" si="51"/>
        <v>#N/A</v>
      </c>
      <c r="AH112" t="e">
        <f t="shared" si="52"/>
        <v>#N/A</v>
      </c>
      <c r="AI112" t="e">
        <f t="shared" si="53"/>
        <v>#N/A</v>
      </c>
      <c r="AJ112" t="e">
        <f t="shared" si="54"/>
        <v>#N/A</v>
      </c>
      <c r="AK112" t="e">
        <f t="shared" si="55"/>
        <v>#N/A</v>
      </c>
    </row>
    <row r="113" spans="1:37" x14ac:dyDescent="0.3">
      <c r="A113" t="s">
        <v>582</v>
      </c>
      <c r="B113" t="s">
        <v>582</v>
      </c>
      <c r="C113" t="s">
        <v>145</v>
      </c>
      <c r="D113">
        <v>1</v>
      </c>
      <c r="E113" t="s">
        <v>27</v>
      </c>
      <c r="F113" t="s">
        <v>1154</v>
      </c>
      <c r="G113">
        <v>5</v>
      </c>
      <c r="H113">
        <v>1</v>
      </c>
      <c r="I113">
        <v>0</v>
      </c>
      <c r="J113">
        <v>0</v>
      </c>
      <c r="K113">
        <v>0</v>
      </c>
      <c r="L113">
        <v>0</v>
      </c>
      <c r="M113">
        <v>0</v>
      </c>
      <c r="N113">
        <v>0</v>
      </c>
      <c r="O113">
        <v>0</v>
      </c>
      <c r="P113">
        <v>2</v>
      </c>
      <c r="Q113">
        <v>0</v>
      </c>
      <c r="R113">
        <v>0</v>
      </c>
      <c r="S113">
        <v>0</v>
      </c>
      <c r="T113" t="s">
        <v>29</v>
      </c>
      <c r="U113" t="s">
        <v>1066</v>
      </c>
      <c r="V113" t="s">
        <v>1138</v>
      </c>
      <c r="W113" s="6">
        <f t="shared" si="42"/>
        <v>18</v>
      </c>
      <c r="X113" s="6">
        <f t="shared" si="43"/>
        <v>18</v>
      </c>
      <c r="Y113" s="6">
        <f t="shared" si="44"/>
        <v>9.1999999999999993</v>
      </c>
      <c r="Z113" s="6">
        <f t="shared" si="45"/>
        <v>8.8000000000000007</v>
      </c>
      <c r="AA113" t="str">
        <f t="shared" si="46"/>
        <v>RIDER</v>
      </c>
      <c r="AB113" t="s">
        <v>29</v>
      </c>
      <c r="AC113" t="e">
        <f t="shared" si="47"/>
        <v>#N/A</v>
      </c>
      <c r="AD113" t="e">
        <f t="shared" si="48"/>
        <v>#N/A</v>
      </c>
      <c r="AE113" t="e">
        <f t="shared" si="49"/>
        <v>#N/A</v>
      </c>
      <c r="AF113" t="e">
        <f t="shared" si="50"/>
        <v>#N/A</v>
      </c>
      <c r="AG113" t="e">
        <f t="shared" si="51"/>
        <v>#N/A</v>
      </c>
      <c r="AH113" t="e">
        <f t="shared" si="52"/>
        <v>#N/A</v>
      </c>
      <c r="AI113" t="e">
        <f t="shared" si="53"/>
        <v>#N/A</v>
      </c>
      <c r="AJ113">
        <f t="shared" si="54"/>
        <v>9.1999999999999993</v>
      </c>
      <c r="AK113">
        <f t="shared" si="55"/>
        <v>18</v>
      </c>
    </row>
    <row r="114" spans="1:37" x14ac:dyDescent="0.3">
      <c r="A114" t="s">
        <v>587</v>
      </c>
      <c r="B114" t="s">
        <v>587</v>
      </c>
      <c r="C114" t="s">
        <v>145</v>
      </c>
      <c r="D114">
        <v>2</v>
      </c>
      <c r="E114" t="s">
        <v>27</v>
      </c>
      <c r="F114" t="s">
        <v>1154</v>
      </c>
      <c r="G114">
        <v>5</v>
      </c>
      <c r="H114">
        <v>1</v>
      </c>
      <c r="I114">
        <v>5</v>
      </c>
      <c r="J114">
        <v>0</v>
      </c>
      <c r="K114">
        <v>0</v>
      </c>
      <c r="L114">
        <v>0</v>
      </c>
      <c r="M114">
        <v>0</v>
      </c>
      <c r="N114">
        <v>0</v>
      </c>
      <c r="O114">
        <v>0</v>
      </c>
      <c r="P114">
        <v>0</v>
      </c>
      <c r="Q114">
        <v>0</v>
      </c>
      <c r="R114">
        <v>0</v>
      </c>
      <c r="S114">
        <v>0</v>
      </c>
      <c r="T114" t="s">
        <v>29</v>
      </c>
      <c r="U114" t="s">
        <v>29</v>
      </c>
      <c r="V114" t="s">
        <v>320</v>
      </c>
      <c r="W114" s="6">
        <f t="shared" si="42"/>
        <v>15</v>
      </c>
      <c r="X114" s="6">
        <f t="shared" si="43"/>
        <v>7.5</v>
      </c>
      <c r="Y114" s="6">
        <f t="shared" si="44"/>
        <v>16.100000000000001</v>
      </c>
      <c r="Z114" s="6">
        <f t="shared" si="45"/>
        <v>-1.1000000000000001</v>
      </c>
      <c r="AA114" t="str">
        <f t="shared" si="46"/>
        <v>OK</v>
      </c>
      <c r="AB114" t="s">
        <v>29</v>
      </c>
      <c r="AC114" t="e">
        <f t="shared" si="47"/>
        <v>#N/A</v>
      </c>
      <c r="AD114" t="e">
        <f t="shared" si="48"/>
        <v>#N/A</v>
      </c>
      <c r="AE114" t="e">
        <f t="shared" si="49"/>
        <v>#N/A</v>
      </c>
      <c r="AF114" t="e">
        <f t="shared" si="50"/>
        <v>#N/A</v>
      </c>
      <c r="AG114" t="e">
        <f t="shared" si="51"/>
        <v>#N/A</v>
      </c>
      <c r="AH114" t="e">
        <f t="shared" si="52"/>
        <v>#N/A</v>
      </c>
      <c r="AI114" t="e">
        <f t="shared" si="53"/>
        <v>#N/A</v>
      </c>
      <c r="AJ114">
        <f t="shared" si="54"/>
        <v>16.100000000000001</v>
      </c>
      <c r="AK114">
        <f t="shared" si="55"/>
        <v>15</v>
      </c>
    </row>
    <row r="115" spans="1:37" x14ac:dyDescent="0.3">
      <c r="A115" t="s">
        <v>593</v>
      </c>
      <c r="B115" t="s">
        <v>591</v>
      </c>
      <c r="C115" t="s">
        <v>145</v>
      </c>
      <c r="D115">
        <v>1</v>
      </c>
      <c r="E115" t="s">
        <v>44</v>
      </c>
      <c r="F115" t="s">
        <v>1154</v>
      </c>
      <c r="G115">
        <v>1</v>
      </c>
      <c r="H115">
        <v>1</v>
      </c>
      <c r="I115">
        <v>0</v>
      </c>
      <c r="J115">
        <v>0</v>
      </c>
      <c r="K115">
        <v>0</v>
      </c>
      <c r="L115">
        <v>0</v>
      </c>
      <c r="M115">
        <v>0</v>
      </c>
      <c r="N115">
        <v>0</v>
      </c>
      <c r="O115">
        <v>0</v>
      </c>
      <c r="P115">
        <v>0</v>
      </c>
      <c r="Q115">
        <v>0</v>
      </c>
      <c r="R115">
        <v>1</v>
      </c>
      <c r="S115">
        <v>0</v>
      </c>
      <c r="T115" t="s">
        <v>29</v>
      </c>
      <c r="U115" t="s">
        <v>244</v>
      </c>
      <c r="V115" t="s">
        <v>1138</v>
      </c>
      <c r="W115" s="6">
        <f t="shared" si="42"/>
        <v>3</v>
      </c>
      <c r="X115" s="6">
        <f t="shared" si="43"/>
        <v>3</v>
      </c>
      <c r="Y115" s="6">
        <f t="shared" si="44"/>
        <v>8</v>
      </c>
      <c r="Z115" s="6">
        <f t="shared" si="45"/>
        <v>-5</v>
      </c>
      <c r="AA115" t="str">
        <f t="shared" si="46"/>
        <v>RIDER</v>
      </c>
      <c r="AB115" t="s">
        <v>29</v>
      </c>
      <c r="AC115" t="e">
        <f t="shared" si="47"/>
        <v>#N/A</v>
      </c>
      <c r="AD115" t="e">
        <f t="shared" si="48"/>
        <v>#N/A</v>
      </c>
      <c r="AE115" t="e">
        <f t="shared" si="49"/>
        <v>#N/A</v>
      </c>
      <c r="AF115" t="e">
        <f t="shared" si="50"/>
        <v>#N/A</v>
      </c>
      <c r="AG115" t="e">
        <f t="shared" si="51"/>
        <v>#N/A</v>
      </c>
      <c r="AH115" t="e">
        <f t="shared" si="52"/>
        <v>#N/A</v>
      </c>
      <c r="AI115" t="e">
        <f t="shared" si="53"/>
        <v>#N/A</v>
      </c>
      <c r="AJ115">
        <f t="shared" si="54"/>
        <v>8</v>
      </c>
      <c r="AK115">
        <f t="shared" si="55"/>
        <v>3</v>
      </c>
    </row>
    <row r="116" spans="1:37" x14ac:dyDescent="0.3">
      <c r="A116" t="s">
        <v>594</v>
      </c>
      <c r="B116" t="s">
        <v>594</v>
      </c>
      <c r="C116" t="s">
        <v>145</v>
      </c>
      <c r="D116">
        <v>1</v>
      </c>
      <c r="E116" t="s">
        <v>44</v>
      </c>
      <c r="F116" t="s">
        <v>1154</v>
      </c>
      <c r="G116">
        <v>1</v>
      </c>
      <c r="H116">
        <v>1</v>
      </c>
      <c r="I116">
        <v>0</v>
      </c>
      <c r="J116">
        <v>0</v>
      </c>
      <c r="K116">
        <v>0</v>
      </c>
      <c r="L116">
        <v>0</v>
      </c>
      <c r="M116">
        <v>0</v>
      </c>
      <c r="N116">
        <v>0</v>
      </c>
      <c r="O116">
        <v>0</v>
      </c>
      <c r="P116">
        <v>3</v>
      </c>
      <c r="Q116">
        <v>0</v>
      </c>
      <c r="R116">
        <v>0</v>
      </c>
      <c r="S116">
        <v>0</v>
      </c>
      <c r="T116" t="s">
        <v>29</v>
      </c>
      <c r="U116" t="s">
        <v>29</v>
      </c>
      <c r="V116" t="s">
        <v>320</v>
      </c>
      <c r="W116" s="6">
        <f t="shared" si="42"/>
        <v>9</v>
      </c>
      <c r="X116" s="6">
        <f t="shared" si="43"/>
        <v>9</v>
      </c>
      <c r="Y116" s="6">
        <f t="shared" si="44"/>
        <v>8</v>
      </c>
      <c r="Z116" s="6">
        <f t="shared" si="45"/>
        <v>1</v>
      </c>
      <c r="AA116" t="str">
        <f t="shared" si="46"/>
        <v>OK</v>
      </c>
      <c r="AB116" t="s">
        <v>29</v>
      </c>
      <c r="AC116" t="e">
        <f t="shared" si="47"/>
        <v>#N/A</v>
      </c>
      <c r="AD116" t="e">
        <f t="shared" si="48"/>
        <v>#N/A</v>
      </c>
      <c r="AE116" t="e">
        <f t="shared" si="49"/>
        <v>#N/A</v>
      </c>
      <c r="AF116" t="e">
        <f t="shared" si="50"/>
        <v>#N/A</v>
      </c>
      <c r="AG116" t="e">
        <f t="shared" si="51"/>
        <v>#N/A</v>
      </c>
      <c r="AH116" t="e">
        <f t="shared" si="52"/>
        <v>#N/A</v>
      </c>
      <c r="AI116" t="e">
        <f t="shared" si="53"/>
        <v>#N/A</v>
      </c>
      <c r="AJ116">
        <f t="shared" si="54"/>
        <v>8</v>
      </c>
      <c r="AK116">
        <f t="shared" si="55"/>
        <v>9</v>
      </c>
    </row>
    <row r="117" spans="1:37" x14ac:dyDescent="0.3">
      <c r="A117" t="s">
        <v>596</v>
      </c>
      <c r="B117" t="s">
        <v>596</v>
      </c>
      <c r="C117" t="s">
        <v>145</v>
      </c>
      <c r="D117">
        <v>2</v>
      </c>
      <c r="E117" t="s">
        <v>27</v>
      </c>
      <c r="F117" t="s">
        <v>1154</v>
      </c>
      <c r="G117">
        <v>1</v>
      </c>
      <c r="H117">
        <v>1</v>
      </c>
      <c r="I117">
        <v>0</v>
      </c>
      <c r="J117">
        <v>0</v>
      </c>
      <c r="K117">
        <v>0</v>
      </c>
      <c r="L117">
        <v>0</v>
      </c>
      <c r="M117">
        <v>0</v>
      </c>
      <c r="N117">
        <v>6</v>
      </c>
      <c r="O117">
        <v>0</v>
      </c>
      <c r="P117">
        <v>3</v>
      </c>
      <c r="Q117">
        <v>0</v>
      </c>
      <c r="R117">
        <v>0</v>
      </c>
      <c r="S117">
        <v>0</v>
      </c>
      <c r="T117" t="s">
        <v>29</v>
      </c>
      <c r="U117" t="s">
        <v>29</v>
      </c>
      <c r="V117" t="s">
        <v>320</v>
      </c>
      <c r="W117" s="6">
        <f t="shared" si="42"/>
        <v>16.2</v>
      </c>
      <c r="X117" s="6">
        <f t="shared" si="43"/>
        <v>8.1</v>
      </c>
      <c r="Y117" s="6">
        <f t="shared" si="44"/>
        <v>16.100000000000001</v>
      </c>
      <c r="Z117" s="6">
        <f t="shared" si="45"/>
        <v>0.1</v>
      </c>
      <c r="AA117" t="str">
        <f t="shared" si="46"/>
        <v>OK</v>
      </c>
      <c r="AB117" t="s">
        <v>29</v>
      </c>
      <c r="AC117" t="e">
        <f t="shared" si="47"/>
        <v>#N/A</v>
      </c>
      <c r="AD117" t="e">
        <f t="shared" si="48"/>
        <v>#N/A</v>
      </c>
      <c r="AE117" t="e">
        <f t="shared" si="49"/>
        <v>#N/A</v>
      </c>
      <c r="AF117" t="e">
        <f t="shared" si="50"/>
        <v>#N/A</v>
      </c>
      <c r="AG117" t="e">
        <f t="shared" si="51"/>
        <v>#N/A</v>
      </c>
      <c r="AH117" t="e">
        <f t="shared" si="52"/>
        <v>#N/A</v>
      </c>
      <c r="AI117" t="e">
        <f t="shared" si="53"/>
        <v>#N/A</v>
      </c>
      <c r="AJ117">
        <f t="shared" si="54"/>
        <v>16.100000000000001</v>
      </c>
      <c r="AK117">
        <f t="shared" si="55"/>
        <v>16.2</v>
      </c>
    </row>
    <row r="118" spans="1:37" x14ac:dyDescent="0.3">
      <c r="A118" t="s">
        <v>599</v>
      </c>
      <c r="B118" t="s">
        <v>599</v>
      </c>
      <c r="C118" t="s">
        <v>145</v>
      </c>
      <c r="D118">
        <v>1</v>
      </c>
      <c r="E118" t="s">
        <v>27</v>
      </c>
      <c r="F118" t="s">
        <v>1154</v>
      </c>
      <c r="G118">
        <v>1</v>
      </c>
      <c r="H118">
        <v>1</v>
      </c>
      <c r="I118">
        <v>0</v>
      </c>
      <c r="J118">
        <v>0</v>
      </c>
      <c r="K118">
        <v>0</v>
      </c>
      <c r="L118">
        <v>0</v>
      </c>
      <c r="M118">
        <v>0</v>
      </c>
      <c r="N118">
        <v>0</v>
      </c>
      <c r="O118">
        <v>0</v>
      </c>
      <c r="P118">
        <v>2</v>
      </c>
      <c r="Q118">
        <v>0</v>
      </c>
      <c r="R118">
        <v>0</v>
      </c>
      <c r="S118">
        <v>0</v>
      </c>
      <c r="T118" t="s">
        <v>29</v>
      </c>
      <c r="U118" t="s">
        <v>1066</v>
      </c>
      <c r="V118" t="s">
        <v>1138</v>
      </c>
      <c r="W118" s="6">
        <f t="shared" si="42"/>
        <v>6</v>
      </c>
      <c r="X118" s="6">
        <f t="shared" si="43"/>
        <v>6</v>
      </c>
      <c r="Y118" s="6">
        <f t="shared" si="44"/>
        <v>9.1999999999999993</v>
      </c>
      <c r="Z118" s="6">
        <f t="shared" si="45"/>
        <v>-3.2</v>
      </c>
      <c r="AA118" t="str">
        <f t="shared" si="46"/>
        <v>RIDER</v>
      </c>
      <c r="AB118" t="s">
        <v>29</v>
      </c>
      <c r="AC118" t="e">
        <f t="shared" si="47"/>
        <v>#N/A</v>
      </c>
      <c r="AD118" t="e">
        <f t="shared" si="48"/>
        <v>#N/A</v>
      </c>
      <c r="AE118" t="e">
        <f t="shared" si="49"/>
        <v>#N/A</v>
      </c>
      <c r="AF118" t="e">
        <f t="shared" si="50"/>
        <v>#N/A</v>
      </c>
      <c r="AG118" t="e">
        <f t="shared" si="51"/>
        <v>#N/A</v>
      </c>
      <c r="AH118" t="e">
        <f t="shared" si="52"/>
        <v>#N/A</v>
      </c>
      <c r="AI118" t="e">
        <f t="shared" si="53"/>
        <v>#N/A</v>
      </c>
      <c r="AJ118">
        <f t="shared" si="54"/>
        <v>9.1999999999999993</v>
      </c>
      <c r="AK118">
        <f t="shared" si="55"/>
        <v>6</v>
      </c>
    </row>
    <row r="119" spans="1:37" x14ac:dyDescent="0.3">
      <c r="A119" t="s">
        <v>603</v>
      </c>
      <c r="B119" t="s">
        <v>601</v>
      </c>
      <c r="C119" t="s">
        <v>145</v>
      </c>
      <c r="D119">
        <v>2</v>
      </c>
      <c r="E119" t="s">
        <v>99</v>
      </c>
      <c r="F119" t="s">
        <v>1154</v>
      </c>
      <c r="G119">
        <v>1</v>
      </c>
      <c r="H119">
        <v>1</v>
      </c>
      <c r="I119">
        <v>5</v>
      </c>
      <c r="J119">
        <v>0</v>
      </c>
      <c r="K119">
        <v>0</v>
      </c>
      <c r="L119">
        <v>0</v>
      </c>
      <c r="M119">
        <v>0</v>
      </c>
      <c r="N119">
        <v>0</v>
      </c>
      <c r="O119">
        <v>0</v>
      </c>
      <c r="P119">
        <v>0</v>
      </c>
      <c r="Q119">
        <v>0</v>
      </c>
      <c r="R119">
        <v>0</v>
      </c>
      <c r="S119">
        <v>0</v>
      </c>
      <c r="T119" t="s">
        <v>29</v>
      </c>
      <c r="U119" t="s">
        <v>1056</v>
      </c>
      <c r="V119" t="s">
        <v>1138</v>
      </c>
      <c r="W119" s="6">
        <f t="shared" si="42"/>
        <v>5</v>
      </c>
      <c r="X119" s="6">
        <f t="shared" si="43"/>
        <v>2.5</v>
      </c>
      <c r="Y119" s="6">
        <f t="shared" si="44"/>
        <v>18.899999999999999</v>
      </c>
      <c r="Z119" s="6">
        <f t="shared" si="45"/>
        <v>-13.9</v>
      </c>
      <c r="AA119" t="str">
        <f t="shared" si="46"/>
        <v>RIDER</v>
      </c>
      <c r="AB119" t="s">
        <v>29</v>
      </c>
      <c r="AC119" t="e">
        <f t="shared" si="47"/>
        <v>#N/A</v>
      </c>
      <c r="AD119" t="e">
        <f t="shared" si="48"/>
        <v>#N/A</v>
      </c>
      <c r="AE119" t="e">
        <f t="shared" si="49"/>
        <v>#N/A</v>
      </c>
      <c r="AF119" t="e">
        <f t="shared" si="50"/>
        <v>#N/A</v>
      </c>
      <c r="AG119" t="e">
        <f t="shared" si="51"/>
        <v>#N/A</v>
      </c>
      <c r="AH119" t="e">
        <f t="shared" si="52"/>
        <v>#N/A</v>
      </c>
      <c r="AI119" t="e">
        <f t="shared" si="53"/>
        <v>#N/A</v>
      </c>
      <c r="AJ119">
        <f t="shared" si="54"/>
        <v>18.899999999999999</v>
      </c>
      <c r="AK119">
        <f t="shared" si="55"/>
        <v>5</v>
      </c>
    </row>
    <row r="120" spans="1:37" x14ac:dyDescent="0.3">
      <c r="A120" t="s">
        <v>604</v>
      </c>
      <c r="B120" t="s">
        <v>604</v>
      </c>
      <c r="C120" t="s">
        <v>145</v>
      </c>
      <c r="D120">
        <v>2</v>
      </c>
      <c r="E120" t="s">
        <v>99</v>
      </c>
      <c r="F120" t="s">
        <v>1154</v>
      </c>
      <c r="G120">
        <v>1</v>
      </c>
      <c r="H120">
        <v>1</v>
      </c>
      <c r="I120">
        <v>0</v>
      </c>
      <c r="J120">
        <v>0</v>
      </c>
      <c r="K120">
        <v>0</v>
      </c>
      <c r="L120">
        <v>0</v>
      </c>
      <c r="M120">
        <v>0</v>
      </c>
      <c r="N120">
        <v>0</v>
      </c>
      <c r="O120">
        <v>0</v>
      </c>
      <c r="P120">
        <v>0</v>
      </c>
      <c r="Q120">
        <v>1</v>
      </c>
      <c r="R120">
        <v>0</v>
      </c>
      <c r="S120">
        <v>1</v>
      </c>
      <c r="T120" t="s">
        <v>29</v>
      </c>
      <c r="U120" t="s">
        <v>29</v>
      </c>
      <c r="V120" t="s">
        <v>320</v>
      </c>
      <c r="W120" s="6">
        <f t="shared" si="42"/>
        <v>9</v>
      </c>
      <c r="X120" s="6">
        <f t="shared" si="43"/>
        <v>4.5</v>
      </c>
      <c r="Y120" s="6">
        <f t="shared" si="44"/>
        <v>18.899999999999999</v>
      </c>
      <c r="Z120" s="6">
        <f t="shared" si="45"/>
        <v>-9.9</v>
      </c>
      <c r="AA120" t="str">
        <f t="shared" si="46"/>
        <v>UNDER</v>
      </c>
      <c r="AB120" t="s">
        <v>29</v>
      </c>
      <c r="AC120" t="e">
        <f t="shared" si="47"/>
        <v>#N/A</v>
      </c>
      <c r="AD120" t="e">
        <f t="shared" si="48"/>
        <v>#N/A</v>
      </c>
      <c r="AE120" t="e">
        <f t="shared" si="49"/>
        <v>#N/A</v>
      </c>
      <c r="AF120" t="e">
        <f t="shared" si="50"/>
        <v>#N/A</v>
      </c>
      <c r="AG120" t="e">
        <f t="shared" si="51"/>
        <v>#N/A</v>
      </c>
      <c r="AH120" t="e">
        <f t="shared" si="52"/>
        <v>#N/A</v>
      </c>
      <c r="AI120" t="e">
        <f t="shared" si="53"/>
        <v>#N/A</v>
      </c>
      <c r="AJ120">
        <f t="shared" si="54"/>
        <v>18.899999999999999</v>
      </c>
      <c r="AK120">
        <f t="shared" si="55"/>
        <v>9</v>
      </c>
    </row>
    <row r="121" spans="1:37" x14ac:dyDescent="0.3">
      <c r="A121" t="s">
        <v>606</v>
      </c>
      <c r="B121" t="s">
        <v>606</v>
      </c>
      <c r="C121" t="s">
        <v>145</v>
      </c>
      <c r="D121">
        <v>1</v>
      </c>
      <c r="E121" t="s">
        <v>27</v>
      </c>
      <c r="F121" t="s">
        <v>1154</v>
      </c>
      <c r="G121">
        <v>1</v>
      </c>
      <c r="H121">
        <v>1</v>
      </c>
      <c r="I121">
        <v>0</v>
      </c>
      <c r="J121">
        <v>0</v>
      </c>
      <c r="K121">
        <v>0</v>
      </c>
      <c r="L121">
        <v>0</v>
      </c>
      <c r="M121">
        <v>0</v>
      </c>
      <c r="N121">
        <v>0</v>
      </c>
      <c r="O121">
        <v>2</v>
      </c>
      <c r="P121">
        <v>0</v>
      </c>
      <c r="Q121">
        <v>0</v>
      </c>
      <c r="R121">
        <v>0</v>
      </c>
      <c r="S121">
        <v>0</v>
      </c>
      <c r="T121" t="s">
        <v>29</v>
      </c>
      <c r="U121" t="s">
        <v>29</v>
      </c>
      <c r="V121" t="s">
        <v>320</v>
      </c>
      <c r="W121" s="6">
        <f t="shared" si="42"/>
        <v>6</v>
      </c>
      <c r="X121" s="6">
        <f t="shared" si="43"/>
        <v>6</v>
      </c>
      <c r="Y121" s="6">
        <f t="shared" si="44"/>
        <v>9.1999999999999993</v>
      </c>
      <c r="Z121" s="6">
        <f t="shared" si="45"/>
        <v>-3.2</v>
      </c>
      <c r="AA121" t="str">
        <f t="shared" si="46"/>
        <v>UNDER</v>
      </c>
      <c r="AB121" t="s">
        <v>29</v>
      </c>
      <c r="AC121" t="e">
        <f t="shared" si="47"/>
        <v>#N/A</v>
      </c>
      <c r="AD121" t="e">
        <f t="shared" si="48"/>
        <v>#N/A</v>
      </c>
      <c r="AE121" t="e">
        <f t="shared" si="49"/>
        <v>#N/A</v>
      </c>
      <c r="AF121" t="e">
        <f t="shared" si="50"/>
        <v>#N/A</v>
      </c>
      <c r="AG121" t="e">
        <f t="shared" si="51"/>
        <v>#N/A</v>
      </c>
      <c r="AH121" t="e">
        <f t="shared" si="52"/>
        <v>#N/A</v>
      </c>
      <c r="AI121" t="e">
        <f t="shared" si="53"/>
        <v>#N/A</v>
      </c>
      <c r="AJ121">
        <f t="shared" si="54"/>
        <v>9.1999999999999993</v>
      </c>
      <c r="AK121">
        <f t="shared" si="55"/>
        <v>6</v>
      </c>
    </row>
    <row r="122" spans="1:37" x14ac:dyDescent="0.3">
      <c r="A122" t="s">
        <v>610</v>
      </c>
      <c r="B122" t="s">
        <v>608</v>
      </c>
      <c r="C122" t="s">
        <v>145</v>
      </c>
      <c r="D122">
        <v>3</v>
      </c>
      <c r="E122" t="s">
        <v>99</v>
      </c>
      <c r="F122" t="s">
        <v>1154</v>
      </c>
      <c r="G122">
        <v>13</v>
      </c>
      <c r="H122">
        <v>1</v>
      </c>
      <c r="I122">
        <v>0</v>
      </c>
      <c r="J122">
        <v>0</v>
      </c>
      <c r="K122">
        <v>0</v>
      </c>
      <c r="L122">
        <v>0</v>
      </c>
      <c r="M122">
        <v>0</v>
      </c>
      <c r="N122">
        <v>0</v>
      </c>
      <c r="O122">
        <v>0</v>
      </c>
      <c r="P122">
        <v>3</v>
      </c>
      <c r="Q122">
        <v>0</v>
      </c>
      <c r="R122">
        <v>0</v>
      </c>
      <c r="S122">
        <v>0</v>
      </c>
      <c r="T122" t="s">
        <v>29</v>
      </c>
      <c r="U122" t="s">
        <v>29</v>
      </c>
      <c r="V122" t="s">
        <v>320</v>
      </c>
      <c r="W122" s="6">
        <f t="shared" si="42"/>
        <v>36</v>
      </c>
      <c r="X122" s="6">
        <f t="shared" si="43"/>
        <v>12</v>
      </c>
      <c r="Y122" s="6">
        <f t="shared" si="44"/>
        <v>27</v>
      </c>
      <c r="Z122" s="6">
        <f t="shared" si="45"/>
        <v>9</v>
      </c>
      <c r="AA122" t="str">
        <f t="shared" si="46"/>
        <v>OVER</v>
      </c>
      <c r="AB122" t="s">
        <v>29</v>
      </c>
      <c r="AC122" t="e">
        <f t="shared" si="47"/>
        <v>#N/A</v>
      </c>
      <c r="AD122" t="e">
        <f t="shared" si="48"/>
        <v>#N/A</v>
      </c>
      <c r="AE122" t="e">
        <f t="shared" si="49"/>
        <v>#N/A</v>
      </c>
      <c r="AF122" t="e">
        <f t="shared" si="50"/>
        <v>#N/A</v>
      </c>
      <c r="AG122" t="e">
        <f t="shared" si="51"/>
        <v>#N/A</v>
      </c>
      <c r="AH122" t="e">
        <f t="shared" si="52"/>
        <v>#N/A</v>
      </c>
      <c r="AI122" t="e">
        <f t="shared" si="53"/>
        <v>#N/A</v>
      </c>
      <c r="AJ122">
        <f t="shared" si="54"/>
        <v>27</v>
      </c>
      <c r="AK122">
        <f t="shared" si="55"/>
        <v>36</v>
      </c>
    </row>
    <row r="123" spans="1:37" x14ac:dyDescent="0.3">
      <c r="A123" t="s">
        <v>614</v>
      </c>
      <c r="B123" t="s">
        <v>611</v>
      </c>
      <c r="C123" t="s">
        <v>145</v>
      </c>
      <c r="D123">
        <v>2</v>
      </c>
      <c r="E123" t="s">
        <v>99</v>
      </c>
      <c r="F123" t="s">
        <v>1154</v>
      </c>
      <c r="G123">
        <v>1</v>
      </c>
      <c r="H123">
        <v>1</v>
      </c>
      <c r="I123">
        <v>0</v>
      </c>
      <c r="J123">
        <v>0</v>
      </c>
      <c r="K123">
        <v>0</v>
      </c>
      <c r="L123">
        <v>0</v>
      </c>
      <c r="M123">
        <v>0</v>
      </c>
      <c r="N123">
        <v>0</v>
      </c>
      <c r="O123">
        <v>0</v>
      </c>
      <c r="P123">
        <v>0</v>
      </c>
      <c r="Q123">
        <v>0</v>
      </c>
      <c r="R123">
        <v>0</v>
      </c>
      <c r="S123">
        <v>0</v>
      </c>
      <c r="T123" t="s">
        <v>29</v>
      </c>
      <c r="U123" t="s">
        <v>244</v>
      </c>
      <c r="V123" t="s">
        <v>866</v>
      </c>
      <c r="W123" s="6" t="str">
        <f t="shared" si="42"/>
        <v/>
      </c>
      <c r="X123" s="6" t="str">
        <f t="shared" si="43"/>
        <v/>
      </c>
      <c r="Y123" s="6" t="str">
        <f t="shared" si="44"/>
        <v/>
      </c>
      <c r="Z123" s="6" t="str">
        <f t="shared" si="45"/>
        <v/>
      </c>
      <c r="AA123" t="str">
        <f t="shared" si="46"/>
        <v/>
      </c>
      <c r="AB123" t="s">
        <v>29</v>
      </c>
      <c r="AC123" t="e">
        <f t="shared" si="47"/>
        <v>#N/A</v>
      </c>
      <c r="AD123" t="e">
        <f t="shared" si="48"/>
        <v>#N/A</v>
      </c>
      <c r="AE123" t="e">
        <f t="shared" si="49"/>
        <v>#N/A</v>
      </c>
      <c r="AF123" t="e">
        <f t="shared" si="50"/>
        <v>#N/A</v>
      </c>
      <c r="AG123" t="e">
        <f t="shared" si="51"/>
        <v>#N/A</v>
      </c>
      <c r="AH123" t="e">
        <f t="shared" si="52"/>
        <v>#N/A</v>
      </c>
      <c r="AI123" t="e">
        <f t="shared" si="53"/>
        <v>#N/A</v>
      </c>
      <c r="AJ123" t="e">
        <f t="shared" si="54"/>
        <v>#N/A</v>
      </c>
      <c r="AK123" t="e">
        <f t="shared" si="55"/>
        <v>#N/A</v>
      </c>
    </row>
    <row r="124" spans="1:37" x14ac:dyDescent="0.3">
      <c r="A124" t="s">
        <v>615</v>
      </c>
      <c r="B124" t="s">
        <v>615</v>
      </c>
      <c r="C124" t="s">
        <v>145</v>
      </c>
      <c r="D124">
        <v>2</v>
      </c>
      <c r="E124" t="s">
        <v>27</v>
      </c>
      <c r="F124" t="s">
        <v>1154</v>
      </c>
      <c r="G124">
        <v>1</v>
      </c>
      <c r="H124">
        <v>1</v>
      </c>
      <c r="I124">
        <v>0</v>
      </c>
      <c r="J124">
        <v>0</v>
      </c>
      <c r="K124">
        <v>0</v>
      </c>
      <c r="L124">
        <v>15</v>
      </c>
      <c r="M124">
        <v>0</v>
      </c>
      <c r="N124">
        <v>0</v>
      </c>
      <c r="O124">
        <v>0</v>
      </c>
      <c r="P124">
        <v>0</v>
      </c>
      <c r="Q124">
        <v>0</v>
      </c>
      <c r="R124">
        <v>0</v>
      </c>
      <c r="S124">
        <v>0</v>
      </c>
      <c r="T124" t="s">
        <v>29</v>
      </c>
      <c r="U124" t="s">
        <v>29</v>
      </c>
      <c r="V124" t="s">
        <v>320</v>
      </c>
      <c r="W124" s="6">
        <f t="shared" si="42"/>
        <v>13.5</v>
      </c>
      <c r="X124" s="6">
        <f t="shared" si="43"/>
        <v>6.75</v>
      </c>
      <c r="Y124" s="6">
        <f t="shared" si="44"/>
        <v>16.100000000000001</v>
      </c>
      <c r="Z124" s="6">
        <f t="shared" si="45"/>
        <v>-2.6</v>
      </c>
      <c r="AA124" t="str">
        <f t="shared" si="46"/>
        <v>OK</v>
      </c>
      <c r="AB124" t="s">
        <v>29</v>
      </c>
      <c r="AC124" t="e">
        <f t="shared" si="47"/>
        <v>#N/A</v>
      </c>
      <c r="AD124" t="e">
        <f t="shared" si="48"/>
        <v>#N/A</v>
      </c>
      <c r="AE124" t="e">
        <f t="shared" si="49"/>
        <v>#N/A</v>
      </c>
      <c r="AF124" t="e">
        <f t="shared" si="50"/>
        <v>#N/A</v>
      </c>
      <c r="AG124" t="e">
        <f t="shared" si="51"/>
        <v>#N/A</v>
      </c>
      <c r="AH124" t="e">
        <f t="shared" si="52"/>
        <v>#N/A</v>
      </c>
      <c r="AI124" t="e">
        <f t="shared" si="53"/>
        <v>#N/A</v>
      </c>
      <c r="AJ124">
        <f t="shared" si="54"/>
        <v>16.100000000000001</v>
      </c>
      <c r="AK124">
        <f t="shared" si="55"/>
        <v>13.5</v>
      </c>
    </row>
    <row r="125" spans="1:37" x14ac:dyDescent="0.3">
      <c r="A125" t="s">
        <v>617</v>
      </c>
      <c r="B125" t="s">
        <v>617</v>
      </c>
      <c r="C125" t="s">
        <v>145</v>
      </c>
      <c r="D125">
        <v>3</v>
      </c>
      <c r="E125" t="s">
        <v>99</v>
      </c>
      <c r="F125" t="s">
        <v>1154</v>
      </c>
      <c r="G125">
        <v>13</v>
      </c>
      <c r="H125">
        <v>1</v>
      </c>
      <c r="I125">
        <v>0</v>
      </c>
      <c r="J125">
        <v>0</v>
      </c>
      <c r="K125">
        <v>0</v>
      </c>
      <c r="L125">
        <v>0</v>
      </c>
      <c r="M125">
        <v>0</v>
      </c>
      <c r="N125">
        <v>10</v>
      </c>
      <c r="O125">
        <v>0</v>
      </c>
      <c r="P125">
        <v>0</v>
      </c>
      <c r="Q125">
        <v>0</v>
      </c>
      <c r="R125">
        <v>0</v>
      </c>
      <c r="S125">
        <v>0</v>
      </c>
      <c r="T125" t="s">
        <v>29</v>
      </c>
      <c r="U125" t="s">
        <v>29</v>
      </c>
      <c r="V125" t="s">
        <v>320</v>
      </c>
      <c r="W125" s="6">
        <f t="shared" si="42"/>
        <v>48</v>
      </c>
      <c r="X125" s="6">
        <f t="shared" si="43"/>
        <v>16</v>
      </c>
      <c r="Y125" s="6">
        <f t="shared" si="44"/>
        <v>27</v>
      </c>
      <c r="Z125" s="6">
        <f t="shared" si="45"/>
        <v>21</v>
      </c>
      <c r="AA125" t="str">
        <f t="shared" si="46"/>
        <v>OVER</v>
      </c>
      <c r="AB125" t="s">
        <v>29</v>
      </c>
      <c r="AC125" t="e">
        <f t="shared" si="47"/>
        <v>#N/A</v>
      </c>
      <c r="AD125" t="e">
        <f t="shared" si="48"/>
        <v>#N/A</v>
      </c>
      <c r="AE125" t="e">
        <f t="shared" si="49"/>
        <v>#N/A</v>
      </c>
      <c r="AF125" t="e">
        <f t="shared" si="50"/>
        <v>#N/A</v>
      </c>
      <c r="AG125" t="e">
        <f t="shared" si="51"/>
        <v>#N/A</v>
      </c>
      <c r="AH125" t="e">
        <f t="shared" si="52"/>
        <v>#N/A</v>
      </c>
      <c r="AI125" t="e">
        <f t="shared" si="53"/>
        <v>#N/A</v>
      </c>
      <c r="AJ125">
        <f t="shared" si="54"/>
        <v>27</v>
      </c>
      <c r="AK125">
        <f t="shared" si="55"/>
        <v>48</v>
      </c>
    </row>
    <row r="126" spans="1:37" x14ac:dyDescent="0.3">
      <c r="A126" t="s">
        <v>658</v>
      </c>
      <c r="B126" t="s">
        <v>655</v>
      </c>
      <c r="C126" t="s">
        <v>145</v>
      </c>
      <c r="D126">
        <v>1</v>
      </c>
      <c r="E126" t="s">
        <v>27</v>
      </c>
      <c r="F126" t="s">
        <v>1154</v>
      </c>
      <c r="G126">
        <v>1</v>
      </c>
      <c r="H126">
        <v>1</v>
      </c>
      <c r="I126">
        <v>0</v>
      </c>
      <c r="J126">
        <v>0</v>
      </c>
      <c r="K126">
        <v>0</v>
      </c>
      <c r="L126">
        <v>0</v>
      </c>
      <c r="M126">
        <v>0</v>
      </c>
      <c r="N126">
        <v>0</v>
      </c>
      <c r="O126">
        <v>0</v>
      </c>
      <c r="P126">
        <v>0</v>
      </c>
      <c r="Q126">
        <v>2</v>
      </c>
      <c r="R126">
        <v>0</v>
      </c>
      <c r="S126">
        <v>0</v>
      </c>
      <c r="T126" t="s">
        <v>29</v>
      </c>
      <c r="U126" t="s">
        <v>29</v>
      </c>
      <c r="V126" t="s">
        <v>320</v>
      </c>
      <c r="W126" s="6">
        <f t="shared" si="42"/>
        <v>6</v>
      </c>
      <c r="X126" s="6">
        <f t="shared" si="43"/>
        <v>6</v>
      </c>
      <c r="Y126" s="6">
        <f t="shared" si="44"/>
        <v>9.1999999999999993</v>
      </c>
      <c r="Z126" s="6">
        <f t="shared" si="45"/>
        <v>-3.2</v>
      </c>
      <c r="AA126" t="str">
        <f t="shared" si="46"/>
        <v>UNDER</v>
      </c>
      <c r="AB126" t="s">
        <v>29</v>
      </c>
      <c r="AC126" t="e">
        <f t="shared" si="47"/>
        <v>#N/A</v>
      </c>
      <c r="AD126" t="e">
        <f t="shared" si="48"/>
        <v>#N/A</v>
      </c>
      <c r="AE126" t="e">
        <f t="shared" si="49"/>
        <v>#N/A</v>
      </c>
      <c r="AF126" t="e">
        <f t="shared" si="50"/>
        <v>#N/A</v>
      </c>
      <c r="AG126" t="e">
        <f t="shared" si="51"/>
        <v>#N/A</v>
      </c>
      <c r="AH126" t="e">
        <f t="shared" si="52"/>
        <v>#N/A</v>
      </c>
      <c r="AI126" t="e">
        <f t="shared" si="53"/>
        <v>#N/A</v>
      </c>
      <c r="AJ126">
        <f t="shared" si="54"/>
        <v>9.1999999999999993</v>
      </c>
      <c r="AK126">
        <f t="shared" si="55"/>
        <v>6</v>
      </c>
    </row>
    <row r="127" spans="1:37" x14ac:dyDescent="0.3">
      <c r="A127" t="s">
        <v>664</v>
      </c>
      <c r="B127" t="s">
        <v>664</v>
      </c>
      <c r="C127" t="s">
        <v>145</v>
      </c>
      <c r="D127">
        <v>3</v>
      </c>
      <c r="E127" t="s">
        <v>438</v>
      </c>
      <c r="F127" t="s">
        <v>1154</v>
      </c>
      <c r="G127">
        <v>25</v>
      </c>
      <c r="H127">
        <v>1</v>
      </c>
      <c r="I127">
        <v>10</v>
      </c>
      <c r="J127">
        <v>0</v>
      </c>
      <c r="K127">
        <v>0</v>
      </c>
      <c r="L127">
        <v>0</v>
      </c>
      <c r="M127">
        <v>0</v>
      </c>
      <c r="N127">
        <v>0</v>
      </c>
      <c r="O127">
        <v>0</v>
      </c>
      <c r="P127">
        <v>0</v>
      </c>
      <c r="Q127">
        <v>0</v>
      </c>
      <c r="R127">
        <v>0</v>
      </c>
      <c r="S127">
        <v>0</v>
      </c>
      <c r="T127" t="s">
        <v>29</v>
      </c>
      <c r="U127" t="s">
        <v>29</v>
      </c>
      <c r="V127" t="s">
        <v>320</v>
      </c>
      <c r="W127" s="6">
        <f t="shared" si="42"/>
        <v>40</v>
      </c>
      <c r="X127" s="6">
        <f t="shared" si="43"/>
        <v>13.33</v>
      </c>
      <c r="Y127" s="6">
        <f t="shared" si="44"/>
        <v>32</v>
      </c>
      <c r="Z127" s="6">
        <f t="shared" si="45"/>
        <v>8</v>
      </c>
      <c r="AA127" t="str">
        <f t="shared" si="46"/>
        <v>OK</v>
      </c>
      <c r="AB127" t="s">
        <v>29</v>
      </c>
      <c r="AC127" t="e">
        <f t="shared" si="47"/>
        <v>#N/A</v>
      </c>
      <c r="AD127" t="e">
        <f t="shared" si="48"/>
        <v>#N/A</v>
      </c>
      <c r="AE127" t="e">
        <f t="shared" si="49"/>
        <v>#N/A</v>
      </c>
      <c r="AF127" t="e">
        <f t="shared" si="50"/>
        <v>#N/A</v>
      </c>
      <c r="AG127" t="e">
        <f t="shared" si="51"/>
        <v>#N/A</v>
      </c>
      <c r="AH127" t="e">
        <f t="shared" si="52"/>
        <v>#N/A</v>
      </c>
      <c r="AI127" t="e">
        <f t="shared" si="53"/>
        <v>#N/A</v>
      </c>
      <c r="AJ127">
        <f t="shared" si="54"/>
        <v>32</v>
      </c>
      <c r="AK127">
        <f t="shared" si="55"/>
        <v>40</v>
      </c>
    </row>
    <row r="128" spans="1:37" x14ac:dyDescent="0.3">
      <c r="A128" t="s">
        <v>666</v>
      </c>
      <c r="B128" t="s">
        <v>666</v>
      </c>
      <c r="C128" t="s">
        <v>145</v>
      </c>
      <c r="D128">
        <v>3</v>
      </c>
      <c r="E128" t="s">
        <v>438</v>
      </c>
      <c r="F128" t="s">
        <v>1154</v>
      </c>
      <c r="G128">
        <v>1</v>
      </c>
      <c r="H128">
        <v>1</v>
      </c>
      <c r="I128">
        <v>20</v>
      </c>
      <c r="J128">
        <v>0</v>
      </c>
      <c r="K128">
        <v>0</v>
      </c>
      <c r="L128">
        <v>0</v>
      </c>
      <c r="M128">
        <v>0</v>
      </c>
      <c r="N128">
        <v>0</v>
      </c>
      <c r="O128">
        <v>0</v>
      </c>
      <c r="P128">
        <v>0</v>
      </c>
      <c r="Q128">
        <v>0</v>
      </c>
      <c r="R128">
        <v>0</v>
      </c>
      <c r="S128">
        <v>0</v>
      </c>
      <c r="T128" t="s">
        <v>29</v>
      </c>
      <c r="U128" t="s">
        <v>29</v>
      </c>
      <c r="V128" t="s">
        <v>320</v>
      </c>
      <c r="W128" s="6">
        <f t="shared" si="42"/>
        <v>20</v>
      </c>
      <c r="X128" s="6">
        <f t="shared" si="43"/>
        <v>6.67</v>
      </c>
      <c r="Y128" s="6">
        <f t="shared" si="44"/>
        <v>32</v>
      </c>
      <c r="Z128" s="6">
        <f t="shared" si="45"/>
        <v>-12</v>
      </c>
      <c r="AA128" t="str">
        <f t="shared" si="46"/>
        <v>UNDER</v>
      </c>
      <c r="AB128" t="s">
        <v>29</v>
      </c>
      <c r="AC128" t="e">
        <f t="shared" si="47"/>
        <v>#N/A</v>
      </c>
      <c r="AD128" t="e">
        <f t="shared" si="48"/>
        <v>#N/A</v>
      </c>
      <c r="AE128" t="e">
        <f t="shared" si="49"/>
        <v>#N/A</v>
      </c>
      <c r="AF128" t="e">
        <f t="shared" si="50"/>
        <v>#N/A</v>
      </c>
      <c r="AG128" t="e">
        <f t="shared" si="51"/>
        <v>#N/A</v>
      </c>
      <c r="AH128" t="e">
        <f t="shared" si="52"/>
        <v>#N/A</v>
      </c>
      <c r="AI128" t="e">
        <f t="shared" si="53"/>
        <v>#N/A</v>
      </c>
      <c r="AJ128">
        <f t="shared" si="54"/>
        <v>32</v>
      </c>
      <c r="AK128">
        <f t="shared" si="55"/>
        <v>20</v>
      </c>
    </row>
    <row r="129" spans="1:37" x14ac:dyDescent="0.3">
      <c r="A129" t="s">
        <v>671</v>
      </c>
      <c r="B129" t="s">
        <v>669</v>
      </c>
      <c r="C129" t="s">
        <v>145</v>
      </c>
      <c r="D129">
        <v>3</v>
      </c>
      <c r="E129" t="s">
        <v>99</v>
      </c>
      <c r="F129" t="s">
        <v>1154</v>
      </c>
      <c r="G129">
        <v>1</v>
      </c>
      <c r="H129">
        <v>13</v>
      </c>
      <c r="I129">
        <v>0</v>
      </c>
      <c r="J129">
        <v>10</v>
      </c>
      <c r="K129">
        <v>0</v>
      </c>
      <c r="L129">
        <v>0</v>
      </c>
      <c r="M129">
        <v>0</v>
      </c>
      <c r="N129">
        <v>0</v>
      </c>
      <c r="O129">
        <v>0</v>
      </c>
      <c r="P129">
        <v>0</v>
      </c>
      <c r="Q129">
        <v>0</v>
      </c>
      <c r="R129">
        <v>0</v>
      </c>
      <c r="S129">
        <v>0</v>
      </c>
      <c r="T129" t="s">
        <v>29</v>
      </c>
      <c r="U129" t="s">
        <v>29</v>
      </c>
      <c r="V129" t="s">
        <v>320</v>
      </c>
      <c r="W129" s="6">
        <f t="shared" si="42"/>
        <v>24</v>
      </c>
      <c r="X129" s="6">
        <f t="shared" si="43"/>
        <v>8</v>
      </c>
      <c r="Y129" s="6">
        <f t="shared" si="44"/>
        <v>27</v>
      </c>
      <c r="Z129" s="6">
        <f t="shared" si="45"/>
        <v>-3</v>
      </c>
      <c r="AA129" t="str">
        <f t="shared" si="46"/>
        <v>OK</v>
      </c>
      <c r="AB129" t="s">
        <v>29</v>
      </c>
      <c r="AC129" t="e">
        <f t="shared" si="47"/>
        <v>#N/A</v>
      </c>
      <c r="AD129" t="e">
        <f t="shared" si="48"/>
        <v>#N/A</v>
      </c>
      <c r="AE129" t="e">
        <f t="shared" si="49"/>
        <v>#N/A</v>
      </c>
      <c r="AF129" t="e">
        <f t="shared" si="50"/>
        <v>#N/A</v>
      </c>
      <c r="AG129" t="e">
        <f t="shared" si="51"/>
        <v>#N/A</v>
      </c>
      <c r="AH129" t="e">
        <f t="shared" si="52"/>
        <v>#N/A</v>
      </c>
      <c r="AI129" t="e">
        <f t="shared" si="53"/>
        <v>#N/A</v>
      </c>
      <c r="AJ129">
        <f t="shared" si="54"/>
        <v>27</v>
      </c>
      <c r="AK129">
        <f t="shared" si="55"/>
        <v>24</v>
      </c>
    </row>
    <row r="130" spans="1:37" x14ac:dyDescent="0.3">
      <c r="A130" t="s">
        <v>679</v>
      </c>
      <c r="B130" t="s">
        <v>677</v>
      </c>
      <c r="C130" t="s">
        <v>145</v>
      </c>
      <c r="D130">
        <v>3</v>
      </c>
      <c r="E130" t="s">
        <v>438</v>
      </c>
      <c r="F130" t="s">
        <v>1154</v>
      </c>
      <c r="G130">
        <v>13</v>
      </c>
      <c r="H130">
        <v>1</v>
      </c>
      <c r="I130">
        <v>0</v>
      </c>
      <c r="J130">
        <v>0</v>
      </c>
      <c r="K130">
        <v>0</v>
      </c>
      <c r="L130">
        <v>0</v>
      </c>
      <c r="M130">
        <v>0</v>
      </c>
      <c r="N130">
        <v>0</v>
      </c>
      <c r="O130">
        <v>0</v>
      </c>
      <c r="P130">
        <v>0</v>
      </c>
      <c r="Q130">
        <v>0</v>
      </c>
      <c r="R130">
        <v>0</v>
      </c>
      <c r="S130">
        <v>0</v>
      </c>
      <c r="T130" t="s">
        <v>29</v>
      </c>
      <c r="U130" t="s">
        <v>1056</v>
      </c>
      <c r="V130" t="s">
        <v>866</v>
      </c>
      <c r="W130" s="6" t="str">
        <f t="shared" ref="W130:W161" si="56">IF($V130="No","",ROUND((I130*w_Damage + N130*w_Poison + P130*w_Weaken*w_Horizon)*MIN(1+(G130-1)*w_OccEnemy,w_MaxEnemies) + (J130*w_Heal + K130*w_Shield + L130*w_Block + M130*w_Parry + O130*w_Strength*w_Horizon + S130*w_Combo)*MIN(1+(H130-1)*w_OccAlly,w_MaxAllies) + Q130*w_Draw + R130*w_Move,2))</f>
        <v/>
      </c>
      <c r="X130" s="6" t="str">
        <f t="shared" ref="X130:X161" si="57">IF(W130="","",ROUND(W130/MAX(D130,1),2))</f>
        <v/>
      </c>
      <c r="Y130" s="6" t="str">
        <f t="shared" ref="Y130:Y161" si="58">IF($V130="No","",ROUND((curve_Base+curve_Slope*D130)*IFERROR(VLOOKUP(E130,rarity_Mult,2,FALSE),1),2))</f>
        <v/>
      </c>
      <c r="Z130" s="6" t="str">
        <f t="shared" ref="Z130:Z161" si="59">IF(OR(W130="",Y130=""),"",ROUND(W130-Y130,2))</f>
        <v/>
      </c>
      <c r="AA130" t="str">
        <f t="shared" ref="AA130:AA161" si="60">IF(Z130="","",IF($V130="Partial","RIDER",IF(ABS(Z130)&lt;=Y130*tol_Pct,"OK",IF(Z130&gt;0,"OVER","UNDER"))))</f>
        <v/>
      </c>
      <c r="AB130" t="s">
        <v>29</v>
      </c>
      <c r="AC130" t="e">
        <f t="shared" ref="AC130:AC161" si="61">IF(AND($V130&lt;&gt;"No",$E130="Common",NOT(ISNUMBER(SEARCH("Ideas",$F130)))),$W130,NA())</f>
        <v>#N/A</v>
      </c>
      <c r="AD130" t="e">
        <f t="shared" ref="AD130:AD161" si="62">IF(AND($V130&lt;&gt;"No",$E130="Uncommon",NOT(ISNUMBER(SEARCH("Ideas",$F130)))),$W130,NA())</f>
        <v>#N/A</v>
      </c>
      <c r="AE130" t="e">
        <f t="shared" ref="AE130:AE161" si="63">IF(AND($V130&lt;&gt;"No",$E130="Rare",NOT(ISNUMBER(SEARCH("Ideas",$F130)))),$W130,NA())</f>
        <v>#N/A</v>
      </c>
      <c r="AF130" t="e">
        <f t="shared" ref="AF130:AF161" si="64">IF(AND($V130&lt;&gt;"No",$E130="Legendary",NOT(ISNUMBER(SEARCH("Ideas",$F130)))),$W130,NA())</f>
        <v>#N/A</v>
      </c>
      <c r="AG130" t="e">
        <f t="shared" ref="AG130:AG161" si="65">IF(AND($V130&lt;&gt;"No",ISNUMBER(SEARCH("Knight",$C130)),NOT(ISNUMBER(SEARCH("Ideas",$F130)))),$X130,NA())</f>
        <v>#N/A</v>
      </c>
      <c r="AH130" t="e">
        <f t="shared" ref="AH130:AH161" si="66">IF(AND($V130&lt;&gt;"No",ISNUMBER(SEARCH("Mage",$C130)),NOT(ISNUMBER(SEARCH("Ideas",$F130)))),$X130,NA())</f>
        <v>#N/A</v>
      </c>
      <c r="AI130" t="e">
        <f t="shared" ref="AI130:AI161" si="67">IF(AND($V130&lt;&gt;"No",ISNUMBER(SEARCH("Rogue",$C130)),NOT(ISNUMBER(SEARCH("Ideas",$F130)))),$X130,NA())</f>
        <v>#N/A</v>
      </c>
      <c r="AJ130" t="e">
        <f t="shared" ref="AJ130:AJ161" si="68">IF($V130&lt;&gt;"No",$Y130,NA())</f>
        <v>#N/A</v>
      </c>
      <c r="AK130" t="e">
        <f t="shared" ref="AK130:AK161" si="69">IF(AND($V130&lt;&gt;"No",ISNUMBER(SEARCH("Ideas",$F130))),$W130,NA())</f>
        <v>#N/A</v>
      </c>
    </row>
    <row r="131" spans="1:37" x14ac:dyDescent="0.3">
      <c r="A131" t="s">
        <v>682</v>
      </c>
      <c r="B131" t="s">
        <v>680</v>
      </c>
      <c r="C131" t="s">
        <v>145</v>
      </c>
      <c r="D131">
        <v>2</v>
      </c>
      <c r="E131" t="s">
        <v>27</v>
      </c>
      <c r="F131" t="s">
        <v>1154</v>
      </c>
      <c r="G131">
        <v>1</v>
      </c>
      <c r="H131">
        <v>1</v>
      </c>
      <c r="I131">
        <v>0</v>
      </c>
      <c r="J131">
        <v>0</v>
      </c>
      <c r="K131">
        <v>9</v>
      </c>
      <c r="L131">
        <v>0</v>
      </c>
      <c r="M131">
        <v>0</v>
      </c>
      <c r="N131">
        <v>0</v>
      </c>
      <c r="O131">
        <v>0</v>
      </c>
      <c r="P131">
        <v>0</v>
      </c>
      <c r="Q131">
        <v>0</v>
      </c>
      <c r="R131">
        <v>0</v>
      </c>
      <c r="S131">
        <v>0</v>
      </c>
      <c r="T131" t="s">
        <v>1137</v>
      </c>
      <c r="U131" t="s">
        <v>29</v>
      </c>
      <c r="V131" t="s">
        <v>1138</v>
      </c>
      <c r="W131" s="6">
        <f t="shared" si="56"/>
        <v>6.3</v>
      </c>
      <c r="X131" s="6">
        <f t="shared" si="57"/>
        <v>3.15</v>
      </c>
      <c r="Y131" s="6">
        <f t="shared" si="58"/>
        <v>16.100000000000001</v>
      </c>
      <c r="Z131" s="6">
        <f t="shared" si="59"/>
        <v>-9.8000000000000007</v>
      </c>
      <c r="AA131" t="str">
        <f t="shared" si="60"/>
        <v>RIDER</v>
      </c>
      <c r="AB131" t="s">
        <v>29</v>
      </c>
      <c r="AC131" t="e">
        <f t="shared" si="61"/>
        <v>#N/A</v>
      </c>
      <c r="AD131" t="e">
        <f t="shared" si="62"/>
        <v>#N/A</v>
      </c>
      <c r="AE131" t="e">
        <f t="shared" si="63"/>
        <v>#N/A</v>
      </c>
      <c r="AF131" t="e">
        <f t="shared" si="64"/>
        <v>#N/A</v>
      </c>
      <c r="AG131" t="e">
        <f t="shared" si="65"/>
        <v>#N/A</v>
      </c>
      <c r="AH131" t="e">
        <f t="shared" si="66"/>
        <v>#N/A</v>
      </c>
      <c r="AI131" t="e">
        <f t="shared" si="67"/>
        <v>#N/A</v>
      </c>
      <c r="AJ131">
        <f t="shared" si="68"/>
        <v>16.100000000000001</v>
      </c>
      <c r="AK131">
        <f t="shared" si="69"/>
        <v>6.3</v>
      </c>
    </row>
    <row r="132" spans="1:37" x14ac:dyDescent="0.3">
      <c r="A132" t="s">
        <v>687</v>
      </c>
      <c r="B132" t="s">
        <v>685</v>
      </c>
      <c r="C132" t="s">
        <v>145</v>
      </c>
      <c r="D132">
        <v>2</v>
      </c>
      <c r="E132" t="s">
        <v>27</v>
      </c>
      <c r="F132" t="s">
        <v>1154</v>
      </c>
      <c r="G132">
        <v>1</v>
      </c>
      <c r="H132">
        <v>13</v>
      </c>
      <c r="I132">
        <v>0</v>
      </c>
      <c r="J132">
        <v>5</v>
      </c>
      <c r="K132">
        <v>0</v>
      </c>
      <c r="L132">
        <v>0</v>
      </c>
      <c r="M132">
        <v>0</v>
      </c>
      <c r="N132">
        <v>0</v>
      </c>
      <c r="O132">
        <v>0</v>
      </c>
      <c r="P132">
        <v>0</v>
      </c>
      <c r="Q132">
        <v>0</v>
      </c>
      <c r="R132">
        <v>0</v>
      </c>
      <c r="S132">
        <v>0</v>
      </c>
      <c r="T132" t="s">
        <v>29</v>
      </c>
      <c r="U132" t="s">
        <v>29</v>
      </c>
      <c r="V132" t="s">
        <v>320</v>
      </c>
      <c r="W132" s="6">
        <f t="shared" si="56"/>
        <v>12</v>
      </c>
      <c r="X132" s="6">
        <f t="shared" si="57"/>
        <v>6</v>
      </c>
      <c r="Y132" s="6">
        <f t="shared" si="58"/>
        <v>16.100000000000001</v>
      </c>
      <c r="Z132" s="6">
        <f t="shared" si="59"/>
        <v>-4.0999999999999996</v>
      </c>
      <c r="AA132" t="str">
        <f t="shared" si="60"/>
        <v>UNDER</v>
      </c>
      <c r="AB132" t="s">
        <v>29</v>
      </c>
      <c r="AC132" t="e">
        <f t="shared" si="61"/>
        <v>#N/A</v>
      </c>
      <c r="AD132" t="e">
        <f t="shared" si="62"/>
        <v>#N/A</v>
      </c>
      <c r="AE132" t="e">
        <f t="shared" si="63"/>
        <v>#N/A</v>
      </c>
      <c r="AF132" t="e">
        <f t="shared" si="64"/>
        <v>#N/A</v>
      </c>
      <c r="AG132" t="e">
        <f t="shared" si="65"/>
        <v>#N/A</v>
      </c>
      <c r="AH132" t="e">
        <f t="shared" si="66"/>
        <v>#N/A</v>
      </c>
      <c r="AI132" t="e">
        <f t="shared" si="67"/>
        <v>#N/A</v>
      </c>
      <c r="AJ132">
        <f t="shared" si="68"/>
        <v>16.100000000000001</v>
      </c>
      <c r="AK132">
        <f t="shared" si="69"/>
        <v>12</v>
      </c>
    </row>
    <row r="133" spans="1:37" x14ac:dyDescent="0.3">
      <c r="A133" t="s">
        <v>688</v>
      </c>
      <c r="B133" t="s">
        <v>688</v>
      </c>
      <c r="C133" t="s">
        <v>145</v>
      </c>
      <c r="D133">
        <v>3</v>
      </c>
      <c r="E133" t="s">
        <v>438</v>
      </c>
      <c r="F133" t="s">
        <v>1154</v>
      </c>
      <c r="G133">
        <v>1</v>
      </c>
      <c r="H133">
        <v>1</v>
      </c>
      <c r="I133">
        <v>25</v>
      </c>
      <c r="J133">
        <v>0</v>
      </c>
      <c r="K133">
        <v>0</v>
      </c>
      <c r="L133">
        <v>0</v>
      </c>
      <c r="M133">
        <v>0</v>
      </c>
      <c r="N133">
        <v>0</v>
      </c>
      <c r="O133">
        <v>0</v>
      </c>
      <c r="P133">
        <v>0</v>
      </c>
      <c r="Q133">
        <v>0</v>
      </c>
      <c r="R133">
        <v>0</v>
      </c>
      <c r="S133">
        <v>0</v>
      </c>
      <c r="T133" t="s">
        <v>29</v>
      </c>
      <c r="U133" t="s">
        <v>29</v>
      </c>
      <c r="V133" t="s">
        <v>320</v>
      </c>
      <c r="W133" s="6">
        <f t="shared" si="56"/>
        <v>25</v>
      </c>
      <c r="X133" s="6">
        <f t="shared" si="57"/>
        <v>8.33</v>
      </c>
      <c r="Y133" s="6">
        <f t="shared" si="58"/>
        <v>32</v>
      </c>
      <c r="Z133" s="6">
        <f t="shared" si="59"/>
        <v>-7</v>
      </c>
      <c r="AA133" t="str">
        <f t="shared" si="60"/>
        <v>OK</v>
      </c>
      <c r="AB133" t="s">
        <v>29</v>
      </c>
      <c r="AC133" t="e">
        <f t="shared" si="61"/>
        <v>#N/A</v>
      </c>
      <c r="AD133" t="e">
        <f t="shared" si="62"/>
        <v>#N/A</v>
      </c>
      <c r="AE133" t="e">
        <f t="shared" si="63"/>
        <v>#N/A</v>
      </c>
      <c r="AF133" t="e">
        <f t="shared" si="64"/>
        <v>#N/A</v>
      </c>
      <c r="AG133" t="e">
        <f t="shared" si="65"/>
        <v>#N/A</v>
      </c>
      <c r="AH133" t="e">
        <f t="shared" si="66"/>
        <v>#N/A</v>
      </c>
      <c r="AI133" t="e">
        <f t="shared" si="67"/>
        <v>#N/A</v>
      </c>
      <c r="AJ133">
        <f t="shared" si="68"/>
        <v>32</v>
      </c>
      <c r="AK133">
        <f t="shared" si="69"/>
        <v>25</v>
      </c>
    </row>
    <row r="134" spans="1:37" x14ac:dyDescent="0.3">
      <c r="A134" t="s">
        <v>693</v>
      </c>
      <c r="B134" t="s">
        <v>691</v>
      </c>
      <c r="C134" t="s">
        <v>145</v>
      </c>
      <c r="D134">
        <v>3</v>
      </c>
      <c r="E134" t="s">
        <v>99</v>
      </c>
      <c r="F134" t="s">
        <v>1154</v>
      </c>
      <c r="G134">
        <v>5</v>
      </c>
      <c r="H134">
        <v>1</v>
      </c>
      <c r="I134">
        <v>6</v>
      </c>
      <c r="J134">
        <v>0</v>
      </c>
      <c r="K134">
        <v>0</v>
      </c>
      <c r="L134">
        <v>0</v>
      </c>
      <c r="M134">
        <v>0</v>
      </c>
      <c r="N134">
        <v>0</v>
      </c>
      <c r="O134">
        <v>0</v>
      </c>
      <c r="P134">
        <v>3</v>
      </c>
      <c r="Q134">
        <v>0</v>
      </c>
      <c r="R134">
        <v>0</v>
      </c>
      <c r="S134">
        <v>0</v>
      </c>
      <c r="T134" t="s">
        <v>29</v>
      </c>
      <c r="U134" t="s">
        <v>29</v>
      </c>
      <c r="V134" t="s">
        <v>320</v>
      </c>
      <c r="W134" s="6">
        <f t="shared" si="56"/>
        <v>45</v>
      </c>
      <c r="X134" s="6">
        <f t="shared" si="57"/>
        <v>15</v>
      </c>
      <c r="Y134" s="6">
        <f t="shared" si="58"/>
        <v>27</v>
      </c>
      <c r="Z134" s="6">
        <f t="shared" si="59"/>
        <v>18</v>
      </c>
      <c r="AA134" t="str">
        <f t="shared" si="60"/>
        <v>OVER</v>
      </c>
      <c r="AB134" t="s">
        <v>29</v>
      </c>
      <c r="AC134" t="e">
        <f t="shared" si="61"/>
        <v>#N/A</v>
      </c>
      <c r="AD134" t="e">
        <f t="shared" si="62"/>
        <v>#N/A</v>
      </c>
      <c r="AE134" t="e">
        <f t="shared" si="63"/>
        <v>#N/A</v>
      </c>
      <c r="AF134" t="e">
        <f t="shared" si="64"/>
        <v>#N/A</v>
      </c>
      <c r="AG134" t="e">
        <f t="shared" si="65"/>
        <v>#N/A</v>
      </c>
      <c r="AH134" t="e">
        <f t="shared" si="66"/>
        <v>#N/A</v>
      </c>
      <c r="AI134" t="e">
        <f t="shared" si="67"/>
        <v>#N/A</v>
      </c>
      <c r="AJ134">
        <f t="shared" si="68"/>
        <v>27</v>
      </c>
      <c r="AK134">
        <f t="shared" si="69"/>
        <v>45</v>
      </c>
    </row>
    <row r="135" spans="1:37" x14ac:dyDescent="0.3">
      <c r="A135" t="s">
        <v>696</v>
      </c>
      <c r="B135" t="s">
        <v>694</v>
      </c>
      <c r="C135" t="s">
        <v>145</v>
      </c>
      <c r="D135">
        <v>3</v>
      </c>
      <c r="E135" t="s">
        <v>438</v>
      </c>
      <c r="F135" t="s">
        <v>1154</v>
      </c>
      <c r="G135">
        <v>1</v>
      </c>
      <c r="H135">
        <v>1</v>
      </c>
      <c r="I135">
        <v>0</v>
      </c>
      <c r="J135">
        <v>0</v>
      </c>
      <c r="K135">
        <v>0</v>
      </c>
      <c r="L135">
        <v>0</v>
      </c>
      <c r="M135">
        <v>0</v>
      </c>
      <c r="N135">
        <v>0</v>
      </c>
      <c r="O135">
        <v>3</v>
      </c>
      <c r="P135">
        <v>0</v>
      </c>
      <c r="Q135">
        <v>2</v>
      </c>
      <c r="R135">
        <v>0</v>
      </c>
      <c r="S135">
        <v>1</v>
      </c>
      <c r="T135" t="s">
        <v>29</v>
      </c>
      <c r="U135" t="s">
        <v>29</v>
      </c>
      <c r="V135" t="s">
        <v>320</v>
      </c>
      <c r="W135" s="6">
        <f t="shared" si="56"/>
        <v>21</v>
      </c>
      <c r="X135" s="6">
        <f t="shared" si="57"/>
        <v>7</v>
      </c>
      <c r="Y135" s="6">
        <f t="shared" si="58"/>
        <v>32</v>
      </c>
      <c r="Z135" s="6">
        <f t="shared" si="59"/>
        <v>-11</v>
      </c>
      <c r="AA135" t="str">
        <f t="shared" si="60"/>
        <v>UNDER</v>
      </c>
      <c r="AB135" t="s">
        <v>29</v>
      </c>
      <c r="AC135" t="e">
        <f t="shared" si="61"/>
        <v>#N/A</v>
      </c>
      <c r="AD135" t="e">
        <f t="shared" si="62"/>
        <v>#N/A</v>
      </c>
      <c r="AE135" t="e">
        <f t="shared" si="63"/>
        <v>#N/A</v>
      </c>
      <c r="AF135" t="e">
        <f t="shared" si="64"/>
        <v>#N/A</v>
      </c>
      <c r="AG135" t="e">
        <f t="shared" si="65"/>
        <v>#N/A</v>
      </c>
      <c r="AH135" t="e">
        <f t="shared" si="66"/>
        <v>#N/A</v>
      </c>
      <c r="AI135" t="e">
        <f t="shared" si="67"/>
        <v>#N/A</v>
      </c>
      <c r="AJ135">
        <f t="shared" si="68"/>
        <v>32</v>
      </c>
      <c r="AK135">
        <f t="shared" si="69"/>
        <v>21</v>
      </c>
    </row>
    <row r="136" spans="1:37" x14ac:dyDescent="0.3">
      <c r="A136" t="s">
        <v>697</v>
      </c>
      <c r="B136" t="s">
        <v>697</v>
      </c>
      <c r="C136" t="s">
        <v>246</v>
      </c>
      <c r="D136">
        <v>1</v>
      </c>
      <c r="E136" t="s">
        <v>44</v>
      </c>
      <c r="F136" t="s">
        <v>1155</v>
      </c>
      <c r="G136">
        <v>1</v>
      </c>
      <c r="H136">
        <v>1</v>
      </c>
      <c r="I136">
        <v>7</v>
      </c>
      <c r="J136">
        <v>0</v>
      </c>
      <c r="K136">
        <v>0</v>
      </c>
      <c r="L136">
        <v>0</v>
      </c>
      <c r="M136">
        <v>0</v>
      </c>
      <c r="N136">
        <v>0</v>
      </c>
      <c r="O136">
        <v>0</v>
      </c>
      <c r="P136">
        <v>0</v>
      </c>
      <c r="Q136">
        <v>0</v>
      </c>
      <c r="R136">
        <v>0</v>
      </c>
      <c r="S136">
        <v>0</v>
      </c>
      <c r="T136" t="s">
        <v>29</v>
      </c>
      <c r="U136" t="s">
        <v>29</v>
      </c>
      <c r="V136" t="s">
        <v>320</v>
      </c>
      <c r="W136" s="6">
        <f t="shared" si="56"/>
        <v>7</v>
      </c>
      <c r="X136" s="6">
        <f t="shared" si="57"/>
        <v>7</v>
      </c>
      <c r="Y136" s="6">
        <f t="shared" si="58"/>
        <v>8</v>
      </c>
      <c r="Z136" s="6">
        <f t="shared" si="59"/>
        <v>-1</v>
      </c>
      <c r="AA136" t="str">
        <f t="shared" si="60"/>
        <v>OK</v>
      </c>
      <c r="AB136" t="s">
        <v>29</v>
      </c>
      <c r="AC136" t="e">
        <f t="shared" si="61"/>
        <v>#N/A</v>
      </c>
      <c r="AD136" t="e">
        <f t="shared" si="62"/>
        <v>#N/A</v>
      </c>
      <c r="AE136" t="e">
        <f t="shared" si="63"/>
        <v>#N/A</v>
      </c>
      <c r="AF136" t="e">
        <f t="shared" si="64"/>
        <v>#N/A</v>
      </c>
      <c r="AG136" t="e">
        <f t="shared" si="65"/>
        <v>#N/A</v>
      </c>
      <c r="AH136" t="e">
        <f t="shared" si="66"/>
        <v>#N/A</v>
      </c>
      <c r="AI136" t="e">
        <f t="shared" si="67"/>
        <v>#N/A</v>
      </c>
      <c r="AJ136">
        <f t="shared" si="68"/>
        <v>8</v>
      </c>
      <c r="AK136">
        <f t="shared" si="69"/>
        <v>7</v>
      </c>
    </row>
    <row r="137" spans="1:37" x14ac:dyDescent="0.3">
      <c r="A137" t="s">
        <v>703</v>
      </c>
      <c r="B137" t="s">
        <v>700</v>
      </c>
      <c r="C137" t="s">
        <v>246</v>
      </c>
      <c r="D137">
        <v>1</v>
      </c>
      <c r="E137" t="s">
        <v>27</v>
      </c>
      <c r="F137" t="s">
        <v>1155</v>
      </c>
      <c r="G137">
        <v>1</v>
      </c>
      <c r="H137">
        <v>1</v>
      </c>
      <c r="I137">
        <v>3</v>
      </c>
      <c r="J137">
        <v>0</v>
      </c>
      <c r="K137">
        <v>0</v>
      </c>
      <c r="L137">
        <v>0</v>
      </c>
      <c r="M137">
        <v>0</v>
      </c>
      <c r="N137">
        <v>3</v>
      </c>
      <c r="O137">
        <v>0</v>
      </c>
      <c r="P137">
        <v>0</v>
      </c>
      <c r="Q137">
        <v>0</v>
      </c>
      <c r="R137">
        <v>0</v>
      </c>
      <c r="S137">
        <v>0</v>
      </c>
      <c r="T137" t="s">
        <v>29</v>
      </c>
      <c r="U137" t="s">
        <v>29</v>
      </c>
      <c r="V137" t="s">
        <v>320</v>
      </c>
      <c r="W137" s="6">
        <f t="shared" si="56"/>
        <v>6.6</v>
      </c>
      <c r="X137" s="6">
        <f t="shared" si="57"/>
        <v>6.6</v>
      </c>
      <c r="Y137" s="6">
        <f t="shared" si="58"/>
        <v>9.1999999999999993</v>
      </c>
      <c r="Z137" s="6">
        <f t="shared" si="59"/>
        <v>-2.6</v>
      </c>
      <c r="AA137" t="str">
        <f t="shared" si="60"/>
        <v>UNDER</v>
      </c>
      <c r="AB137" t="s">
        <v>29</v>
      </c>
      <c r="AC137" t="e">
        <f t="shared" si="61"/>
        <v>#N/A</v>
      </c>
      <c r="AD137" t="e">
        <f t="shared" si="62"/>
        <v>#N/A</v>
      </c>
      <c r="AE137" t="e">
        <f t="shared" si="63"/>
        <v>#N/A</v>
      </c>
      <c r="AF137" t="e">
        <f t="shared" si="64"/>
        <v>#N/A</v>
      </c>
      <c r="AG137" t="e">
        <f t="shared" si="65"/>
        <v>#N/A</v>
      </c>
      <c r="AH137" t="e">
        <f t="shared" si="66"/>
        <v>#N/A</v>
      </c>
      <c r="AI137" t="e">
        <f t="shared" si="67"/>
        <v>#N/A</v>
      </c>
      <c r="AJ137">
        <f t="shared" si="68"/>
        <v>9.1999999999999993</v>
      </c>
      <c r="AK137">
        <f t="shared" si="69"/>
        <v>6.6</v>
      </c>
    </row>
    <row r="138" spans="1:37" x14ac:dyDescent="0.3">
      <c r="A138" t="s">
        <v>704</v>
      </c>
      <c r="B138" t="s">
        <v>704</v>
      </c>
      <c r="C138" t="s">
        <v>246</v>
      </c>
      <c r="D138">
        <v>2</v>
      </c>
      <c r="E138" t="s">
        <v>27</v>
      </c>
      <c r="F138" t="s">
        <v>1155</v>
      </c>
      <c r="G138">
        <v>1</v>
      </c>
      <c r="H138">
        <v>1</v>
      </c>
      <c r="I138">
        <v>10</v>
      </c>
      <c r="J138">
        <v>0</v>
      </c>
      <c r="K138">
        <v>0</v>
      </c>
      <c r="L138">
        <v>0</v>
      </c>
      <c r="M138">
        <v>0</v>
      </c>
      <c r="N138">
        <v>0</v>
      </c>
      <c r="O138">
        <v>0</v>
      </c>
      <c r="P138">
        <v>0</v>
      </c>
      <c r="Q138">
        <v>0</v>
      </c>
      <c r="R138">
        <v>0</v>
      </c>
      <c r="S138">
        <v>0</v>
      </c>
      <c r="T138" t="s">
        <v>29</v>
      </c>
      <c r="U138" t="s">
        <v>29</v>
      </c>
      <c r="V138" t="s">
        <v>320</v>
      </c>
      <c r="W138" s="6">
        <f t="shared" si="56"/>
        <v>10</v>
      </c>
      <c r="X138" s="6">
        <f t="shared" si="57"/>
        <v>5</v>
      </c>
      <c r="Y138" s="6">
        <f t="shared" si="58"/>
        <v>16.100000000000001</v>
      </c>
      <c r="Z138" s="6">
        <f t="shared" si="59"/>
        <v>-6.1</v>
      </c>
      <c r="AA138" t="str">
        <f t="shared" si="60"/>
        <v>UNDER</v>
      </c>
      <c r="AB138" t="s">
        <v>29</v>
      </c>
      <c r="AC138" t="e">
        <f t="shared" si="61"/>
        <v>#N/A</v>
      </c>
      <c r="AD138" t="e">
        <f t="shared" si="62"/>
        <v>#N/A</v>
      </c>
      <c r="AE138" t="e">
        <f t="shared" si="63"/>
        <v>#N/A</v>
      </c>
      <c r="AF138" t="e">
        <f t="shared" si="64"/>
        <v>#N/A</v>
      </c>
      <c r="AG138" t="e">
        <f t="shared" si="65"/>
        <v>#N/A</v>
      </c>
      <c r="AH138" t="e">
        <f t="shared" si="66"/>
        <v>#N/A</v>
      </c>
      <c r="AI138" t="e">
        <f t="shared" si="67"/>
        <v>#N/A</v>
      </c>
      <c r="AJ138">
        <f t="shared" si="68"/>
        <v>16.100000000000001</v>
      </c>
      <c r="AK138">
        <f t="shared" si="69"/>
        <v>10</v>
      </c>
    </row>
    <row r="139" spans="1:37" x14ac:dyDescent="0.3">
      <c r="A139" t="s">
        <v>706</v>
      </c>
      <c r="B139" t="s">
        <v>706</v>
      </c>
      <c r="C139" t="s">
        <v>246</v>
      </c>
      <c r="D139">
        <v>0</v>
      </c>
      <c r="E139" t="s">
        <v>44</v>
      </c>
      <c r="F139" t="s">
        <v>1155</v>
      </c>
      <c r="G139">
        <v>1</v>
      </c>
      <c r="H139">
        <v>1</v>
      </c>
      <c r="I139">
        <v>0</v>
      </c>
      <c r="J139">
        <v>0</v>
      </c>
      <c r="K139">
        <v>0</v>
      </c>
      <c r="L139">
        <v>0</v>
      </c>
      <c r="M139">
        <v>0</v>
      </c>
      <c r="N139">
        <v>0</v>
      </c>
      <c r="O139">
        <v>0</v>
      </c>
      <c r="P139">
        <v>0</v>
      </c>
      <c r="Q139">
        <v>0</v>
      </c>
      <c r="R139">
        <v>0</v>
      </c>
      <c r="S139">
        <v>0</v>
      </c>
      <c r="T139" t="s">
        <v>29</v>
      </c>
      <c r="U139" t="s">
        <v>244</v>
      </c>
      <c r="V139" t="s">
        <v>866</v>
      </c>
      <c r="W139" s="6" t="str">
        <f t="shared" si="56"/>
        <v/>
      </c>
      <c r="X139" s="6" t="str">
        <f t="shared" si="57"/>
        <v/>
      </c>
      <c r="Y139" s="6" t="str">
        <f t="shared" si="58"/>
        <v/>
      </c>
      <c r="Z139" s="6" t="str">
        <f t="shared" si="59"/>
        <v/>
      </c>
      <c r="AA139" t="str">
        <f t="shared" si="60"/>
        <v/>
      </c>
      <c r="AB139" t="s">
        <v>29</v>
      </c>
      <c r="AC139" t="e">
        <f t="shared" si="61"/>
        <v>#N/A</v>
      </c>
      <c r="AD139" t="e">
        <f t="shared" si="62"/>
        <v>#N/A</v>
      </c>
      <c r="AE139" t="e">
        <f t="shared" si="63"/>
        <v>#N/A</v>
      </c>
      <c r="AF139" t="e">
        <f t="shared" si="64"/>
        <v>#N/A</v>
      </c>
      <c r="AG139" t="e">
        <f t="shared" si="65"/>
        <v>#N/A</v>
      </c>
      <c r="AH139" t="e">
        <f t="shared" si="66"/>
        <v>#N/A</v>
      </c>
      <c r="AI139" t="e">
        <f t="shared" si="67"/>
        <v>#N/A</v>
      </c>
      <c r="AJ139" t="e">
        <f t="shared" si="68"/>
        <v>#N/A</v>
      </c>
      <c r="AK139" t="e">
        <f t="shared" si="69"/>
        <v>#N/A</v>
      </c>
    </row>
    <row r="140" spans="1:37" x14ac:dyDescent="0.3">
      <c r="A140" t="s">
        <v>708</v>
      </c>
      <c r="B140" t="s">
        <v>708</v>
      </c>
      <c r="C140" t="s">
        <v>246</v>
      </c>
      <c r="D140">
        <v>1</v>
      </c>
      <c r="E140" t="s">
        <v>44</v>
      </c>
      <c r="F140" t="s">
        <v>1155</v>
      </c>
      <c r="G140">
        <v>1</v>
      </c>
      <c r="H140">
        <v>1</v>
      </c>
      <c r="I140">
        <v>0</v>
      </c>
      <c r="J140">
        <v>0</v>
      </c>
      <c r="K140">
        <v>0</v>
      </c>
      <c r="L140">
        <v>0</v>
      </c>
      <c r="M140">
        <v>0</v>
      </c>
      <c r="N140">
        <v>10</v>
      </c>
      <c r="O140">
        <v>0</v>
      </c>
      <c r="P140">
        <v>0</v>
      </c>
      <c r="Q140">
        <v>0</v>
      </c>
      <c r="R140">
        <v>0</v>
      </c>
      <c r="S140">
        <v>0</v>
      </c>
      <c r="T140" t="s">
        <v>29</v>
      </c>
      <c r="U140" t="s">
        <v>29</v>
      </c>
      <c r="V140" t="s">
        <v>320</v>
      </c>
      <c r="W140" s="6">
        <f t="shared" si="56"/>
        <v>12</v>
      </c>
      <c r="X140" s="6">
        <f t="shared" si="57"/>
        <v>12</v>
      </c>
      <c r="Y140" s="6">
        <f t="shared" si="58"/>
        <v>8</v>
      </c>
      <c r="Z140" s="6">
        <f t="shared" si="59"/>
        <v>4</v>
      </c>
      <c r="AA140" t="str">
        <f t="shared" si="60"/>
        <v>OVER</v>
      </c>
      <c r="AB140" t="s">
        <v>29</v>
      </c>
      <c r="AC140" t="e">
        <f t="shared" si="61"/>
        <v>#N/A</v>
      </c>
      <c r="AD140" t="e">
        <f t="shared" si="62"/>
        <v>#N/A</v>
      </c>
      <c r="AE140" t="e">
        <f t="shared" si="63"/>
        <v>#N/A</v>
      </c>
      <c r="AF140" t="e">
        <f t="shared" si="64"/>
        <v>#N/A</v>
      </c>
      <c r="AG140" t="e">
        <f t="shared" si="65"/>
        <v>#N/A</v>
      </c>
      <c r="AH140" t="e">
        <f t="shared" si="66"/>
        <v>#N/A</v>
      </c>
      <c r="AI140" t="e">
        <f t="shared" si="67"/>
        <v>#N/A</v>
      </c>
      <c r="AJ140">
        <f t="shared" si="68"/>
        <v>8</v>
      </c>
      <c r="AK140">
        <f t="shared" si="69"/>
        <v>12</v>
      </c>
    </row>
    <row r="141" spans="1:37" x14ac:dyDescent="0.3">
      <c r="A141" t="s">
        <v>712</v>
      </c>
      <c r="B141" t="s">
        <v>710</v>
      </c>
      <c r="C141" t="s">
        <v>246</v>
      </c>
      <c r="D141">
        <v>2</v>
      </c>
      <c r="E141" t="s">
        <v>99</v>
      </c>
      <c r="F141" t="s">
        <v>1155</v>
      </c>
      <c r="G141">
        <v>1</v>
      </c>
      <c r="H141">
        <v>1</v>
      </c>
      <c r="I141">
        <v>8</v>
      </c>
      <c r="J141">
        <v>0</v>
      </c>
      <c r="K141">
        <v>0</v>
      </c>
      <c r="L141">
        <v>0</v>
      </c>
      <c r="M141">
        <v>0</v>
      </c>
      <c r="N141">
        <v>0</v>
      </c>
      <c r="O141">
        <v>0</v>
      </c>
      <c r="P141">
        <v>2</v>
      </c>
      <c r="Q141">
        <v>0</v>
      </c>
      <c r="R141">
        <v>0</v>
      </c>
      <c r="S141">
        <v>0</v>
      </c>
      <c r="T141" t="s">
        <v>29</v>
      </c>
      <c r="U141" t="s">
        <v>29</v>
      </c>
      <c r="V141" t="s">
        <v>320</v>
      </c>
      <c r="W141" s="6">
        <f t="shared" si="56"/>
        <v>14</v>
      </c>
      <c r="X141" s="6">
        <f t="shared" si="57"/>
        <v>7</v>
      </c>
      <c r="Y141" s="6">
        <f t="shared" si="58"/>
        <v>18.899999999999999</v>
      </c>
      <c r="Z141" s="6">
        <f t="shared" si="59"/>
        <v>-4.9000000000000004</v>
      </c>
      <c r="AA141" t="str">
        <f t="shared" si="60"/>
        <v>UNDER</v>
      </c>
      <c r="AB141" t="s">
        <v>29</v>
      </c>
      <c r="AC141" t="e">
        <f t="shared" si="61"/>
        <v>#N/A</v>
      </c>
      <c r="AD141" t="e">
        <f t="shared" si="62"/>
        <v>#N/A</v>
      </c>
      <c r="AE141" t="e">
        <f t="shared" si="63"/>
        <v>#N/A</v>
      </c>
      <c r="AF141" t="e">
        <f t="shared" si="64"/>
        <v>#N/A</v>
      </c>
      <c r="AG141" t="e">
        <f t="shared" si="65"/>
        <v>#N/A</v>
      </c>
      <c r="AH141" t="e">
        <f t="shared" si="66"/>
        <v>#N/A</v>
      </c>
      <c r="AI141" t="e">
        <f t="shared" si="67"/>
        <v>#N/A</v>
      </c>
      <c r="AJ141">
        <f t="shared" si="68"/>
        <v>18.899999999999999</v>
      </c>
      <c r="AK141">
        <f t="shared" si="69"/>
        <v>14</v>
      </c>
    </row>
    <row r="142" spans="1:37" x14ac:dyDescent="0.3">
      <c r="A142" t="s">
        <v>713</v>
      </c>
      <c r="B142" t="s">
        <v>713</v>
      </c>
      <c r="C142" t="s">
        <v>246</v>
      </c>
      <c r="D142">
        <v>1</v>
      </c>
      <c r="E142" t="s">
        <v>27</v>
      </c>
      <c r="F142" t="s">
        <v>1155</v>
      </c>
      <c r="G142">
        <v>1</v>
      </c>
      <c r="H142">
        <v>1</v>
      </c>
      <c r="I142">
        <v>0</v>
      </c>
      <c r="J142">
        <v>5</v>
      </c>
      <c r="K142">
        <v>0</v>
      </c>
      <c r="L142">
        <v>0</v>
      </c>
      <c r="M142">
        <v>0</v>
      </c>
      <c r="N142">
        <v>0</v>
      </c>
      <c r="O142">
        <v>0</v>
      </c>
      <c r="P142">
        <v>0</v>
      </c>
      <c r="Q142">
        <v>0</v>
      </c>
      <c r="R142">
        <v>0</v>
      </c>
      <c r="S142">
        <v>0</v>
      </c>
      <c r="T142" t="s">
        <v>29</v>
      </c>
      <c r="U142" t="s">
        <v>29</v>
      </c>
      <c r="V142" t="s">
        <v>320</v>
      </c>
      <c r="W142" s="6">
        <f t="shared" si="56"/>
        <v>4</v>
      </c>
      <c r="X142" s="6">
        <f t="shared" si="57"/>
        <v>4</v>
      </c>
      <c r="Y142" s="6">
        <f t="shared" si="58"/>
        <v>9.1999999999999993</v>
      </c>
      <c r="Z142" s="6">
        <f t="shared" si="59"/>
        <v>-5.2</v>
      </c>
      <c r="AA142" t="str">
        <f t="shared" si="60"/>
        <v>UNDER</v>
      </c>
      <c r="AB142" t="s">
        <v>29</v>
      </c>
      <c r="AC142" t="e">
        <f t="shared" si="61"/>
        <v>#N/A</v>
      </c>
      <c r="AD142" t="e">
        <f t="shared" si="62"/>
        <v>#N/A</v>
      </c>
      <c r="AE142" t="e">
        <f t="shared" si="63"/>
        <v>#N/A</v>
      </c>
      <c r="AF142" t="e">
        <f t="shared" si="64"/>
        <v>#N/A</v>
      </c>
      <c r="AG142" t="e">
        <f t="shared" si="65"/>
        <v>#N/A</v>
      </c>
      <c r="AH142" t="e">
        <f t="shared" si="66"/>
        <v>#N/A</v>
      </c>
      <c r="AI142" t="e">
        <f t="shared" si="67"/>
        <v>#N/A</v>
      </c>
      <c r="AJ142">
        <f t="shared" si="68"/>
        <v>9.1999999999999993</v>
      </c>
      <c r="AK142">
        <f t="shared" si="69"/>
        <v>4</v>
      </c>
    </row>
    <row r="143" spans="1:37" x14ac:dyDescent="0.3">
      <c r="A143" t="s">
        <v>715</v>
      </c>
      <c r="B143" t="s">
        <v>715</v>
      </c>
      <c r="C143" t="s">
        <v>246</v>
      </c>
      <c r="D143">
        <v>1</v>
      </c>
      <c r="E143" t="s">
        <v>44</v>
      </c>
      <c r="F143" t="s">
        <v>1155</v>
      </c>
      <c r="G143">
        <v>1</v>
      </c>
      <c r="H143">
        <v>1</v>
      </c>
      <c r="I143">
        <v>0</v>
      </c>
      <c r="J143">
        <v>0</v>
      </c>
      <c r="K143">
        <v>0</v>
      </c>
      <c r="L143">
        <v>10</v>
      </c>
      <c r="M143">
        <v>0</v>
      </c>
      <c r="N143">
        <v>0</v>
      </c>
      <c r="O143">
        <v>0</v>
      </c>
      <c r="P143">
        <v>0</v>
      </c>
      <c r="Q143">
        <v>0</v>
      </c>
      <c r="R143">
        <v>0</v>
      </c>
      <c r="S143">
        <v>0</v>
      </c>
      <c r="T143" t="s">
        <v>29</v>
      </c>
      <c r="U143" t="s">
        <v>29</v>
      </c>
      <c r="V143" t="s">
        <v>320</v>
      </c>
      <c r="W143" s="6">
        <f t="shared" si="56"/>
        <v>9</v>
      </c>
      <c r="X143" s="6">
        <f t="shared" si="57"/>
        <v>9</v>
      </c>
      <c r="Y143" s="6">
        <f t="shared" si="58"/>
        <v>8</v>
      </c>
      <c r="Z143" s="6">
        <f t="shared" si="59"/>
        <v>1</v>
      </c>
      <c r="AA143" t="str">
        <f t="shared" si="60"/>
        <v>OK</v>
      </c>
      <c r="AB143" t="s">
        <v>29</v>
      </c>
      <c r="AC143" t="e">
        <f t="shared" si="61"/>
        <v>#N/A</v>
      </c>
      <c r="AD143" t="e">
        <f t="shared" si="62"/>
        <v>#N/A</v>
      </c>
      <c r="AE143" t="e">
        <f t="shared" si="63"/>
        <v>#N/A</v>
      </c>
      <c r="AF143" t="e">
        <f t="shared" si="64"/>
        <v>#N/A</v>
      </c>
      <c r="AG143" t="e">
        <f t="shared" si="65"/>
        <v>#N/A</v>
      </c>
      <c r="AH143" t="e">
        <f t="shared" si="66"/>
        <v>#N/A</v>
      </c>
      <c r="AI143" t="e">
        <f t="shared" si="67"/>
        <v>#N/A</v>
      </c>
      <c r="AJ143">
        <f t="shared" si="68"/>
        <v>8</v>
      </c>
      <c r="AK143">
        <f t="shared" si="69"/>
        <v>9</v>
      </c>
    </row>
    <row r="144" spans="1:37" x14ac:dyDescent="0.3">
      <c r="A144" t="s">
        <v>717</v>
      </c>
      <c r="B144" t="s">
        <v>716</v>
      </c>
      <c r="C144" t="s">
        <v>246</v>
      </c>
      <c r="D144">
        <v>0</v>
      </c>
      <c r="E144" t="s">
        <v>44</v>
      </c>
      <c r="F144" t="s">
        <v>1155</v>
      </c>
      <c r="G144">
        <v>1</v>
      </c>
      <c r="H144">
        <v>1</v>
      </c>
      <c r="I144">
        <v>3</v>
      </c>
      <c r="J144">
        <v>0</v>
      </c>
      <c r="K144">
        <v>0</v>
      </c>
      <c r="L144">
        <v>0</v>
      </c>
      <c r="M144">
        <v>0</v>
      </c>
      <c r="N144">
        <v>0</v>
      </c>
      <c r="O144">
        <v>0</v>
      </c>
      <c r="P144">
        <v>0</v>
      </c>
      <c r="Q144">
        <v>0</v>
      </c>
      <c r="R144">
        <v>0</v>
      </c>
      <c r="S144">
        <v>0</v>
      </c>
      <c r="T144" t="s">
        <v>29</v>
      </c>
      <c r="U144" t="s">
        <v>29</v>
      </c>
      <c r="V144" t="s">
        <v>320</v>
      </c>
      <c r="W144" s="6">
        <f t="shared" si="56"/>
        <v>3</v>
      </c>
      <c r="X144" s="6">
        <f t="shared" si="57"/>
        <v>3</v>
      </c>
      <c r="Y144" s="6">
        <f t="shared" si="58"/>
        <v>2</v>
      </c>
      <c r="Z144" s="6">
        <f t="shared" si="59"/>
        <v>1</v>
      </c>
      <c r="AA144" t="str">
        <f t="shared" si="60"/>
        <v>OVER</v>
      </c>
      <c r="AB144" t="s">
        <v>29</v>
      </c>
      <c r="AC144" t="e">
        <f t="shared" si="61"/>
        <v>#N/A</v>
      </c>
      <c r="AD144" t="e">
        <f t="shared" si="62"/>
        <v>#N/A</v>
      </c>
      <c r="AE144" t="e">
        <f t="shared" si="63"/>
        <v>#N/A</v>
      </c>
      <c r="AF144" t="e">
        <f t="shared" si="64"/>
        <v>#N/A</v>
      </c>
      <c r="AG144" t="e">
        <f t="shared" si="65"/>
        <v>#N/A</v>
      </c>
      <c r="AH144" t="e">
        <f t="shared" si="66"/>
        <v>#N/A</v>
      </c>
      <c r="AI144" t="e">
        <f t="shared" si="67"/>
        <v>#N/A</v>
      </c>
      <c r="AJ144">
        <f t="shared" si="68"/>
        <v>2</v>
      </c>
      <c r="AK144">
        <f t="shared" si="69"/>
        <v>3</v>
      </c>
    </row>
    <row r="145" spans="1:37" x14ac:dyDescent="0.3">
      <c r="A145" t="s">
        <v>720</v>
      </c>
      <c r="B145" t="s">
        <v>718</v>
      </c>
      <c r="C145" t="s">
        <v>246</v>
      </c>
      <c r="D145">
        <v>2</v>
      </c>
      <c r="E145" t="s">
        <v>27</v>
      </c>
      <c r="F145" t="s">
        <v>1155</v>
      </c>
      <c r="G145">
        <v>9</v>
      </c>
      <c r="H145">
        <v>1</v>
      </c>
      <c r="I145">
        <v>4</v>
      </c>
      <c r="J145">
        <v>0</v>
      </c>
      <c r="K145">
        <v>0</v>
      </c>
      <c r="L145">
        <v>0</v>
      </c>
      <c r="M145">
        <v>0</v>
      </c>
      <c r="N145">
        <v>0</v>
      </c>
      <c r="O145">
        <v>0</v>
      </c>
      <c r="P145">
        <v>0</v>
      </c>
      <c r="Q145">
        <v>0</v>
      </c>
      <c r="R145">
        <v>0</v>
      </c>
      <c r="S145">
        <v>0</v>
      </c>
      <c r="T145" t="s">
        <v>29</v>
      </c>
      <c r="U145" t="s">
        <v>29</v>
      </c>
      <c r="V145" t="s">
        <v>320</v>
      </c>
      <c r="W145" s="6">
        <f t="shared" si="56"/>
        <v>16</v>
      </c>
      <c r="X145" s="6">
        <f t="shared" si="57"/>
        <v>8</v>
      </c>
      <c r="Y145" s="6">
        <f t="shared" si="58"/>
        <v>16.100000000000001</v>
      </c>
      <c r="Z145" s="6">
        <f t="shared" si="59"/>
        <v>-0.1</v>
      </c>
      <c r="AA145" t="str">
        <f t="shared" si="60"/>
        <v>OK</v>
      </c>
      <c r="AB145" t="s">
        <v>29</v>
      </c>
      <c r="AC145" t="e">
        <f t="shared" si="61"/>
        <v>#N/A</v>
      </c>
      <c r="AD145" t="e">
        <f t="shared" si="62"/>
        <v>#N/A</v>
      </c>
      <c r="AE145" t="e">
        <f t="shared" si="63"/>
        <v>#N/A</v>
      </c>
      <c r="AF145" t="e">
        <f t="shared" si="64"/>
        <v>#N/A</v>
      </c>
      <c r="AG145" t="e">
        <f t="shared" si="65"/>
        <v>#N/A</v>
      </c>
      <c r="AH145" t="e">
        <f t="shared" si="66"/>
        <v>#N/A</v>
      </c>
      <c r="AI145" t="e">
        <f t="shared" si="67"/>
        <v>#N/A</v>
      </c>
      <c r="AJ145">
        <f t="shared" si="68"/>
        <v>16.100000000000001</v>
      </c>
      <c r="AK145">
        <f t="shared" si="69"/>
        <v>16</v>
      </c>
    </row>
    <row r="146" spans="1:37" x14ac:dyDescent="0.3">
      <c r="A146" t="s">
        <v>721</v>
      </c>
      <c r="B146" t="s">
        <v>721</v>
      </c>
      <c r="C146" t="s">
        <v>246</v>
      </c>
      <c r="D146">
        <v>0</v>
      </c>
      <c r="E146" t="s">
        <v>27</v>
      </c>
      <c r="F146" t="s">
        <v>1155</v>
      </c>
      <c r="G146">
        <v>1</v>
      </c>
      <c r="H146">
        <v>1</v>
      </c>
      <c r="I146">
        <v>0</v>
      </c>
      <c r="J146">
        <v>0</v>
      </c>
      <c r="K146">
        <v>0</v>
      </c>
      <c r="L146">
        <v>0</v>
      </c>
      <c r="M146">
        <v>0</v>
      </c>
      <c r="N146">
        <v>0</v>
      </c>
      <c r="O146">
        <v>0</v>
      </c>
      <c r="P146">
        <v>0</v>
      </c>
      <c r="Q146">
        <v>0</v>
      </c>
      <c r="R146">
        <v>1</v>
      </c>
      <c r="S146">
        <v>0</v>
      </c>
      <c r="T146" t="s">
        <v>29</v>
      </c>
      <c r="U146" t="s">
        <v>29</v>
      </c>
      <c r="V146" t="s">
        <v>320</v>
      </c>
      <c r="W146" s="6">
        <f t="shared" si="56"/>
        <v>3</v>
      </c>
      <c r="X146" s="6">
        <f t="shared" si="57"/>
        <v>3</v>
      </c>
      <c r="Y146" s="6">
        <f t="shared" si="58"/>
        <v>2.2999999999999998</v>
      </c>
      <c r="Z146" s="6">
        <f t="shared" si="59"/>
        <v>0.7</v>
      </c>
      <c r="AA146" t="str">
        <f t="shared" si="60"/>
        <v>OVER</v>
      </c>
      <c r="AB146" t="s">
        <v>29</v>
      </c>
      <c r="AC146" t="e">
        <f t="shared" si="61"/>
        <v>#N/A</v>
      </c>
      <c r="AD146" t="e">
        <f t="shared" si="62"/>
        <v>#N/A</v>
      </c>
      <c r="AE146" t="e">
        <f t="shared" si="63"/>
        <v>#N/A</v>
      </c>
      <c r="AF146" t="e">
        <f t="shared" si="64"/>
        <v>#N/A</v>
      </c>
      <c r="AG146" t="e">
        <f t="shared" si="65"/>
        <v>#N/A</v>
      </c>
      <c r="AH146" t="e">
        <f t="shared" si="66"/>
        <v>#N/A</v>
      </c>
      <c r="AI146" t="e">
        <f t="shared" si="67"/>
        <v>#N/A</v>
      </c>
      <c r="AJ146">
        <f t="shared" si="68"/>
        <v>2.2999999999999998</v>
      </c>
      <c r="AK146">
        <f t="shared" si="69"/>
        <v>3</v>
      </c>
    </row>
    <row r="147" spans="1:37" x14ac:dyDescent="0.3">
      <c r="A147" t="s">
        <v>723</v>
      </c>
      <c r="B147" t="s">
        <v>723</v>
      </c>
      <c r="C147" t="s">
        <v>246</v>
      </c>
      <c r="D147">
        <v>1</v>
      </c>
      <c r="E147" t="s">
        <v>99</v>
      </c>
      <c r="F147" t="s">
        <v>1155</v>
      </c>
      <c r="G147">
        <v>1</v>
      </c>
      <c r="H147">
        <v>1</v>
      </c>
      <c r="I147">
        <v>0</v>
      </c>
      <c r="J147">
        <v>0</v>
      </c>
      <c r="K147">
        <v>0</v>
      </c>
      <c r="L147">
        <v>0</v>
      </c>
      <c r="M147">
        <v>0</v>
      </c>
      <c r="N147">
        <v>0</v>
      </c>
      <c r="O147">
        <v>0</v>
      </c>
      <c r="P147">
        <v>0</v>
      </c>
      <c r="Q147">
        <v>0</v>
      </c>
      <c r="R147">
        <v>1</v>
      </c>
      <c r="S147">
        <v>0</v>
      </c>
      <c r="T147" t="s">
        <v>29</v>
      </c>
      <c r="U147" t="s">
        <v>244</v>
      </c>
      <c r="V147" t="s">
        <v>1138</v>
      </c>
      <c r="W147" s="6">
        <f t="shared" si="56"/>
        <v>3</v>
      </c>
      <c r="X147" s="6">
        <f t="shared" si="57"/>
        <v>3</v>
      </c>
      <c r="Y147" s="6">
        <f t="shared" si="58"/>
        <v>10.8</v>
      </c>
      <c r="Z147" s="6">
        <f t="shared" si="59"/>
        <v>-7.8</v>
      </c>
      <c r="AA147" t="str">
        <f t="shared" si="60"/>
        <v>RIDER</v>
      </c>
      <c r="AB147" t="s">
        <v>29</v>
      </c>
      <c r="AC147" t="e">
        <f t="shared" si="61"/>
        <v>#N/A</v>
      </c>
      <c r="AD147" t="e">
        <f t="shared" si="62"/>
        <v>#N/A</v>
      </c>
      <c r="AE147" t="e">
        <f t="shared" si="63"/>
        <v>#N/A</v>
      </c>
      <c r="AF147" t="e">
        <f t="shared" si="64"/>
        <v>#N/A</v>
      </c>
      <c r="AG147" t="e">
        <f t="shared" si="65"/>
        <v>#N/A</v>
      </c>
      <c r="AH147" t="e">
        <f t="shared" si="66"/>
        <v>#N/A</v>
      </c>
      <c r="AI147" t="e">
        <f t="shared" si="67"/>
        <v>#N/A</v>
      </c>
      <c r="AJ147">
        <f t="shared" si="68"/>
        <v>10.8</v>
      </c>
      <c r="AK147">
        <f t="shared" si="69"/>
        <v>3</v>
      </c>
    </row>
    <row r="148" spans="1:37" x14ac:dyDescent="0.3">
      <c r="A148" t="s">
        <v>725</v>
      </c>
      <c r="B148" t="s">
        <v>725</v>
      </c>
      <c r="C148" t="s">
        <v>246</v>
      </c>
      <c r="D148">
        <v>1</v>
      </c>
      <c r="E148" t="s">
        <v>44</v>
      </c>
      <c r="F148" t="s">
        <v>1155</v>
      </c>
      <c r="G148">
        <v>1</v>
      </c>
      <c r="H148">
        <v>1</v>
      </c>
      <c r="I148">
        <v>0</v>
      </c>
      <c r="J148">
        <v>0</v>
      </c>
      <c r="K148">
        <v>0</v>
      </c>
      <c r="L148">
        <v>0</v>
      </c>
      <c r="M148">
        <v>0</v>
      </c>
      <c r="N148">
        <v>0</v>
      </c>
      <c r="O148">
        <v>0</v>
      </c>
      <c r="P148">
        <v>0</v>
      </c>
      <c r="Q148">
        <v>1</v>
      </c>
      <c r="R148">
        <v>1</v>
      </c>
      <c r="S148">
        <v>0</v>
      </c>
      <c r="T148" t="s">
        <v>29</v>
      </c>
      <c r="U148" t="s">
        <v>29</v>
      </c>
      <c r="V148" t="s">
        <v>320</v>
      </c>
      <c r="W148" s="6">
        <f t="shared" si="56"/>
        <v>6</v>
      </c>
      <c r="X148" s="6">
        <f t="shared" si="57"/>
        <v>6</v>
      </c>
      <c r="Y148" s="6">
        <f t="shared" si="58"/>
        <v>8</v>
      </c>
      <c r="Z148" s="6">
        <f t="shared" si="59"/>
        <v>-2</v>
      </c>
      <c r="AA148" t="str">
        <f t="shared" si="60"/>
        <v>OK</v>
      </c>
      <c r="AB148" t="s">
        <v>29</v>
      </c>
      <c r="AC148" t="e">
        <f t="shared" si="61"/>
        <v>#N/A</v>
      </c>
      <c r="AD148" t="e">
        <f t="shared" si="62"/>
        <v>#N/A</v>
      </c>
      <c r="AE148" t="e">
        <f t="shared" si="63"/>
        <v>#N/A</v>
      </c>
      <c r="AF148" t="e">
        <f t="shared" si="64"/>
        <v>#N/A</v>
      </c>
      <c r="AG148" t="e">
        <f t="shared" si="65"/>
        <v>#N/A</v>
      </c>
      <c r="AH148" t="e">
        <f t="shared" si="66"/>
        <v>#N/A</v>
      </c>
      <c r="AI148" t="e">
        <f t="shared" si="67"/>
        <v>#N/A</v>
      </c>
      <c r="AJ148">
        <f t="shared" si="68"/>
        <v>8</v>
      </c>
      <c r="AK148">
        <f t="shared" si="69"/>
        <v>6</v>
      </c>
    </row>
    <row r="149" spans="1:37" x14ac:dyDescent="0.3">
      <c r="A149" t="s">
        <v>727</v>
      </c>
      <c r="B149" t="s">
        <v>727</v>
      </c>
      <c r="C149" t="s">
        <v>246</v>
      </c>
      <c r="D149">
        <v>1</v>
      </c>
      <c r="E149" t="s">
        <v>27</v>
      </c>
      <c r="F149" t="s">
        <v>1155</v>
      </c>
      <c r="G149">
        <v>1</v>
      </c>
      <c r="H149">
        <v>1</v>
      </c>
      <c r="I149">
        <v>3</v>
      </c>
      <c r="J149">
        <v>0</v>
      </c>
      <c r="K149">
        <v>0</v>
      </c>
      <c r="L149">
        <v>0</v>
      </c>
      <c r="M149">
        <v>0</v>
      </c>
      <c r="N149">
        <v>0</v>
      </c>
      <c r="O149">
        <v>0</v>
      </c>
      <c r="P149">
        <v>0</v>
      </c>
      <c r="Q149">
        <v>0</v>
      </c>
      <c r="R149">
        <v>0</v>
      </c>
      <c r="S149">
        <v>0</v>
      </c>
      <c r="T149" t="s">
        <v>29</v>
      </c>
      <c r="U149" t="s">
        <v>1066</v>
      </c>
      <c r="V149" t="s">
        <v>1138</v>
      </c>
      <c r="W149" s="6">
        <f t="shared" si="56"/>
        <v>3</v>
      </c>
      <c r="X149" s="6">
        <f t="shared" si="57"/>
        <v>3</v>
      </c>
      <c r="Y149" s="6">
        <f t="shared" si="58"/>
        <v>9.1999999999999993</v>
      </c>
      <c r="Z149" s="6">
        <f t="shared" si="59"/>
        <v>-6.2</v>
      </c>
      <c r="AA149" t="str">
        <f t="shared" si="60"/>
        <v>RIDER</v>
      </c>
      <c r="AB149" t="s">
        <v>29</v>
      </c>
      <c r="AC149" t="e">
        <f t="shared" si="61"/>
        <v>#N/A</v>
      </c>
      <c r="AD149" t="e">
        <f t="shared" si="62"/>
        <v>#N/A</v>
      </c>
      <c r="AE149" t="e">
        <f t="shared" si="63"/>
        <v>#N/A</v>
      </c>
      <c r="AF149" t="e">
        <f t="shared" si="64"/>
        <v>#N/A</v>
      </c>
      <c r="AG149" t="e">
        <f t="shared" si="65"/>
        <v>#N/A</v>
      </c>
      <c r="AH149" t="e">
        <f t="shared" si="66"/>
        <v>#N/A</v>
      </c>
      <c r="AI149" t="e">
        <f t="shared" si="67"/>
        <v>#N/A</v>
      </c>
      <c r="AJ149">
        <f t="shared" si="68"/>
        <v>9.1999999999999993</v>
      </c>
      <c r="AK149">
        <f t="shared" si="69"/>
        <v>3</v>
      </c>
    </row>
    <row r="150" spans="1:37" x14ac:dyDescent="0.3">
      <c r="A150" t="s">
        <v>731</v>
      </c>
      <c r="B150" t="s">
        <v>729</v>
      </c>
      <c r="C150" t="s">
        <v>246</v>
      </c>
      <c r="D150">
        <v>2</v>
      </c>
      <c r="E150" t="s">
        <v>99</v>
      </c>
      <c r="F150" t="s">
        <v>1155</v>
      </c>
      <c r="G150">
        <v>5</v>
      </c>
      <c r="H150">
        <v>1</v>
      </c>
      <c r="I150">
        <v>0</v>
      </c>
      <c r="J150">
        <v>0</v>
      </c>
      <c r="K150">
        <v>0</v>
      </c>
      <c r="L150">
        <v>0</v>
      </c>
      <c r="M150">
        <v>0</v>
      </c>
      <c r="N150">
        <v>0</v>
      </c>
      <c r="O150">
        <v>0</v>
      </c>
      <c r="P150">
        <v>2</v>
      </c>
      <c r="Q150">
        <v>0</v>
      </c>
      <c r="R150">
        <v>0</v>
      </c>
      <c r="S150">
        <v>0</v>
      </c>
      <c r="T150" t="s">
        <v>29</v>
      </c>
      <c r="U150" t="s">
        <v>244</v>
      </c>
      <c r="V150" t="s">
        <v>1138</v>
      </c>
      <c r="W150" s="6">
        <f t="shared" si="56"/>
        <v>18</v>
      </c>
      <c r="X150" s="6">
        <f t="shared" si="57"/>
        <v>9</v>
      </c>
      <c r="Y150" s="6">
        <f t="shared" si="58"/>
        <v>18.899999999999999</v>
      </c>
      <c r="Z150" s="6">
        <f t="shared" si="59"/>
        <v>-0.9</v>
      </c>
      <c r="AA150" t="str">
        <f t="shared" si="60"/>
        <v>RIDER</v>
      </c>
      <c r="AB150" t="s">
        <v>29</v>
      </c>
      <c r="AC150" t="e">
        <f t="shared" si="61"/>
        <v>#N/A</v>
      </c>
      <c r="AD150" t="e">
        <f t="shared" si="62"/>
        <v>#N/A</v>
      </c>
      <c r="AE150" t="e">
        <f t="shared" si="63"/>
        <v>#N/A</v>
      </c>
      <c r="AF150" t="e">
        <f t="shared" si="64"/>
        <v>#N/A</v>
      </c>
      <c r="AG150" t="e">
        <f t="shared" si="65"/>
        <v>#N/A</v>
      </c>
      <c r="AH150" t="e">
        <f t="shared" si="66"/>
        <v>#N/A</v>
      </c>
      <c r="AI150" t="e">
        <f t="shared" si="67"/>
        <v>#N/A</v>
      </c>
      <c r="AJ150">
        <f t="shared" si="68"/>
        <v>18.899999999999999</v>
      </c>
      <c r="AK150">
        <f t="shared" si="69"/>
        <v>18</v>
      </c>
    </row>
    <row r="151" spans="1:37" x14ac:dyDescent="0.3">
      <c r="A151" t="s">
        <v>758</v>
      </c>
      <c r="B151" t="s">
        <v>755</v>
      </c>
      <c r="C151" t="s">
        <v>246</v>
      </c>
      <c r="D151">
        <v>2</v>
      </c>
      <c r="E151" t="s">
        <v>27</v>
      </c>
      <c r="F151" t="s">
        <v>1155</v>
      </c>
      <c r="G151">
        <v>1</v>
      </c>
      <c r="H151">
        <v>1</v>
      </c>
      <c r="I151">
        <v>0</v>
      </c>
      <c r="J151">
        <v>0</v>
      </c>
      <c r="K151">
        <v>0</v>
      </c>
      <c r="L151">
        <v>0</v>
      </c>
      <c r="M151">
        <v>0</v>
      </c>
      <c r="N151">
        <v>21</v>
      </c>
      <c r="O151">
        <v>0</v>
      </c>
      <c r="P151">
        <v>0</v>
      </c>
      <c r="Q151">
        <v>0</v>
      </c>
      <c r="R151">
        <v>0</v>
      </c>
      <c r="S151">
        <v>0</v>
      </c>
      <c r="T151" t="s">
        <v>29</v>
      </c>
      <c r="U151" t="s">
        <v>29</v>
      </c>
      <c r="V151" t="s">
        <v>320</v>
      </c>
      <c r="W151" s="6">
        <f t="shared" si="56"/>
        <v>25.2</v>
      </c>
      <c r="X151" s="6">
        <f t="shared" si="57"/>
        <v>12.6</v>
      </c>
      <c r="Y151" s="6">
        <f t="shared" si="58"/>
        <v>16.100000000000001</v>
      </c>
      <c r="Z151" s="6">
        <f t="shared" si="59"/>
        <v>9.1</v>
      </c>
      <c r="AA151" t="str">
        <f t="shared" si="60"/>
        <v>OVER</v>
      </c>
      <c r="AB151" t="s">
        <v>29</v>
      </c>
      <c r="AC151" t="e">
        <f t="shared" si="61"/>
        <v>#N/A</v>
      </c>
      <c r="AD151" t="e">
        <f t="shared" si="62"/>
        <v>#N/A</v>
      </c>
      <c r="AE151" t="e">
        <f t="shared" si="63"/>
        <v>#N/A</v>
      </c>
      <c r="AF151" t="e">
        <f t="shared" si="64"/>
        <v>#N/A</v>
      </c>
      <c r="AG151" t="e">
        <f t="shared" si="65"/>
        <v>#N/A</v>
      </c>
      <c r="AH151" t="e">
        <f t="shared" si="66"/>
        <v>#N/A</v>
      </c>
      <c r="AI151" t="e">
        <f t="shared" si="67"/>
        <v>#N/A</v>
      </c>
      <c r="AJ151">
        <f t="shared" si="68"/>
        <v>16.100000000000001</v>
      </c>
      <c r="AK151">
        <f t="shared" si="69"/>
        <v>25.2</v>
      </c>
    </row>
    <row r="152" spans="1:37" x14ac:dyDescent="0.3">
      <c r="A152" t="s">
        <v>761</v>
      </c>
      <c r="B152" t="s">
        <v>759</v>
      </c>
      <c r="C152" t="s">
        <v>246</v>
      </c>
      <c r="D152">
        <v>2</v>
      </c>
      <c r="E152" t="s">
        <v>99</v>
      </c>
      <c r="F152" t="s">
        <v>1155</v>
      </c>
      <c r="G152">
        <v>1</v>
      </c>
      <c r="H152">
        <v>1</v>
      </c>
      <c r="I152">
        <v>0</v>
      </c>
      <c r="J152">
        <v>0</v>
      </c>
      <c r="K152">
        <v>0</v>
      </c>
      <c r="L152">
        <v>0</v>
      </c>
      <c r="M152">
        <v>0</v>
      </c>
      <c r="N152">
        <v>6</v>
      </c>
      <c r="O152">
        <v>0</v>
      </c>
      <c r="P152">
        <v>3</v>
      </c>
      <c r="Q152">
        <v>0</v>
      </c>
      <c r="R152">
        <v>0</v>
      </c>
      <c r="S152">
        <v>0</v>
      </c>
      <c r="T152" t="s">
        <v>29</v>
      </c>
      <c r="U152" t="s">
        <v>29</v>
      </c>
      <c r="V152" t="s">
        <v>320</v>
      </c>
      <c r="W152" s="6">
        <f t="shared" si="56"/>
        <v>16.2</v>
      </c>
      <c r="X152" s="6">
        <f t="shared" si="57"/>
        <v>8.1</v>
      </c>
      <c r="Y152" s="6">
        <f t="shared" si="58"/>
        <v>18.899999999999999</v>
      </c>
      <c r="Z152" s="6">
        <f t="shared" si="59"/>
        <v>-2.7</v>
      </c>
      <c r="AA152" t="str">
        <f t="shared" si="60"/>
        <v>OK</v>
      </c>
      <c r="AB152" t="s">
        <v>29</v>
      </c>
      <c r="AC152" t="e">
        <f t="shared" si="61"/>
        <v>#N/A</v>
      </c>
      <c r="AD152" t="e">
        <f t="shared" si="62"/>
        <v>#N/A</v>
      </c>
      <c r="AE152" t="e">
        <f t="shared" si="63"/>
        <v>#N/A</v>
      </c>
      <c r="AF152" t="e">
        <f t="shared" si="64"/>
        <v>#N/A</v>
      </c>
      <c r="AG152" t="e">
        <f t="shared" si="65"/>
        <v>#N/A</v>
      </c>
      <c r="AH152" t="e">
        <f t="shared" si="66"/>
        <v>#N/A</v>
      </c>
      <c r="AI152" t="e">
        <f t="shared" si="67"/>
        <v>#N/A</v>
      </c>
      <c r="AJ152">
        <f t="shared" si="68"/>
        <v>18.899999999999999</v>
      </c>
      <c r="AK152">
        <f t="shared" si="69"/>
        <v>16.2</v>
      </c>
    </row>
    <row r="153" spans="1:37" x14ac:dyDescent="0.3">
      <c r="A153" t="s">
        <v>762</v>
      </c>
      <c r="B153" t="s">
        <v>762</v>
      </c>
      <c r="C153" t="s">
        <v>246</v>
      </c>
      <c r="D153">
        <v>2</v>
      </c>
      <c r="E153" t="s">
        <v>99</v>
      </c>
      <c r="F153" t="s">
        <v>1155</v>
      </c>
      <c r="G153">
        <v>1</v>
      </c>
      <c r="H153">
        <v>1</v>
      </c>
      <c r="I153">
        <v>5</v>
      </c>
      <c r="J153">
        <v>0</v>
      </c>
      <c r="K153">
        <v>0</v>
      </c>
      <c r="L153">
        <v>0</v>
      </c>
      <c r="M153">
        <v>0</v>
      </c>
      <c r="N153">
        <v>10</v>
      </c>
      <c r="O153">
        <v>0</v>
      </c>
      <c r="P153">
        <v>0</v>
      </c>
      <c r="Q153">
        <v>0</v>
      </c>
      <c r="R153">
        <v>0</v>
      </c>
      <c r="S153">
        <v>0</v>
      </c>
      <c r="T153" t="s">
        <v>29</v>
      </c>
      <c r="U153" t="s">
        <v>29</v>
      </c>
      <c r="V153" t="s">
        <v>320</v>
      </c>
      <c r="W153" s="6">
        <f t="shared" si="56"/>
        <v>17</v>
      </c>
      <c r="X153" s="6">
        <f t="shared" si="57"/>
        <v>8.5</v>
      </c>
      <c r="Y153" s="6">
        <f t="shared" si="58"/>
        <v>18.899999999999999</v>
      </c>
      <c r="Z153" s="6">
        <f t="shared" si="59"/>
        <v>-1.9</v>
      </c>
      <c r="AA153" t="str">
        <f t="shared" si="60"/>
        <v>OK</v>
      </c>
      <c r="AB153" t="s">
        <v>29</v>
      </c>
      <c r="AC153" t="e">
        <f t="shared" si="61"/>
        <v>#N/A</v>
      </c>
      <c r="AD153" t="e">
        <f t="shared" si="62"/>
        <v>#N/A</v>
      </c>
      <c r="AE153" t="e">
        <f t="shared" si="63"/>
        <v>#N/A</v>
      </c>
      <c r="AF153" t="e">
        <f t="shared" si="64"/>
        <v>#N/A</v>
      </c>
      <c r="AG153" t="e">
        <f t="shared" si="65"/>
        <v>#N/A</v>
      </c>
      <c r="AH153" t="e">
        <f t="shared" si="66"/>
        <v>#N/A</v>
      </c>
      <c r="AI153" t="e">
        <f t="shared" si="67"/>
        <v>#N/A</v>
      </c>
      <c r="AJ153">
        <f t="shared" si="68"/>
        <v>18.899999999999999</v>
      </c>
      <c r="AK153">
        <f t="shared" si="69"/>
        <v>17</v>
      </c>
    </row>
    <row r="154" spans="1:37" x14ac:dyDescent="0.3">
      <c r="A154" t="s">
        <v>766</v>
      </c>
      <c r="B154" t="s">
        <v>764</v>
      </c>
      <c r="C154" t="s">
        <v>246</v>
      </c>
      <c r="D154">
        <v>2</v>
      </c>
      <c r="E154" t="s">
        <v>99</v>
      </c>
      <c r="F154" t="s">
        <v>1155</v>
      </c>
      <c r="G154">
        <v>1</v>
      </c>
      <c r="H154">
        <v>1</v>
      </c>
      <c r="I154">
        <v>3</v>
      </c>
      <c r="J154">
        <v>0</v>
      </c>
      <c r="K154">
        <v>0</v>
      </c>
      <c r="L154">
        <v>0</v>
      </c>
      <c r="M154">
        <v>0</v>
      </c>
      <c r="N154">
        <v>0</v>
      </c>
      <c r="O154">
        <v>0</v>
      </c>
      <c r="P154">
        <v>0</v>
      </c>
      <c r="Q154">
        <v>0</v>
      </c>
      <c r="R154">
        <v>0</v>
      </c>
      <c r="S154">
        <v>1</v>
      </c>
      <c r="T154" t="s">
        <v>29</v>
      </c>
      <c r="U154" t="s">
        <v>29</v>
      </c>
      <c r="V154" t="s">
        <v>320</v>
      </c>
      <c r="W154" s="6">
        <f t="shared" si="56"/>
        <v>9</v>
      </c>
      <c r="X154" s="6">
        <f t="shared" si="57"/>
        <v>4.5</v>
      </c>
      <c r="Y154" s="6">
        <f t="shared" si="58"/>
        <v>18.899999999999999</v>
      </c>
      <c r="Z154" s="6">
        <f t="shared" si="59"/>
        <v>-9.9</v>
      </c>
      <c r="AA154" t="str">
        <f t="shared" si="60"/>
        <v>UNDER</v>
      </c>
      <c r="AB154" t="s">
        <v>29</v>
      </c>
      <c r="AC154" t="e">
        <f t="shared" si="61"/>
        <v>#N/A</v>
      </c>
      <c r="AD154" t="e">
        <f t="shared" si="62"/>
        <v>#N/A</v>
      </c>
      <c r="AE154" t="e">
        <f t="shared" si="63"/>
        <v>#N/A</v>
      </c>
      <c r="AF154" t="e">
        <f t="shared" si="64"/>
        <v>#N/A</v>
      </c>
      <c r="AG154" t="e">
        <f t="shared" si="65"/>
        <v>#N/A</v>
      </c>
      <c r="AH154" t="e">
        <f t="shared" si="66"/>
        <v>#N/A</v>
      </c>
      <c r="AI154" t="e">
        <f t="shared" si="67"/>
        <v>#N/A</v>
      </c>
      <c r="AJ154">
        <f t="shared" si="68"/>
        <v>18.899999999999999</v>
      </c>
      <c r="AK154">
        <f t="shared" si="69"/>
        <v>9</v>
      </c>
    </row>
    <row r="155" spans="1:37" x14ac:dyDescent="0.3">
      <c r="A155" t="s">
        <v>767</v>
      </c>
      <c r="B155" t="s">
        <v>767</v>
      </c>
      <c r="C155" t="s">
        <v>246</v>
      </c>
      <c r="D155">
        <v>1</v>
      </c>
      <c r="E155" t="s">
        <v>44</v>
      </c>
      <c r="F155" t="s">
        <v>1155</v>
      </c>
      <c r="G155">
        <v>1</v>
      </c>
      <c r="H155">
        <v>1</v>
      </c>
      <c r="I155">
        <v>0</v>
      </c>
      <c r="J155">
        <v>0</v>
      </c>
      <c r="K155">
        <v>0</v>
      </c>
      <c r="L155">
        <v>0</v>
      </c>
      <c r="M155">
        <v>0</v>
      </c>
      <c r="N155">
        <v>0</v>
      </c>
      <c r="O155">
        <v>2</v>
      </c>
      <c r="P155">
        <v>0</v>
      </c>
      <c r="Q155">
        <v>0</v>
      </c>
      <c r="R155">
        <v>0</v>
      </c>
      <c r="S155">
        <v>0</v>
      </c>
      <c r="T155" t="s">
        <v>29</v>
      </c>
      <c r="U155" t="s">
        <v>29</v>
      </c>
      <c r="V155" t="s">
        <v>320</v>
      </c>
      <c r="W155" s="6">
        <f t="shared" si="56"/>
        <v>6</v>
      </c>
      <c r="X155" s="6">
        <f t="shared" si="57"/>
        <v>6</v>
      </c>
      <c r="Y155" s="6">
        <f t="shared" si="58"/>
        <v>8</v>
      </c>
      <c r="Z155" s="6">
        <f t="shared" si="59"/>
        <v>-2</v>
      </c>
      <c r="AA155" t="str">
        <f t="shared" si="60"/>
        <v>OK</v>
      </c>
      <c r="AB155" t="s">
        <v>29</v>
      </c>
      <c r="AC155" t="e">
        <f t="shared" si="61"/>
        <v>#N/A</v>
      </c>
      <c r="AD155" t="e">
        <f t="shared" si="62"/>
        <v>#N/A</v>
      </c>
      <c r="AE155" t="e">
        <f t="shared" si="63"/>
        <v>#N/A</v>
      </c>
      <c r="AF155" t="e">
        <f t="shared" si="64"/>
        <v>#N/A</v>
      </c>
      <c r="AG155" t="e">
        <f t="shared" si="65"/>
        <v>#N/A</v>
      </c>
      <c r="AH155" t="e">
        <f t="shared" si="66"/>
        <v>#N/A</v>
      </c>
      <c r="AI155" t="e">
        <f t="shared" si="67"/>
        <v>#N/A</v>
      </c>
      <c r="AJ155">
        <f t="shared" si="68"/>
        <v>8</v>
      </c>
      <c r="AK155">
        <f t="shared" si="69"/>
        <v>6</v>
      </c>
    </row>
    <row r="156" spans="1:37" x14ac:dyDescent="0.3">
      <c r="A156" t="s">
        <v>133</v>
      </c>
      <c r="B156" t="s">
        <v>133</v>
      </c>
      <c r="C156" t="s">
        <v>246</v>
      </c>
      <c r="D156">
        <v>1</v>
      </c>
      <c r="E156" t="s">
        <v>27</v>
      </c>
      <c r="F156" t="s">
        <v>1155</v>
      </c>
      <c r="G156">
        <v>1</v>
      </c>
      <c r="H156">
        <v>1</v>
      </c>
      <c r="I156">
        <v>0</v>
      </c>
      <c r="J156">
        <v>0</v>
      </c>
      <c r="K156">
        <v>0</v>
      </c>
      <c r="L156">
        <v>0</v>
      </c>
      <c r="M156">
        <v>0</v>
      </c>
      <c r="N156">
        <v>0</v>
      </c>
      <c r="O156">
        <v>0</v>
      </c>
      <c r="P156">
        <v>0</v>
      </c>
      <c r="Q156">
        <v>2</v>
      </c>
      <c r="R156">
        <v>0</v>
      </c>
      <c r="S156">
        <v>0</v>
      </c>
      <c r="T156" t="s">
        <v>29</v>
      </c>
      <c r="U156" t="s">
        <v>29</v>
      </c>
      <c r="V156" t="s">
        <v>320</v>
      </c>
      <c r="W156" s="6">
        <f t="shared" si="56"/>
        <v>6</v>
      </c>
      <c r="X156" s="6">
        <f t="shared" si="57"/>
        <v>6</v>
      </c>
      <c r="Y156" s="6">
        <f t="shared" si="58"/>
        <v>9.1999999999999993</v>
      </c>
      <c r="Z156" s="6">
        <f t="shared" si="59"/>
        <v>-3.2</v>
      </c>
      <c r="AA156" t="str">
        <f t="shared" si="60"/>
        <v>UNDER</v>
      </c>
      <c r="AB156" t="s">
        <v>29</v>
      </c>
      <c r="AC156" t="e">
        <f t="shared" si="61"/>
        <v>#N/A</v>
      </c>
      <c r="AD156" t="e">
        <f t="shared" si="62"/>
        <v>#N/A</v>
      </c>
      <c r="AE156" t="e">
        <f t="shared" si="63"/>
        <v>#N/A</v>
      </c>
      <c r="AF156" t="e">
        <f t="shared" si="64"/>
        <v>#N/A</v>
      </c>
      <c r="AG156" t="e">
        <f t="shared" si="65"/>
        <v>#N/A</v>
      </c>
      <c r="AH156" t="e">
        <f t="shared" si="66"/>
        <v>#N/A</v>
      </c>
      <c r="AI156" t="e">
        <f t="shared" si="67"/>
        <v>#N/A</v>
      </c>
      <c r="AJ156">
        <f t="shared" si="68"/>
        <v>9.1999999999999993</v>
      </c>
      <c r="AK156">
        <f t="shared" si="69"/>
        <v>6</v>
      </c>
    </row>
    <row r="157" spans="1:37" x14ac:dyDescent="0.3">
      <c r="A157" t="s">
        <v>773</v>
      </c>
      <c r="B157" t="s">
        <v>770</v>
      </c>
      <c r="C157" t="s">
        <v>246</v>
      </c>
      <c r="D157">
        <v>1</v>
      </c>
      <c r="E157" t="s">
        <v>44</v>
      </c>
      <c r="F157" t="s">
        <v>1155</v>
      </c>
      <c r="G157">
        <v>1</v>
      </c>
      <c r="H157">
        <v>1</v>
      </c>
      <c r="I157">
        <v>0</v>
      </c>
      <c r="J157">
        <v>0</v>
      </c>
      <c r="K157">
        <v>0</v>
      </c>
      <c r="L157">
        <v>0</v>
      </c>
      <c r="M157">
        <v>0</v>
      </c>
      <c r="N157">
        <v>0</v>
      </c>
      <c r="O157">
        <v>0</v>
      </c>
      <c r="P157">
        <v>4</v>
      </c>
      <c r="Q157">
        <v>0</v>
      </c>
      <c r="R157">
        <v>0</v>
      </c>
      <c r="S157">
        <v>0</v>
      </c>
      <c r="T157" t="s">
        <v>29</v>
      </c>
      <c r="U157" t="s">
        <v>29</v>
      </c>
      <c r="V157" t="s">
        <v>320</v>
      </c>
      <c r="W157" s="6">
        <f t="shared" si="56"/>
        <v>12</v>
      </c>
      <c r="X157" s="6">
        <f t="shared" si="57"/>
        <v>12</v>
      </c>
      <c r="Y157" s="6">
        <f t="shared" si="58"/>
        <v>8</v>
      </c>
      <c r="Z157" s="6">
        <f t="shared" si="59"/>
        <v>4</v>
      </c>
      <c r="AA157" t="str">
        <f t="shared" si="60"/>
        <v>OVER</v>
      </c>
      <c r="AB157" t="s">
        <v>29</v>
      </c>
      <c r="AC157" t="e">
        <f t="shared" si="61"/>
        <v>#N/A</v>
      </c>
      <c r="AD157" t="e">
        <f t="shared" si="62"/>
        <v>#N/A</v>
      </c>
      <c r="AE157" t="e">
        <f t="shared" si="63"/>
        <v>#N/A</v>
      </c>
      <c r="AF157" t="e">
        <f t="shared" si="64"/>
        <v>#N/A</v>
      </c>
      <c r="AG157" t="e">
        <f t="shared" si="65"/>
        <v>#N/A</v>
      </c>
      <c r="AH157" t="e">
        <f t="shared" si="66"/>
        <v>#N/A</v>
      </c>
      <c r="AI157" t="e">
        <f t="shared" si="67"/>
        <v>#N/A</v>
      </c>
      <c r="AJ157">
        <f t="shared" si="68"/>
        <v>8</v>
      </c>
      <c r="AK157">
        <f t="shared" si="69"/>
        <v>12</v>
      </c>
    </row>
    <row r="158" spans="1:37" x14ac:dyDescent="0.3">
      <c r="A158" t="s">
        <v>776</v>
      </c>
      <c r="B158" t="s">
        <v>774</v>
      </c>
      <c r="C158" t="s">
        <v>246</v>
      </c>
      <c r="D158">
        <v>3</v>
      </c>
      <c r="E158" t="s">
        <v>99</v>
      </c>
      <c r="F158" t="s">
        <v>1155</v>
      </c>
      <c r="G158">
        <v>13</v>
      </c>
      <c r="H158">
        <v>1</v>
      </c>
      <c r="I158">
        <v>0</v>
      </c>
      <c r="J158">
        <v>0</v>
      </c>
      <c r="K158">
        <v>0</v>
      </c>
      <c r="L158">
        <v>0</v>
      </c>
      <c r="M158">
        <v>0</v>
      </c>
      <c r="N158">
        <v>6</v>
      </c>
      <c r="O158">
        <v>0</v>
      </c>
      <c r="P158">
        <v>0</v>
      </c>
      <c r="Q158">
        <v>0</v>
      </c>
      <c r="R158">
        <v>0</v>
      </c>
      <c r="S158">
        <v>0</v>
      </c>
      <c r="T158" t="s">
        <v>29</v>
      </c>
      <c r="U158" t="s">
        <v>29</v>
      </c>
      <c r="V158" t="s">
        <v>320</v>
      </c>
      <c r="W158" s="6">
        <f t="shared" si="56"/>
        <v>28.8</v>
      </c>
      <c r="X158" s="6">
        <f t="shared" si="57"/>
        <v>9.6</v>
      </c>
      <c r="Y158" s="6">
        <f t="shared" si="58"/>
        <v>27</v>
      </c>
      <c r="Z158" s="6">
        <f t="shared" si="59"/>
        <v>1.8</v>
      </c>
      <c r="AA158" t="str">
        <f t="shared" si="60"/>
        <v>OK</v>
      </c>
      <c r="AB158" t="s">
        <v>29</v>
      </c>
      <c r="AC158" t="e">
        <f t="shared" si="61"/>
        <v>#N/A</v>
      </c>
      <c r="AD158" t="e">
        <f t="shared" si="62"/>
        <v>#N/A</v>
      </c>
      <c r="AE158" t="e">
        <f t="shared" si="63"/>
        <v>#N/A</v>
      </c>
      <c r="AF158" t="e">
        <f t="shared" si="64"/>
        <v>#N/A</v>
      </c>
      <c r="AG158" t="e">
        <f t="shared" si="65"/>
        <v>#N/A</v>
      </c>
      <c r="AH158" t="e">
        <f t="shared" si="66"/>
        <v>#N/A</v>
      </c>
      <c r="AI158" t="e">
        <f t="shared" si="67"/>
        <v>#N/A</v>
      </c>
      <c r="AJ158">
        <f t="shared" si="68"/>
        <v>27</v>
      </c>
      <c r="AK158">
        <f t="shared" si="69"/>
        <v>28.8</v>
      </c>
    </row>
    <row r="159" spans="1:37" x14ac:dyDescent="0.3">
      <c r="A159" t="s">
        <v>778</v>
      </c>
      <c r="B159" t="s">
        <v>777</v>
      </c>
      <c r="C159" t="s">
        <v>246</v>
      </c>
      <c r="D159">
        <v>2</v>
      </c>
      <c r="E159" t="s">
        <v>99</v>
      </c>
      <c r="F159" t="s">
        <v>1155</v>
      </c>
      <c r="G159">
        <v>1</v>
      </c>
      <c r="H159">
        <v>1</v>
      </c>
      <c r="I159">
        <v>0</v>
      </c>
      <c r="J159">
        <v>0</v>
      </c>
      <c r="K159">
        <v>0</v>
      </c>
      <c r="L159">
        <v>0</v>
      </c>
      <c r="M159">
        <v>0</v>
      </c>
      <c r="N159">
        <v>0</v>
      </c>
      <c r="O159">
        <v>0</v>
      </c>
      <c r="P159">
        <v>0</v>
      </c>
      <c r="Q159">
        <v>0</v>
      </c>
      <c r="R159">
        <v>0</v>
      </c>
      <c r="S159">
        <v>0</v>
      </c>
      <c r="T159" t="s">
        <v>29</v>
      </c>
      <c r="U159" t="s">
        <v>244</v>
      </c>
      <c r="V159" t="s">
        <v>866</v>
      </c>
      <c r="W159" s="6" t="str">
        <f t="shared" si="56"/>
        <v/>
      </c>
      <c r="X159" s="6" t="str">
        <f t="shared" si="57"/>
        <v/>
      </c>
      <c r="Y159" s="6" t="str">
        <f t="shared" si="58"/>
        <v/>
      </c>
      <c r="Z159" s="6" t="str">
        <f t="shared" si="59"/>
        <v/>
      </c>
      <c r="AA159" t="str">
        <f t="shared" si="60"/>
        <v/>
      </c>
      <c r="AB159" t="s">
        <v>29</v>
      </c>
      <c r="AC159" t="e">
        <f t="shared" si="61"/>
        <v>#N/A</v>
      </c>
      <c r="AD159" t="e">
        <f t="shared" si="62"/>
        <v>#N/A</v>
      </c>
      <c r="AE159" t="e">
        <f t="shared" si="63"/>
        <v>#N/A</v>
      </c>
      <c r="AF159" t="e">
        <f t="shared" si="64"/>
        <v>#N/A</v>
      </c>
      <c r="AG159" t="e">
        <f t="shared" si="65"/>
        <v>#N/A</v>
      </c>
      <c r="AH159" t="e">
        <f t="shared" si="66"/>
        <v>#N/A</v>
      </c>
      <c r="AI159" t="e">
        <f t="shared" si="67"/>
        <v>#N/A</v>
      </c>
      <c r="AJ159" t="e">
        <f t="shared" si="68"/>
        <v>#N/A</v>
      </c>
      <c r="AK159" t="e">
        <f t="shared" si="69"/>
        <v>#N/A</v>
      </c>
    </row>
    <row r="160" spans="1:37" x14ac:dyDescent="0.3">
      <c r="A160" t="s">
        <v>779</v>
      </c>
      <c r="B160" t="s">
        <v>779</v>
      </c>
      <c r="C160" t="s">
        <v>246</v>
      </c>
      <c r="D160">
        <v>0</v>
      </c>
      <c r="E160" t="s">
        <v>99</v>
      </c>
      <c r="F160" t="s">
        <v>1155</v>
      </c>
      <c r="G160">
        <v>1</v>
      </c>
      <c r="H160">
        <v>1</v>
      </c>
      <c r="I160">
        <v>0</v>
      </c>
      <c r="J160">
        <v>0</v>
      </c>
      <c r="K160">
        <v>0</v>
      </c>
      <c r="L160">
        <v>0</v>
      </c>
      <c r="M160">
        <v>0</v>
      </c>
      <c r="N160">
        <v>0</v>
      </c>
      <c r="O160">
        <v>0</v>
      </c>
      <c r="P160">
        <v>0</v>
      </c>
      <c r="Q160">
        <v>1</v>
      </c>
      <c r="R160">
        <v>0</v>
      </c>
      <c r="S160">
        <v>0</v>
      </c>
      <c r="T160" t="s">
        <v>29</v>
      </c>
      <c r="U160" t="s">
        <v>29</v>
      </c>
      <c r="V160" t="s">
        <v>320</v>
      </c>
      <c r="W160" s="6">
        <f t="shared" si="56"/>
        <v>3</v>
      </c>
      <c r="X160" s="6">
        <f t="shared" si="57"/>
        <v>3</v>
      </c>
      <c r="Y160" s="6">
        <f t="shared" si="58"/>
        <v>2.7</v>
      </c>
      <c r="Z160" s="6">
        <f t="shared" si="59"/>
        <v>0.3</v>
      </c>
      <c r="AA160" t="str">
        <f t="shared" si="60"/>
        <v>OK</v>
      </c>
      <c r="AB160" t="s">
        <v>29</v>
      </c>
      <c r="AC160" t="e">
        <f t="shared" si="61"/>
        <v>#N/A</v>
      </c>
      <c r="AD160" t="e">
        <f t="shared" si="62"/>
        <v>#N/A</v>
      </c>
      <c r="AE160" t="e">
        <f t="shared" si="63"/>
        <v>#N/A</v>
      </c>
      <c r="AF160" t="e">
        <f t="shared" si="64"/>
        <v>#N/A</v>
      </c>
      <c r="AG160" t="e">
        <f t="shared" si="65"/>
        <v>#N/A</v>
      </c>
      <c r="AH160" t="e">
        <f t="shared" si="66"/>
        <v>#N/A</v>
      </c>
      <c r="AI160" t="e">
        <f t="shared" si="67"/>
        <v>#N/A</v>
      </c>
      <c r="AJ160">
        <f t="shared" si="68"/>
        <v>2.7</v>
      </c>
      <c r="AK160">
        <f t="shared" si="69"/>
        <v>3</v>
      </c>
    </row>
    <row r="161" spans="1:37" x14ac:dyDescent="0.3">
      <c r="A161" t="s">
        <v>800</v>
      </c>
      <c r="B161" t="s">
        <v>800</v>
      </c>
      <c r="C161" t="s">
        <v>246</v>
      </c>
      <c r="D161">
        <v>0</v>
      </c>
      <c r="E161" t="s">
        <v>44</v>
      </c>
      <c r="F161" t="s">
        <v>1155</v>
      </c>
      <c r="G161">
        <v>1</v>
      </c>
      <c r="H161">
        <v>1</v>
      </c>
      <c r="I161">
        <v>4</v>
      </c>
      <c r="J161">
        <v>0</v>
      </c>
      <c r="K161">
        <v>0</v>
      </c>
      <c r="L161">
        <v>0</v>
      </c>
      <c r="M161">
        <v>0</v>
      </c>
      <c r="N161">
        <v>0</v>
      </c>
      <c r="O161">
        <v>0</v>
      </c>
      <c r="P161">
        <v>0</v>
      </c>
      <c r="Q161">
        <v>0</v>
      </c>
      <c r="R161">
        <v>0</v>
      </c>
      <c r="S161">
        <v>0</v>
      </c>
      <c r="T161" t="s">
        <v>29</v>
      </c>
      <c r="U161" t="s">
        <v>29</v>
      </c>
      <c r="V161" t="s">
        <v>320</v>
      </c>
      <c r="W161" s="6">
        <f t="shared" si="56"/>
        <v>4</v>
      </c>
      <c r="X161" s="6">
        <f t="shared" si="57"/>
        <v>4</v>
      </c>
      <c r="Y161" s="6">
        <f t="shared" si="58"/>
        <v>2</v>
      </c>
      <c r="Z161" s="6">
        <f t="shared" si="59"/>
        <v>2</v>
      </c>
      <c r="AA161" t="str">
        <f t="shared" si="60"/>
        <v>OVER</v>
      </c>
      <c r="AB161" t="s">
        <v>29</v>
      </c>
      <c r="AC161" t="e">
        <f t="shared" si="61"/>
        <v>#N/A</v>
      </c>
      <c r="AD161" t="e">
        <f t="shared" si="62"/>
        <v>#N/A</v>
      </c>
      <c r="AE161" t="e">
        <f t="shared" si="63"/>
        <v>#N/A</v>
      </c>
      <c r="AF161" t="e">
        <f t="shared" si="64"/>
        <v>#N/A</v>
      </c>
      <c r="AG161" t="e">
        <f t="shared" si="65"/>
        <v>#N/A</v>
      </c>
      <c r="AH161" t="e">
        <f t="shared" si="66"/>
        <v>#N/A</v>
      </c>
      <c r="AI161" t="e">
        <f t="shared" si="67"/>
        <v>#N/A</v>
      </c>
      <c r="AJ161">
        <f t="shared" si="68"/>
        <v>2</v>
      </c>
      <c r="AK161">
        <f t="shared" si="69"/>
        <v>4</v>
      </c>
    </row>
    <row r="162" spans="1:37" x14ac:dyDescent="0.3">
      <c r="A162" t="s">
        <v>824</v>
      </c>
      <c r="B162" t="s">
        <v>822</v>
      </c>
      <c r="C162" t="s">
        <v>246</v>
      </c>
      <c r="D162">
        <v>3</v>
      </c>
      <c r="E162" t="s">
        <v>438</v>
      </c>
      <c r="F162" t="s">
        <v>1155</v>
      </c>
      <c r="G162">
        <v>13</v>
      </c>
      <c r="H162">
        <v>1</v>
      </c>
      <c r="I162">
        <v>8</v>
      </c>
      <c r="J162">
        <v>0</v>
      </c>
      <c r="K162">
        <v>0</v>
      </c>
      <c r="L162">
        <v>0</v>
      </c>
      <c r="M162">
        <v>0</v>
      </c>
      <c r="N162">
        <v>6</v>
      </c>
      <c r="O162">
        <v>0</v>
      </c>
      <c r="P162">
        <v>0</v>
      </c>
      <c r="Q162">
        <v>0</v>
      </c>
      <c r="R162">
        <v>0</v>
      </c>
      <c r="S162">
        <v>0</v>
      </c>
      <c r="T162" t="s">
        <v>29</v>
      </c>
      <c r="U162" t="s">
        <v>29</v>
      </c>
      <c r="V162" t="s">
        <v>320</v>
      </c>
      <c r="W162" s="6">
        <f t="shared" ref="W162:W170" si="70">IF($V162="No","",ROUND((I162*w_Damage + N162*w_Poison + P162*w_Weaken*w_Horizon)*MIN(1+(G162-1)*w_OccEnemy,w_MaxEnemies) + (J162*w_Heal + K162*w_Shield + L162*w_Block + M162*w_Parry + O162*w_Strength*w_Horizon + S162*w_Combo)*MIN(1+(H162-1)*w_OccAlly,w_MaxAllies) + Q162*w_Draw + R162*w_Move,2))</f>
        <v>60.8</v>
      </c>
      <c r="X162" s="6">
        <f t="shared" ref="X162:X193" si="71">IF(W162="","",ROUND(W162/MAX(D162,1),2))</f>
        <v>20.27</v>
      </c>
      <c r="Y162" s="6">
        <f t="shared" ref="Y162:Y170" si="72">IF($V162="No","",ROUND((curve_Base+curve_Slope*D162)*IFERROR(VLOOKUP(E162,rarity_Mult,2,FALSE),1),2))</f>
        <v>32</v>
      </c>
      <c r="Z162" s="6">
        <f t="shared" ref="Z162:Z193" si="73">IF(OR(W162="",Y162=""),"",ROUND(W162-Y162,2))</f>
        <v>28.8</v>
      </c>
      <c r="AA162" t="str">
        <f t="shared" ref="AA162:AA193" si="74">IF(Z162="","",IF($V162="Partial","RIDER",IF(ABS(Z162)&lt;=Y162*tol_Pct,"OK",IF(Z162&gt;0,"OVER","UNDER"))))</f>
        <v>OVER</v>
      </c>
      <c r="AB162" t="s">
        <v>29</v>
      </c>
      <c r="AC162" t="e">
        <f t="shared" ref="AC162:AC170" si="75">IF(AND($V162&lt;&gt;"No",$E162="Common",NOT(ISNUMBER(SEARCH("Ideas",$F162)))),$W162,NA())</f>
        <v>#N/A</v>
      </c>
      <c r="AD162" t="e">
        <f t="shared" ref="AD162:AD170" si="76">IF(AND($V162&lt;&gt;"No",$E162="Uncommon",NOT(ISNUMBER(SEARCH("Ideas",$F162)))),$W162,NA())</f>
        <v>#N/A</v>
      </c>
      <c r="AE162" t="e">
        <f t="shared" ref="AE162:AE170" si="77">IF(AND($V162&lt;&gt;"No",$E162="Rare",NOT(ISNUMBER(SEARCH("Ideas",$F162)))),$W162,NA())</f>
        <v>#N/A</v>
      </c>
      <c r="AF162" t="e">
        <f t="shared" ref="AF162:AF170" si="78">IF(AND($V162&lt;&gt;"No",$E162="Legendary",NOT(ISNUMBER(SEARCH("Ideas",$F162)))),$W162,NA())</f>
        <v>#N/A</v>
      </c>
      <c r="AG162" t="e">
        <f t="shared" ref="AG162:AG170" si="79">IF(AND($V162&lt;&gt;"No",ISNUMBER(SEARCH("Knight",$C162)),NOT(ISNUMBER(SEARCH("Ideas",$F162)))),$X162,NA())</f>
        <v>#N/A</v>
      </c>
      <c r="AH162" t="e">
        <f t="shared" ref="AH162:AH170" si="80">IF(AND($V162&lt;&gt;"No",ISNUMBER(SEARCH("Mage",$C162)),NOT(ISNUMBER(SEARCH("Ideas",$F162)))),$X162,NA())</f>
        <v>#N/A</v>
      </c>
      <c r="AI162" t="e">
        <f t="shared" ref="AI162:AI170" si="81">IF(AND($V162&lt;&gt;"No",ISNUMBER(SEARCH("Rogue",$C162)),NOT(ISNUMBER(SEARCH("Ideas",$F162)))),$X162,NA())</f>
        <v>#N/A</v>
      </c>
      <c r="AJ162">
        <f t="shared" ref="AJ162:AJ170" si="82">IF($V162&lt;&gt;"No",$Y162,NA())</f>
        <v>32</v>
      </c>
      <c r="AK162">
        <f t="shared" ref="AK162:AK170" si="83">IF(AND($V162&lt;&gt;"No",ISNUMBER(SEARCH("Ideas",$F162))),$W162,NA())</f>
        <v>60.8</v>
      </c>
    </row>
    <row r="163" spans="1:37" x14ac:dyDescent="0.3">
      <c r="A163" t="s">
        <v>827</v>
      </c>
      <c r="B163" t="s">
        <v>825</v>
      </c>
      <c r="C163" t="s">
        <v>246</v>
      </c>
      <c r="D163">
        <v>3</v>
      </c>
      <c r="E163" t="s">
        <v>99</v>
      </c>
      <c r="F163" t="s">
        <v>1155</v>
      </c>
      <c r="G163">
        <v>1</v>
      </c>
      <c r="H163">
        <v>1</v>
      </c>
      <c r="I163">
        <v>6</v>
      </c>
      <c r="J163">
        <v>0</v>
      </c>
      <c r="K163">
        <v>0</v>
      </c>
      <c r="L163">
        <v>0</v>
      </c>
      <c r="M163">
        <v>0</v>
      </c>
      <c r="N163">
        <v>21</v>
      </c>
      <c r="O163">
        <v>0</v>
      </c>
      <c r="P163">
        <v>0</v>
      </c>
      <c r="Q163">
        <v>0</v>
      </c>
      <c r="R163">
        <v>0</v>
      </c>
      <c r="S163">
        <v>0</v>
      </c>
      <c r="T163" t="s">
        <v>29</v>
      </c>
      <c r="U163" t="s">
        <v>29</v>
      </c>
      <c r="V163" t="s">
        <v>320</v>
      </c>
      <c r="W163" s="6">
        <f t="shared" si="70"/>
        <v>31.2</v>
      </c>
      <c r="X163" s="6">
        <f t="shared" si="71"/>
        <v>10.4</v>
      </c>
      <c r="Y163" s="6">
        <f t="shared" si="72"/>
        <v>27</v>
      </c>
      <c r="Z163" s="6">
        <f t="shared" si="73"/>
        <v>4.2</v>
      </c>
      <c r="AA163" t="str">
        <f t="shared" si="74"/>
        <v>OK</v>
      </c>
      <c r="AB163" t="s">
        <v>29</v>
      </c>
      <c r="AC163" t="e">
        <f t="shared" si="75"/>
        <v>#N/A</v>
      </c>
      <c r="AD163" t="e">
        <f t="shared" si="76"/>
        <v>#N/A</v>
      </c>
      <c r="AE163" t="e">
        <f t="shared" si="77"/>
        <v>#N/A</v>
      </c>
      <c r="AF163" t="e">
        <f t="shared" si="78"/>
        <v>#N/A</v>
      </c>
      <c r="AG163" t="e">
        <f t="shared" si="79"/>
        <v>#N/A</v>
      </c>
      <c r="AH163" t="e">
        <f t="shared" si="80"/>
        <v>#N/A</v>
      </c>
      <c r="AI163" t="e">
        <f t="shared" si="81"/>
        <v>#N/A</v>
      </c>
      <c r="AJ163">
        <f t="shared" si="82"/>
        <v>27</v>
      </c>
      <c r="AK163">
        <f t="shared" si="83"/>
        <v>31.2</v>
      </c>
    </row>
    <row r="164" spans="1:37" x14ac:dyDescent="0.3">
      <c r="A164" t="s">
        <v>831</v>
      </c>
      <c r="B164" t="s">
        <v>828</v>
      </c>
      <c r="C164" t="s">
        <v>246</v>
      </c>
      <c r="D164">
        <v>3</v>
      </c>
      <c r="E164" t="s">
        <v>438</v>
      </c>
      <c r="F164" t="s">
        <v>1155</v>
      </c>
      <c r="G164">
        <v>1</v>
      </c>
      <c r="H164">
        <v>1</v>
      </c>
      <c r="I164">
        <v>0</v>
      </c>
      <c r="J164">
        <v>0</v>
      </c>
      <c r="K164">
        <v>0</v>
      </c>
      <c r="L164">
        <v>0</v>
      </c>
      <c r="M164">
        <v>0</v>
      </c>
      <c r="N164">
        <v>0</v>
      </c>
      <c r="O164">
        <v>0</v>
      </c>
      <c r="P164">
        <v>0</v>
      </c>
      <c r="Q164">
        <v>2</v>
      </c>
      <c r="R164">
        <v>1</v>
      </c>
      <c r="S164">
        <v>0</v>
      </c>
      <c r="T164" t="s">
        <v>29</v>
      </c>
      <c r="U164" t="s">
        <v>244</v>
      </c>
      <c r="V164" t="s">
        <v>1138</v>
      </c>
      <c r="W164" s="6">
        <f t="shared" si="70"/>
        <v>9</v>
      </c>
      <c r="X164" s="6">
        <f t="shared" si="71"/>
        <v>3</v>
      </c>
      <c r="Y164" s="6">
        <f t="shared" si="72"/>
        <v>32</v>
      </c>
      <c r="Z164" s="6">
        <f t="shared" si="73"/>
        <v>-23</v>
      </c>
      <c r="AA164" t="str">
        <f t="shared" si="74"/>
        <v>RIDER</v>
      </c>
      <c r="AB164" t="s">
        <v>29</v>
      </c>
      <c r="AC164" t="e">
        <f t="shared" si="75"/>
        <v>#N/A</v>
      </c>
      <c r="AD164" t="e">
        <f t="shared" si="76"/>
        <v>#N/A</v>
      </c>
      <c r="AE164" t="e">
        <f t="shared" si="77"/>
        <v>#N/A</v>
      </c>
      <c r="AF164" t="e">
        <f t="shared" si="78"/>
        <v>#N/A</v>
      </c>
      <c r="AG164" t="e">
        <f t="shared" si="79"/>
        <v>#N/A</v>
      </c>
      <c r="AH164" t="e">
        <f t="shared" si="80"/>
        <v>#N/A</v>
      </c>
      <c r="AI164" t="e">
        <f t="shared" si="81"/>
        <v>#N/A</v>
      </c>
      <c r="AJ164">
        <f t="shared" si="82"/>
        <v>32</v>
      </c>
      <c r="AK164">
        <f t="shared" si="83"/>
        <v>9</v>
      </c>
    </row>
    <row r="165" spans="1:37" x14ac:dyDescent="0.3">
      <c r="A165" t="s">
        <v>838</v>
      </c>
      <c r="B165" t="s">
        <v>835</v>
      </c>
      <c r="C165" t="s">
        <v>246</v>
      </c>
      <c r="D165">
        <v>3</v>
      </c>
      <c r="E165" t="s">
        <v>438</v>
      </c>
      <c r="F165" t="s">
        <v>1155</v>
      </c>
      <c r="G165">
        <v>1</v>
      </c>
      <c r="H165">
        <v>1</v>
      </c>
      <c r="I165">
        <v>20</v>
      </c>
      <c r="J165">
        <v>0</v>
      </c>
      <c r="K165">
        <v>0</v>
      </c>
      <c r="L165">
        <v>0</v>
      </c>
      <c r="M165">
        <v>0</v>
      </c>
      <c r="N165">
        <v>15</v>
      </c>
      <c r="O165">
        <v>0</v>
      </c>
      <c r="P165">
        <v>0</v>
      </c>
      <c r="Q165">
        <v>0</v>
      </c>
      <c r="R165">
        <v>0</v>
      </c>
      <c r="S165">
        <v>0</v>
      </c>
      <c r="T165" t="s">
        <v>29</v>
      </c>
      <c r="U165" t="s">
        <v>29</v>
      </c>
      <c r="V165" t="s">
        <v>320</v>
      </c>
      <c r="W165" s="6">
        <f t="shared" si="70"/>
        <v>38</v>
      </c>
      <c r="X165" s="6">
        <f t="shared" si="71"/>
        <v>12.67</v>
      </c>
      <c r="Y165" s="6">
        <f t="shared" si="72"/>
        <v>32</v>
      </c>
      <c r="Z165" s="6">
        <f t="shared" si="73"/>
        <v>6</v>
      </c>
      <c r="AA165" t="str">
        <f t="shared" si="74"/>
        <v>OK</v>
      </c>
      <c r="AB165" t="s">
        <v>29</v>
      </c>
      <c r="AC165" t="e">
        <f t="shared" si="75"/>
        <v>#N/A</v>
      </c>
      <c r="AD165" t="e">
        <f t="shared" si="76"/>
        <v>#N/A</v>
      </c>
      <c r="AE165" t="e">
        <f t="shared" si="77"/>
        <v>#N/A</v>
      </c>
      <c r="AF165" t="e">
        <f t="shared" si="78"/>
        <v>#N/A</v>
      </c>
      <c r="AG165" t="e">
        <f t="shared" si="79"/>
        <v>#N/A</v>
      </c>
      <c r="AH165" t="e">
        <f t="shared" si="80"/>
        <v>#N/A</v>
      </c>
      <c r="AI165" t="e">
        <f t="shared" si="81"/>
        <v>#N/A</v>
      </c>
      <c r="AJ165">
        <f t="shared" si="82"/>
        <v>32</v>
      </c>
      <c r="AK165">
        <f t="shared" si="83"/>
        <v>38</v>
      </c>
    </row>
    <row r="166" spans="1:37" x14ac:dyDescent="0.3">
      <c r="A166" t="s">
        <v>841</v>
      </c>
      <c r="B166" t="s">
        <v>839</v>
      </c>
      <c r="C166" t="s">
        <v>246</v>
      </c>
      <c r="D166">
        <v>3</v>
      </c>
      <c r="E166" t="s">
        <v>99</v>
      </c>
      <c r="F166" t="s">
        <v>1155</v>
      </c>
      <c r="G166">
        <v>9</v>
      </c>
      <c r="H166">
        <v>1</v>
      </c>
      <c r="I166">
        <v>7</v>
      </c>
      <c r="J166">
        <v>0</v>
      </c>
      <c r="K166">
        <v>0</v>
      </c>
      <c r="L166">
        <v>0</v>
      </c>
      <c r="M166">
        <v>0</v>
      </c>
      <c r="N166">
        <v>0</v>
      </c>
      <c r="O166">
        <v>0</v>
      </c>
      <c r="P166">
        <v>0</v>
      </c>
      <c r="Q166">
        <v>0</v>
      </c>
      <c r="R166">
        <v>0</v>
      </c>
      <c r="S166">
        <v>0</v>
      </c>
      <c r="T166" t="s">
        <v>29</v>
      </c>
      <c r="U166" t="s">
        <v>29</v>
      </c>
      <c r="V166" t="s">
        <v>320</v>
      </c>
      <c r="W166" s="6">
        <f t="shared" si="70"/>
        <v>28</v>
      </c>
      <c r="X166" s="6">
        <f t="shared" si="71"/>
        <v>9.33</v>
      </c>
      <c r="Y166" s="6">
        <f t="shared" si="72"/>
        <v>27</v>
      </c>
      <c r="Z166" s="6">
        <f t="shared" si="73"/>
        <v>1</v>
      </c>
      <c r="AA166" t="str">
        <f t="shared" si="74"/>
        <v>OK</v>
      </c>
      <c r="AB166" t="s">
        <v>29</v>
      </c>
      <c r="AC166" t="e">
        <f t="shared" si="75"/>
        <v>#N/A</v>
      </c>
      <c r="AD166" t="e">
        <f t="shared" si="76"/>
        <v>#N/A</v>
      </c>
      <c r="AE166" t="e">
        <f t="shared" si="77"/>
        <v>#N/A</v>
      </c>
      <c r="AF166" t="e">
        <f t="shared" si="78"/>
        <v>#N/A</v>
      </c>
      <c r="AG166" t="e">
        <f t="shared" si="79"/>
        <v>#N/A</v>
      </c>
      <c r="AH166" t="e">
        <f t="shared" si="80"/>
        <v>#N/A</v>
      </c>
      <c r="AI166" t="e">
        <f t="shared" si="81"/>
        <v>#N/A</v>
      </c>
      <c r="AJ166">
        <f t="shared" si="82"/>
        <v>27</v>
      </c>
      <c r="AK166">
        <f t="shared" si="83"/>
        <v>28</v>
      </c>
    </row>
    <row r="167" spans="1:37" x14ac:dyDescent="0.3">
      <c r="A167" t="s">
        <v>844</v>
      </c>
      <c r="B167" t="s">
        <v>842</v>
      </c>
      <c r="C167" t="s">
        <v>246</v>
      </c>
      <c r="D167">
        <v>3</v>
      </c>
      <c r="E167" t="s">
        <v>438</v>
      </c>
      <c r="F167" t="s">
        <v>1155</v>
      </c>
      <c r="G167">
        <v>1</v>
      </c>
      <c r="H167">
        <v>1</v>
      </c>
      <c r="I167">
        <v>0</v>
      </c>
      <c r="J167">
        <v>0</v>
      </c>
      <c r="K167">
        <v>0</v>
      </c>
      <c r="L167">
        <v>0</v>
      </c>
      <c r="M167">
        <v>0</v>
      </c>
      <c r="N167">
        <v>0</v>
      </c>
      <c r="O167">
        <v>3</v>
      </c>
      <c r="P167">
        <v>0</v>
      </c>
      <c r="Q167">
        <v>2</v>
      </c>
      <c r="R167">
        <v>0</v>
      </c>
      <c r="S167">
        <v>0</v>
      </c>
      <c r="T167" t="s">
        <v>29</v>
      </c>
      <c r="U167" t="s">
        <v>244</v>
      </c>
      <c r="V167" t="s">
        <v>1138</v>
      </c>
      <c r="W167" s="6">
        <f t="shared" si="70"/>
        <v>15</v>
      </c>
      <c r="X167" s="6">
        <f t="shared" si="71"/>
        <v>5</v>
      </c>
      <c r="Y167" s="6">
        <f t="shared" si="72"/>
        <v>32</v>
      </c>
      <c r="Z167" s="6">
        <f t="shared" si="73"/>
        <v>-17</v>
      </c>
      <c r="AA167" t="str">
        <f t="shared" si="74"/>
        <v>RIDER</v>
      </c>
      <c r="AB167" t="s">
        <v>29</v>
      </c>
      <c r="AC167" t="e">
        <f t="shared" si="75"/>
        <v>#N/A</v>
      </c>
      <c r="AD167" t="e">
        <f t="shared" si="76"/>
        <v>#N/A</v>
      </c>
      <c r="AE167" t="e">
        <f t="shared" si="77"/>
        <v>#N/A</v>
      </c>
      <c r="AF167" t="e">
        <f t="shared" si="78"/>
        <v>#N/A</v>
      </c>
      <c r="AG167" t="e">
        <f t="shared" si="79"/>
        <v>#N/A</v>
      </c>
      <c r="AH167" t="e">
        <f t="shared" si="80"/>
        <v>#N/A</v>
      </c>
      <c r="AI167" t="e">
        <f t="shared" si="81"/>
        <v>#N/A</v>
      </c>
      <c r="AJ167">
        <f t="shared" si="82"/>
        <v>32</v>
      </c>
      <c r="AK167">
        <f t="shared" si="83"/>
        <v>15</v>
      </c>
    </row>
    <row r="168" spans="1:37" x14ac:dyDescent="0.3">
      <c r="A168" t="s">
        <v>848</v>
      </c>
      <c r="B168" t="s">
        <v>845</v>
      </c>
      <c r="C168" t="s">
        <v>246</v>
      </c>
      <c r="D168">
        <v>3</v>
      </c>
      <c r="E168" t="s">
        <v>99</v>
      </c>
      <c r="F168" t="s">
        <v>1155</v>
      </c>
      <c r="G168">
        <v>1</v>
      </c>
      <c r="H168">
        <v>1</v>
      </c>
      <c r="I168">
        <v>0</v>
      </c>
      <c r="J168">
        <v>0</v>
      </c>
      <c r="K168">
        <v>0</v>
      </c>
      <c r="L168">
        <v>0</v>
      </c>
      <c r="M168">
        <v>0</v>
      </c>
      <c r="N168">
        <v>55</v>
      </c>
      <c r="O168">
        <v>0</v>
      </c>
      <c r="P168">
        <v>0</v>
      </c>
      <c r="Q168">
        <v>0</v>
      </c>
      <c r="R168">
        <v>0</v>
      </c>
      <c r="S168">
        <v>0</v>
      </c>
      <c r="T168" t="s">
        <v>29</v>
      </c>
      <c r="U168" t="s">
        <v>29</v>
      </c>
      <c r="V168" t="s">
        <v>320</v>
      </c>
      <c r="W168" s="6">
        <f t="shared" si="70"/>
        <v>66</v>
      </c>
      <c r="X168" s="6">
        <f t="shared" si="71"/>
        <v>22</v>
      </c>
      <c r="Y168" s="6">
        <f t="shared" si="72"/>
        <v>27</v>
      </c>
      <c r="Z168" s="6">
        <f t="shared" si="73"/>
        <v>39</v>
      </c>
      <c r="AA168" t="str">
        <f t="shared" si="74"/>
        <v>OVER</v>
      </c>
      <c r="AB168" t="s">
        <v>29</v>
      </c>
      <c r="AC168" t="e">
        <f t="shared" si="75"/>
        <v>#N/A</v>
      </c>
      <c r="AD168" t="e">
        <f t="shared" si="76"/>
        <v>#N/A</v>
      </c>
      <c r="AE168" t="e">
        <f t="shared" si="77"/>
        <v>#N/A</v>
      </c>
      <c r="AF168" t="e">
        <f t="shared" si="78"/>
        <v>#N/A</v>
      </c>
      <c r="AG168" t="e">
        <f t="shared" si="79"/>
        <v>#N/A</v>
      </c>
      <c r="AH168" t="e">
        <f t="shared" si="80"/>
        <v>#N/A</v>
      </c>
      <c r="AI168" t="e">
        <f t="shared" si="81"/>
        <v>#N/A</v>
      </c>
      <c r="AJ168">
        <f t="shared" si="82"/>
        <v>27</v>
      </c>
      <c r="AK168">
        <f t="shared" si="83"/>
        <v>66</v>
      </c>
    </row>
    <row r="169" spans="1:37" x14ac:dyDescent="0.3">
      <c r="A169" t="s">
        <v>850</v>
      </c>
      <c r="B169" t="s">
        <v>850</v>
      </c>
      <c r="C169" t="s">
        <v>246</v>
      </c>
      <c r="D169">
        <v>2</v>
      </c>
      <c r="E169" t="s">
        <v>99</v>
      </c>
      <c r="F169" t="s">
        <v>1155</v>
      </c>
      <c r="G169">
        <v>1</v>
      </c>
      <c r="H169">
        <v>1</v>
      </c>
      <c r="I169">
        <v>12</v>
      </c>
      <c r="J169">
        <v>0</v>
      </c>
      <c r="K169">
        <v>0</v>
      </c>
      <c r="L169">
        <v>0</v>
      </c>
      <c r="M169">
        <v>0</v>
      </c>
      <c r="N169">
        <v>0</v>
      </c>
      <c r="O169">
        <v>0</v>
      </c>
      <c r="P169">
        <v>3</v>
      </c>
      <c r="Q169">
        <v>0</v>
      </c>
      <c r="R169">
        <v>0</v>
      </c>
      <c r="S169">
        <v>0</v>
      </c>
      <c r="T169" t="s">
        <v>29</v>
      </c>
      <c r="U169" t="s">
        <v>29</v>
      </c>
      <c r="V169" t="s">
        <v>320</v>
      </c>
      <c r="W169" s="6">
        <f t="shared" si="70"/>
        <v>21</v>
      </c>
      <c r="X169" s="6">
        <f t="shared" si="71"/>
        <v>10.5</v>
      </c>
      <c r="Y169" s="6">
        <f t="shared" si="72"/>
        <v>18.899999999999999</v>
      </c>
      <c r="Z169" s="6">
        <f t="shared" si="73"/>
        <v>2.1</v>
      </c>
      <c r="AA169" t="str">
        <f t="shared" si="74"/>
        <v>OK</v>
      </c>
      <c r="AB169" t="s">
        <v>29</v>
      </c>
      <c r="AC169" t="e">
        <f t="shared" si="75"/>
        <v>#N/A</v>
      </c>
      <c r="AD169" t="e">
        <f t="shared" si="76"/>
        <v>#N/A</v>
      </c>
      <c r="AE169" t="e">
        <f t="shared" si="77"/>
        <v>#N/A</v>
      </c>
      <c r="AF169" t="e">
        <f t="shared" si="78"/>
        <v>#N/A</v>
      </c>
      <c r="AG169" t="e">
        <f t="shared" si="79"/>
        <v>#N/A</v>
      </c>
      <c r="AH169" t="e">
        <f t="shared" si="80"/>
        <v>#N/A</v>
      </c>
      <c r="AI169" t="e">
        <f t="shared" si="81"/>
        <v>#N/A</v>
      </c>
      <c r="AJ169">
        <f t="shared" si="82"/>
        <v>18.899999999999999</v>
      </c>
      <c r="AK169">
        <f t="shared" si="83"/>
        <v>21</v>
      </c>
    </row>
    <row r="170" spans="1:37" x14ac:dyDescent="0.3">
      <c r="A170" t="s">
        <v>855</v>
      </c>
      <c r="B170" t="s">
        <v>852</v>
      </c>
      <c r="C170" t="s">
        <v>246</v>
      </c>
      <c r="D170">
        <v>3</v>
      </c>
      <c r="E170" t="s">
        <v>438</v>
      </c>
      <c r="F170" t="s">
        <v>1155</v>
      </c>
      <c r="G170">
        <v>1</v>
      </c>
      <c r="H170">
        <v>1</v>
      </c>
      <c r="I170">
        <v>15</v>
      </c>
      <c r="J170">
        <v>0</v>
      </c>
      <c r="K170">
        <v>0</v>
      </c>
      <c r="L170">
        <v>0</v>
      </c>
      <c r="M170">
        <v>0</v>
      </c>
      <c r="N170">
        <v>0</v>
      </c>
      <c r="O170">
        <v>0</v>
      </c>
      <c r="P170">
        <v>0</v>
      </c>
      <c r="Q170">
        <v>3</v>
      </c>
      <c r="R170">
        <v>0</v>
      </c>
      <c r="S170">
        <v>0</v>
      </c>
      <c r="T170" t="s">
        <v>29</v>
      </c>
      <c r="U170" t="s">
        <v>29</v>
      </c>
      <c r="V170" t="s">
        <v>320</v>
      </c>
      <c r="W170" s="6">
        <f t="shared" si="70"/>
        <v>24</v>
      </c>
      <c r="X170" s="6">
        <f t="shared" si="71"/>
        <v>8</v>
      </c>
      <c r="Y170" s="6">
        <f t="shared" si="72"/>
        <v>32</v>
      </c>
      <c r="Z170" s="6">
        <f t="shared" si="73"/>
        <v>-8</v>
      </c>
      <c r="AA170" t="str">
        <f t="shared" si="74"/>
        <v>OK</v>
      </c>
      <c r="AB170" t="s">
        <v>29</v>
      </c>
      <c r="AC170" t="e">
        <f t="shared" si="75"/>
        <v>#N/A</v>
      </c>
      <c r="AD170" t="e">
        <f t="shared" si="76"/>
        <v>#N/A</v>
      </c>
      <c r="AE170" t="e">
        <f t="shared" si="77"/>
        <v>#N/A</v>
      </c>
      <c r="AF170" t="e">
        <f t="shared" si="78"/>
        <v>#N/A</v>
      </c>
      <c r="AG170" t="e">
        <f t="shared" si="79"/>
        <v>#N/A</v>
      </c>
      <c r="AH170" t="e">
        <f t="shared" si="80"/>
        <v>#N/A</v>
      </c>
      <c r="AI170" t="e">
        <f t="shared" si="81"/>
        <v>#N/A</v>
      </c>
      <c r="AJ170">
        <f t="shared" si="82"/>
        <v>32</v>
      </c>
      <c r="AK170">
        <f t="shared" si="83"/>
        <v>24</v>
      </c>
    </row>
  </sheetData>
  <autoFilter ref="A1:AK170" xr:uid="{00000000-0009-0000-0000-00000C000000}"/>
  <conditionalFormatting sqref="AA2:AA170">
    <cfRule type="cellIs" dxfId="5" priority="1" operator="equal">
      <formula>"OVER"</formula>
    </cfRule>
    <cfRule type="cellIs" dxfId="4" priority="2" operator="equal">
      <formula>"UNDER"</formula>
    </cfRule>
    <cfRule type="cellIs" dxfId="3" priority="3" operator="equal">
      <formula>"OK"</formula>
    </cfRule>
    <cfRule type="cellIs" dxfId="2" priority="4" operator="equal">
      <formula>"RIDER"</formula>
    </cfRule>
  </conditionalFormatting>
  <conditionalFormatting sqref="AB2:AB170">
    <cfRule type="containsText" dxfId="1" priority="5" operator="containsText" text="blank">
      <formula>NOT(ISERROR(SEARCH("blank",AB2)))</formula>
    </cfRule>
    <cfRule type="containsText" dxfId="0" priority="6" operator="containsText" text="no effects">
      <formula>NOT(ISERROR(SEARCH("no effects",AB2)))</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4"/>
  <sheetViews>
    <sheetView workbookViewId="0"/>
  </sheetViews>
  <sheetFormatPr defaultRowHeight="14.4" x14ac:dyDescent="0.3"/>
  <sheetData>
    <row r="1" spans="1:9" x14ac:dyDescent="0.3">
      <c r="A1" s="2" t="s">
        <v>1</v>
      </c>
      <c r="B1" s="2" t="s">
        <v>32</v>
      </c>
      <c r="C1" s="2" t="s">
        <v>145</v>
      </c>
      <c r="D1" s="2" t="s">
        <v>246</v>
      </c>
      <c r="F1" s="2" t="s">
        <v>1207</v>
      </c>
      <c r="G1" s="2" t="s">
        <v>32</v>
      </c>
      <c r="H1" s="2" t="s">
        <v>145</v>
      </c>
      <c r="I1" s="2" t="s">
        <v>246</v>
      </c>
    </row>
    <row r="2" spans="1:9" x14ac:dyDescent="0.3">
      <c r="A2">
        <v>0</v>
      </c>
      <c r="B2">
        <f>COUNTIFS(Balance!$D$2:$D$170,$A2,Balance!$C$2:$C$170,"*Knight*",Balance!$F$2:$F$170,"&lt;&gt;*Ideas*")</f>
        <v>2</v>
      </c>
      <c r="C2">
        <f>COUNTIFS(Balance!$D$2:$D$170,$A2,Balance!$C$2:$C$170,"*Mage*",Balance!$F$2:$F$170,"&lt;&gt;*Ideas*")</f>
        <v>1</v>
      </c>
      <c r="D2">
        <f>COUNTIFS(Balance!$D$2:$D$170,$A2,Balance!$C$2:$C$170,"*Rogue*",Balance!$F$2:$F$170,"&lt;&gt;*Ideas*")</f>
        <v>1</v>
      </c>
      <c r="F2" t="s">
        <v>916</v>
      </c>
      <c r="G2">
        <f>COUNTIFS(Balance!$I$2:$I$170,"&gt;0",Balance!$C$2:$C$170,"*Knight*",Balance!$F$2:$F$170,"&lt;&gt;*Ideas*")</f>
        <v>6</v>
      </c>
      <c r="H2">
        <f>COUNTIFS(Balance!$I$2:$I$170,"&gt;0",Balance!$C$2:$C$170,"*Mage*",Balance!$F$2:$F$170,"&lt;&gt;*Ideas*")</f>
        <v>6</v>
      </c>
      <c r="I2">
        <f>COUNTIFS(Balance!$I$2:$I$170,"&gt;0",Balance!$C$2:$C$170,"*Rogue*",Balance!$F$2:$F$170,"&lt;&gt;*Ideas*")</f>
        <v>1</v>
      </c>
    </row>
    <row r="3" spans="1:9" x14ac:dyDescent="0.3">
      <c r="A3">
        <v>1</v>
      </c>
      <c r="B3">
        <f>COUNTIFS(Balance!$D$2:$D$170,$A3,Balance!$C$2:$C$170,"*Knight*",Balance!$F$2:$F$170,"&lt;&gt;*Ideas*")</f>
        <v>13</v>
      </c>
      <c r="C3">
        <f>COUNTIFS(Balance!$D$2:$D$170,$A3,Balance!$C$2:$C$170,"*Mage*",Balance!$F$2:$F$170,"&lt;&gt;*Ideas*")</f>
        <v>13</v>
      </c>
      <c r="D3">
        <f>COUNTIFS(Balance!$D$2:$D$170,$A3,Balance!$C$2:$C$170,"*Rogue*",Balance!$F$2:$F$170,"&lt;&gt;*Ideas*")</f>
        <v>7</v>
      </c>
      <c r="F3" t="s">
        <v>74</v>
      </c>
      <c r="G3">
        <f>COUNTIFS(Balance!$J$2:$J$170,"&gt;0",Balance!$C$2:$C$170,"*Knight*",Balance!$F$2:$F$170,"&lt;&gt;*Ideas*")</f>
        <v>1</v>
      </c>
      <c r="H3">
        <f>COUNTIFS(Balance!$J$2:$J$170,"&gt;0",Balance!$C$2:$C$170,"*Mage*",Balance!$F$2:$F$170,"&lt;&gt;*Ideas*")</f>
        <v>2</v>
      </c>
      <c r="I3">
        <f>COUNTIFS(Balance!$J$2:$J$170,"&gt;0",Balance!$C$2:$C$170,"*Rogue*",Balance!$F$2:$F$170,"&lt;&gt;*Ideas*")</f>
        <v>0</v>
      </c>
    </row>
    <row r="4" spans="1:9" x14ac:dyDescent="0.3">
      <c r="A4">
        <v>2</v>
      </c>
      <c r="B4">
        <f>COUNTIFS(Balance!$D$2:$D$170,$A4,Balance!$C$2:$C$170,"*Knight*",Balance!$F$2:$F$170,"&lt;&gt;*Ideas*")</f>
        <v>6</v>
      </c>
      <c r="C4">
        <f>COUNTIFS(Balance!$D$2:$D$170,$A4,Balance!$C$2:$C$170,"*Mage*",Balance!$F$2:$F$170,"&lt;&gt;*Ideas*")</f>
        <v>8</v>
      </c>
      <c r="D4">
        <f>COUNTIFS(Balance!$D$2:$D$170,$A4,Balance!$C$2:$C$170,"*Rogue*",Balance!$F$2:$F$170,"&lt;&gt;*Ideas*")</f>
        <v>1</v>
      </c>
      <c r="F4" t="s">
        <v>43</v>
      </c>
      <c r="G4">
        <f>COUNTIFS(Balance!$K$2:$K$170,"&gt;0",Balance!$C$2:$C$170,"*Knight*",Balance!$F$2:$F$170,"&lt;&gt;*Ideas*")</f>
        <v>5</v>
      </c>
      <c r="H4">
        <f>COUNTIFS(Balance!$K$2:$K$170,"&gt;0",Balance!$C$2:$C$170,"*Mage*",Balance!$F$2:$F$170,"&lt;&gt;*Ideas*")</f>
        <v>0</v>
      </c>
      <c r="I4">
        <f>COUNTIFS(Balance!$K$2:$K$170,"&gt;0",Balance!$C$2:$C$170,"*Rogue*",Balance!$F$2:$F$170,"&lt;&gt;*Ideas*")</f>
        <v>0</v>
      </c>
    </row>
    <row r="5" spans="1:9" x14ac:dyDescent="0.3">
      <c r="A5">
        <v>3</v>
      </c>
      <c r="B5">
        <f>COUNTIFS(Balance!$D$2:$D$170,$A5,Balance!$C$2:$C$170,"*Knight*",Balance!$F$2:$F$170,"&lt;&gt;*Ideas*")</f>
        <v>3</v>
      </c>
      <c r="C5">
        <f>COUNTIFS(Balance!$D$2:$D$170,$A5,Balance!$C$2:$C$170,"*Mage*",Balance!$F$2:$F$170,"&lt;&gt;*Ideas*")</f>
        <v>3</v>
      </c>
      <c r="D5">
        <f>COUNTIFS(Balance!$D$2:$D$170,$A5,Balance!$C$2:$C$170,"*Rogue*",Balance!$F$2:$F$170,"&lt;&gt;*Ideas*")</f>
        <v>0</v>
      </c>
      <c r="F5" t="s">
        <v>26</v>
      </c>
      <c r="G5">
        <f>COUNTIFS(Balance!$L$2:$L$170,"&gt;0",Balance!$C$2:$C$170,"*Knight*",Balance!$F$2:$F$170,"&lt;&gt;*Ideas*")</f>
        <v>1</v>
      </c>
      <c r="H5">
        <f>COUNTIFS(Balance!$L$2:$L$170,"&gt;0",Balance!$C$2:$C$170,"*Mage*",Balance!$F$2:$F$170,"&lt;&gt;*Ideas*")</f>
        <v>1</v>
      </c>
      <c r="I5">
        <f>COUNTIFS(Balance!$L$2:$L$170,"&gt;0",Balance!$C$2:$C$170,"*Rogue*",Balance!$F$2:$F$170,"&lt;&gt;*Ideas*")</f>
        <v>1</v>
      </c>
    </row>
    <row r="6" spans="1:9" x14ac:dyDescent="0.3">
      <c r="A6">
        <v>4</v>
      </c>
      <c r="B6">
        <f>COUNTIFS(Balance!$D$2:$D$170,$A6,Balance!$C$2:$C$170,"*Knight*",Balance!$F$2:$F$170,"&lt;&gt;*Ideas*")</f>
        <v>0</v>
      </c>
      <c r="C6">
        <f>COUNTIFS(Balance!$D$2:$D$170,$A6,Balance!$C$2:$C$170,"*Mage*",Balance!$F$2:$F$170,"&lt;&gt;*Ideas*")</f>
        <v>0</v>
      </c>
      <c r="D6">
        <f>COUNTIFS(Balance!$D$2:$D$170,$A6,Balance!$C$2:$C$170,"*Rogue*",Balance!$F$2:$F$170,"&lt;&gt;*Ideas*")</f>
        <v>0</v>
      </c>
      <c r="F6" t="s">
        <v>39</v>
      </c>
      <c r="G6">
        <f>COUNTIFS(Balance!$M$2:$M$170,"&gt;0",Balance!$C$2:$C$170,"*Knight*",Balance!$F$2:$F$170,"&lt;&gt;*Ideas*")</f>
        <v>1</v>
      </c>
      <c r="H6">
        <f>COUNTIFS(Balance!$M$2:$M$170,"&gt;0",Balance!$C$2:$C$170,"*Mage*",Balance!$F$2:$F$170,"&lt;&gt;*Ideas*")</f>
        <v>0</v>
      </c>
      <c r="I6">
        <f>COUNTIFS(Balance!$M$2:$M$170,"&gt;0",Balance!$C$2:$C$170,"*Rogue*",Balance!$F$2:$F$170,"&lt;&gt;*Ideas*")</f>
        <v>0</v>
      </c>
    </row>
    <row r="7" spans="1:9" x14ac:dyDescent="0.3">
      <c r="A7">
        <v>5</v>
      </c>
      <c r="B7">
        <f>COUNTIFS(Balance!$D$2:$D$170,$A7,Balance!$C$2:$C$170,"*Knight*",Balance!$F$2:$F$170,"&lt;&gt;*Ideas*")</f>
        <v>0</v>
      </c>
      <c r="C7">
        <f>COUNTIFS(Balance!$D$2:$D$170,$A7,Balance!$C$2:$C$170,"*Mage*",Balance!$F$2:$F$170,"&lt;&gt;*Ideas*")</f>
        <v>0</v>
      </c>
      <c r="D7">
        <f>COUNTIFS(Balance!$D$2:$D$170,$A7,Balance!$C$2:$C$170,"*Rogue*",Balance!$F$2:$F$170,"&lt;&gt;*Ideas*")</f>
        <v>0</v>
      </c>
      <c r="F7" t="s">
        <v>598</v>
      </c>
      <c r="G7">
        <f>COUNTIFS(Balance!$N$2:$N$170,"&gt;0",Balance!$C$2:$C$170,"*Knight*",Balance!$F$2:$F$170,"&lt;&gt;*Ideas*")</f>
        <v>0</v>
      </c>
      <c r="H7">
        <f>COUNTIFS(Balance!$N$2:$N$170,"&gt;0",Balance!$C$2:$C$170,"*Mage*",Balance!$F$2:$F$170,"&lt;&gt;*Ideas*")</f>
        <v>0</v>
      </c>
      <c r="I7">
        <f>COUNTIFS(Balance!$N$2:$N$170,"&gt;0",Balance!$C$2:$C$170,"*Rogue*",Balance!$F$2:$F$170,"&lt;&gt;*Ideas*")</f>
        <v>1</v>
      </c>
    </row>
    <row r="8" spans="1:9" x14ac:dyDescent="0.3">
      <c r="F8" t="s">
        <v>67</v>
      </c>
      <c r="G8">
        <f>COUNTIFS(Balance!$O$2:$O$170,"&gt;0",Balance!$C$2:$C$170,"*Knight*",Balance!$F$2:$F$170,"&lt;&gt;*Ideas*")</f>
        <v>1</v>
      </c>
      <c r="H8">
        <f>COUNTIFS(Balance!$O$2:$O$170,"&gt;0",Balance!$C$2:$C$170,"*Mage*",Balance!$F$2:$F$170,"&lt;&gt;*Ideas*")</f>
        <v>0</v>
      </c>
      <c r="I8">
        <f>COUNTIFS(Balance!$O$2:$O$170,"&gt;0",Balance!$C$2:$C$170,"*Rogue*",Balance!$F$2:$F$170,"&lt;&gt;*Ideas*")</f>
        <v>0</v>
      </c>
    </row>
    <row r="9" spans="1:9" x14ac:dyDescent="0.3">
      <c r="A9" s="8" t="s">
        <v>1282</v>
      </c>
      <c r="F9" t="s">
        <v>148</v>
      </c>
      <c r="G9">
        <f>COUNTIFS(Balance!$P$2:$P$170,"&gt;0",Balance!$C$2:$C$170,"*Knight*",Balance!$F$2:$F$170,"&lt;&gt;*Ideas*")</f>
        <v>0</v>
      </c>
      <c r="H9">
        <f>COUNTIFS(Balance!$P$2:$P$170,"&gt;0",Balance!$C$2:$C$170,"*Mage*",Balance!$F$2:$F$170,"&lt;&gt;*Ideas*")</f>
        <v>3</v>
      </c>
      <c r="I9">
        <f>COUNTIFS(Balance!$P$2:$P$170,"&gt;0",Balance!$C$2:$C$170,"*Rogue*",Balance!$F$2:$F$170,"&lt;&gt;*Ideas*")</f>
        <v>1</v>
      </c>
    </row>
    <row r="10" spans="1:9" x14ac:dyDescent="0.3">
      <c r="F10" t="s">
        <v>926</v>
      </c>
      <c r="G10">
        <f>COUNTIFS(Balance!$Q$2:$Q$170,"&gt;0",Balance!$C$2:$C$170,"*Knight*",Balance!$F$2:$F$170,"&lt;&gt;*Ideas*")</f>
        <v>2</v>
      </c>
      <c r="H10">
        <f>COUNTIFS(Balance!$Q$2:$Q$170,"&gt;0",Balance!$C$2:$C$170,"*Mage*",Balance!$F$2:$F$170,"&lt;&gt;*Ideas*")</f>
        <v>1</v>
      </c>
      <c r="I10">
        <f>COUNTIFS(Balance!$Q$2:$Q$170,"&gt;0",Balance!$C$2:$C$170,"*Rogue*",Balance!$F$2:$F$170,"&lt;&gt;*Ideas*")</f>
        <v>0</v>
      </c>
    </row>
    <row r="11" spans="1:9" x14ac:dyDescent="0.3">
      <c r="F11" t="s">
        <v>173</v>
      </c>
      <c r="G11">
        <f>COUNTIFS(Balance!$R$2:$R$170,"&gt;0",Balance!$C$2:$C$170,"*Knight*",Balance!$F$2:$F$170,"&lt;&gt;*Ideas*")</f>
        <v>0</v>
      </c>
      <c r="H11">
        <f>COUNTIFS(Balance!$R$2:$R$170,"&gt;0",Balance!$C$2:$C$170,"*Mage*",Balance!$F$2:$F$170,"&lt;&gt;*Ideas*")</f>
        <v>1</v>
      </c>
      <c r="I11">
        <f>COUNTIFS(Balance!$R$2:$R$170,"&gt;0",Balance!$C$2:$C$170,"*Rogue*",Balance!$F$2:$F$170,"&lt;&gt;*Ideas*")</f>
        <v>0</v>
      </c>
    </row>
    <row r="12" spans="1:9" x14ac:dyDescent="0.3">
      <c r="F12" t="s">
        <v>1109</v>
      </c>
      <c r="G12">
        <f>COUNTIFS(Balance!$S$2:$S$170,"&gt;0",Balance!$C$2:$C$170,"*Knight*",Balance!$F$2:$F$170,"&lt;&gt;*Ideas*")</f>
        <v>1</v>
      </c>
      <c r="H12">
        <f>COUNTIFS(Balance!$S$2:$S$170,"&gt;0",Balance!$C$2:$C$170,"*Mage*",Balance!$F$2:$F$170,"&lt;&gt;*Ideas*")</f>
        <v>0</v>
      </c>
      <c r="I12">
        <f>COUNTIFS(Balance!$S$2:$S$170,"&gt;0",Balance!$C$2:$C$170,"*Rogue*",Balance!$F$2:$F$170,"&lt;&gt;*Ideas*")</f>
        <v>0</v>
      </c>
    </row>
    <row r="13" spans="1:9" x14ac:dyDescent="0.3">
      <c r="F13" t="s">
        <v>1111</v>
      </c>
      <c r="G13">
        <f>COUNTIFS(Balance!$U$2:$U$170,"?*",Balance!$C$2:$C$170,"*Knight*",Balance!$F$2:$F$170,"&lt;&gt;*Ideas*")</f>
        <v>8</v>
      </c>
      <c r="H13">
        <f>COUNTIFS(Balance!$U$2:$U$170,"?*",Balance!$C$2:$C$170,"*Mage*",Balance!$F$2:$F$170,"&lt;&gt;*Ideas*")</f>
        <v>11</v>
      </c>
      <c r="I13">
        <f>COUNTIFS(Balance!$U$2:$U$170,"?*",Balance!$C$2:$C$170,"*Rogue*",Balance!$F$2:$F$170,"&lt;&gt;*Ideas*")</f>
        <v>5</v>
      </c>
    </row>
    <row r="14" spans="1:9" x14ac:dyDescent="0.3">
      <c r="F14" t="s">
        <v>107</v>
      </c>
      <c r="G14">
        <f>COUNTIFS(Balance!$T$2:$T$170,"?*",Balance!$C$2:$C$170,"*Knight*",Balance!$F$2:$F$170,"&lt;&gt;*Ideas*")</f>
        <v>7</v>
      </c>
      <c r="H14">
        <f>COUNTIFS(Balance!$T$2:$T$170,"?*",Balance!$C$2:$C$170,"*Mage*",Balance!$F$2:$F$170,"&lt;&gt;*Ideas*")</f>
        <v>8</v>
      </c>
      <c r="I14">
        <f>COUNTIFS(Balance!$T$2:$T$170,"?*",Balance!$C$2:$C$170,"*Rogue*",Balance!$F$2:$F$170,"&lt;&gt;*Ideas*")</f>
        <v>1</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51"/>
  <sheetViews>
    <sheetView workbookViewId="0"/>
  </sheetViews>
  <sheetFormatPr defaultRowHeight="14.4" x14ac:dyDescent="0.3"/>
  <cols>
    <col min="1" max="11" width="20" customWidth="1"/>
  </cols>
  <sheetData>
    <row r="1" spans="1:12" x14ac:dyDescent="0.3">
      <c r="A1" s="2" t="s">
        <v>11</v>
      </c>
      <c r="B1" s="2" t="s">
        <v>2</v>
      </c>
      <c r="C1" s="2" t="s">
        <v>1203</v>
      </c>
      <c r="D1" s="2" t="s">
        <v>1204</v>
      </c>
      <c r="E1" s="2" t="s">
        <v>1205</v>
      </c>
      <c r="F1" s="2" t="s">
        <v>311</v>
      </c>
      <c r="G1" s="2" t="s">
        <v>314</v>
      </c>
      <c r="H1" s="2" t="s">
        <v>1206</v>
      </c>
      <c r="I1" s="2" t="s">
        <v>1096</v>
      </c>
      <c r="J1" s="2" t="s">
        <v>1207</v>
      </c>
      <c r="K1" s="2" t="s">
        <v>12</v>
      </c>
      <c r="L1" s="8" t="s">
        <v>1208</v>
      </c>
    </row>
    <row r="2" spans="1:12" x14ac:dyDescent="0.3">
      <c r="A2" t="s">
        <v>272</v>
      </c>
      <c r="B2" t="s">
        <v>44</v>
      </c>
      <c r="C2" t="s">
        <v>175</v>
      </c>
      <c r="D2" t="s">
        <v>56</v>
      </c>
      <c r="E2" t="s">
        <v>306</v>
      </c>
      <c r="F2" t="s">
        <v>320</v>
      </c>
      <c r="G2" t="s">
        <v>322</v>
      </c>
      <c r="H2" t="s">
        <v>324</v>
      </c>
      <c r="I2" t="s">
        <v>309</v>
      </c>
      <c r="J2" t="s">
        <v>316</v>
      </c>
      <c r="K2" t="s">
        <v>33</v>
      </c>
    </row>
    <row r="3" spans="1:12" x14ac:dyDescent="0.3">
      <c r="A3" t="s">
        <v>32</v>
      </c>
      <c r="B3" t="s">
        <v>27</v>
      </c>
      <c r="C3" t="s">
        <v>55</v>
      </c>
      <c r="D3" t="s">
        <v>35</v>
      </c>
      <c r="E3" t="s">
        <v>37</v>
      </c>
      <c r="F3" t="s">
        <v>361</v>
      </c>
      <c r="G3" t="s">
        <v>330</v>
      </c>
      <c r="H3" t="s">
        <v>34</v>
      </c>
      <c r="I3" t="s">
        <v>1099</v>
      </c>
      <c r="J3" t="s">
        <v>143</v>
      </c>
      <c r="K3" t="s">
        <v>65</v>
      </c>
    </row>
    <row r="4" spans="1:12" x14ac:dyDescent="0.3">
      <c r="A4" t="s">
        <v>145</v>
      </c>
      <c r="B4" t="s">
        <v>99</v>
      </c>
      <c r="C4" t="s">
        <v>83</v>
      </c>
      <c r="F4" t="s">
        <v>372</v>
      </c>
      <c r="G4" t="s">
        <v>356</v>
      </c>
      <c r="H4" t="s">
        <v>176</v>
      </c>
      <c r="I4" t="s">
        <v>1102</v>
      </c>
      <c r="J4" t="s">
        <v>28</v>
      </c>
      <c r="K4" t="s">
        <v>150</v>
      </c>
    </row>
    <row r="5" spans="1:12" x14ac:dyDescent="0.3">
      <c r="A5" t="s">
        <v>246</v>
      </c>
      <c r="B5" t="s">
        <v>438</v>
      </c>
      <c r="C5" t="s">
        <v>31</v>
      </c>
      <c r="F5" t="s">
        <v>453</v>
      </c>
      <c r="H5" t="s">
        <v>598</v>
      </c>
      <c r="J5" t="s">
        <v>266</v>
      </c>
      <c r="K5" t="s">
        <v>74</v>
      </c>
    </row>
    <row r="6" spans="1:12" x14ac:dyDescent="0.3">
      <c r="A6" t="s">
        <v>1209</v>
      </c>
      <c r="B6" t="s">
        <v>91</v>
      </c>
      <c r="F6" t="s">
        <v>382</v>
      </c>
      <c r="H6" t="s">
        <v>216</v>
      </c>
      <c r="J6" t="s">
        <v>100</v>
      </c>
      <c r="K6" t="s">
        <v>79</v>
      </c>
    </row>
    <row r="7" spans="1:12" x14ac:dyDescent="0.3">
      <c r="A7" t="s">
        <v>1210</v>
      </c>
      <c r="H7" t="s">
        <v>107</v>
      </c>
      <c r="J7" t="s">
        <v>77</v>
      </c>
      <c r="K7" t="s">
        <v>176</v>
      </c>
    </row>
    <row r="8" spans="1:12" x14ac:dyDescent="0.3">
      <c r="A8" t="s">
        <v>1211</v>
      </c>
      <c r="H8" t="s">
        <v>167</v>
      </c>
      <c r="J8" t="s">
        <v>87</v>
      </c>
      <c r="K8" t="s">
        <v>180</v>
      </c>
    </row>
    <row r="9" spans="1:12" x14ac:dyDescent="0.3">
      <c r="A9" t="s">
        <v>1212</v>
      </c>
      <c r="J9" t="s">
        <v>244</v>
      </c>
      <c r="K9" t="s">
        <v>107</v>
      </c>
    </row>
    <row r="10" spans="1:12" x14ac:dyDescent="0.3">
      <c r="J10" t="s">
        <v>68</v>
      </c>
      <c r="K10" t="s">
        <v>137</v>
      </c>
    </row>
    <row r="11" spans="1:12" x14ac:dyDescent="0.3">
      <c r="J11" t="s">
        <v>419</v>
      </c>
    </row>
    <row r="12" spans="1:12" x14ac:dyDescent="0.3">
      <c r="J12" t="s">
        <v>50</v>
      </c>
    </row>
    <row r="13" spans="1:12" x14ac:dyDescent="0.3">
      <c r="J13" t="s">
        <v>157</v>
      </c>
    </row>
    <row r="14" spans="1:12" x14ac:dyDescent="0.3">
      <c r="J14" t="s">
        <v>164</v>
      </c>
    </row>
    <row r="15" spans="1:12" x14ac:dyDescent="0.3">
      <c r="J15" t="s">
        <v>72</v>
      </c>
    </row>
    <row r="16" spans="1:12" x14ac:dyDescent="0.3">
      <c r="J16" t="s">
        <v>934</v>
      </c>
    </row>
    <row r="17" spans="10:10" x14ac:dyDescent="0.3">
      <c r="J17" t="s">
        <v>173</v>
      </c>
    </row>
    <row r="18" spans="10:10" x14ac:dyDescent="0.3">
      <c r="J18" t="s">
        <v>40</v>
      </c>
    </row>
    <row r="19" spans="10:10" x14ac:dyDescent="0.3">
      <c r="J19" t="s">
        <v>598</v>
      </c>
    </row>
    <row r="20" spans="10:10" x14ac:dyDescent="0.3">
      <c r="J20" t="s">
        <v>701</v>
      </c>
    </row>
    <row r="21" spans="10:10" x14ac:dyDescent="0.3">
      <c r="J21" t="s">
        <v>270</v>
      </c>
    </row>
    <row r="22" spans="10:10" x14ac:dyDescent="0.3">
      <c r="J22" t="s">
        <v>279</v>
      </c>
    </row>
    <row r="23" spans="10:10" x14ac:dyDescent="0.3">
      <c r="J23" t="s">
        <v>257</v>
      </c>
    </row>
    <row r="24" spans="10:10" x14ac:dyDescent="0.3">
      <c r="J24" t="s">
        <v>154</v>
      </c>
    </row>
    <row r="25" spans="10:10" x14ac:dyDescent="0.3">
      <c r="J25" t="s">
        <v>345</v>
      </c>
    </row>
    <row r="26" spans="10:10" x14ac:dyDescent="0.3">
      <c r="J26" t="s">
        <v>49</v>
      </c>
    </row>
    <row r="27" spans="10:10" x14ac:dyDescent="0.3">
      <c r="J27" t="s">
        <v>45</v>
      </c>
    </row>
    <row r="28" spans="10:10" x14ac:dyDescent="0.3">
      <c r="J28" t="s">
        <v>253</v>
      </c>
    </row>
    <row r="29" spans="10:10" x14ac:dyDescent="0.3">
      <c r="J29" t="s">
        <v>63</v>
      </c>
    </row>
    <row r="30" spans="10:10" x14ac:dyDescent="0.3">
      <c r="J30" t="s">
        <v>122</v>
      </c>
    </row>
    <row r="31" spans="10:10" x14ac:dyDescent="0.3">
      <c r="J31" t="s">
        <v>105</v>
      </c>
    </row>
    <row r="32" spans="10:10" x14ac:dyDescent="0.3">
      <c r="J32" t="s">
        <v>110</v>
      </c>
    </row>
    <row r="33" spans="10:10" x14ac:dyDescent="0.3">
      <c r="J33" t="s">
        <v>228</v>
      </c>
    </row>
    <row r="34" spans="10:10" x14ac:dyDescent="0.3">
      <c r="J34" t="s">
        <v>194</v>
      </c>
    </row>
    <row r="35" spans="10:10" x14ac:dyDescent="0.3">
      <c r="J35" t="s">
        <v>198</v>
      </c>
    </row>
    <row r="36" spans="10:10" x14ac:dyDescent="0.3">
      <c r="J36" t="s">
        <v>232</v>
      </c>
    </row>
    <row r="37" spans="10:10" x14ac:dyDescent="0.3">
      <c r="J37" t="s">
        <v>114</v>
      </c>
    </row>
    <row r="38" spans="10:10" x14ac:dyDescent="0.3">
      <c r="J38" t="s">
        <v>202</v>
      </c>
    </row>
    <row r="39" spans="10:10" x14ac:dyDescent="0.3">
      <c r="J39" t="s">
        <v>206</v>
      </c>
    </row>
    <row r="40" spans="10:10" x14ac:dyDescent="0.3">
      <c r="J40" t="s">
        <v>236</v>
      </c>
    </row>
    <row r="41" spans="10:10" x14ac:dyDescent="0.3">
      <c r="J41" t="s">
        <v>295</v>
      </c>
    </row>
    <row r="42" spans="10:10" x14ac:dyDescent="0.3">
      <c r="J42" t="s">
        <v>126</v>
      </c>
    </row>
    <row r="43" spans="10:10" x14ac:dyDescent="0.3">
      <c r="J43" t="s">
        <v>289</v>
      </c>
    </row>
    <row r="44" spans="10:10" x14ac:dyDescent="0.3">
      <c r="J44" t="s">
        <v>283</v>
      </c>
    </row>
    <row r="45" spans="10:10" x14ac:dyDescent="0.3">
      <c r="J45" t="s">
        <v>130</v>
      </c>
    </row>
    <row r="46" spans="10:10" x14ac:dyDescent="0.3">
      <c r="J46" t="s">
        <v>118</v>
      </c>
    </row>
    <row r="47" spans="10:10" x14ac:dyDescent="0.3">
      <c r="J47" t="s">
        <v>223</v>
      </c>
    </row>
    <row r="48" spans="10:10" x14ac:dyDescent="0.3">
      <c r="J48" t="s">
        <v>53</v>
      </c>
    </row>
    <row r="49" spans="10:10" x14ac:dyDescent="0.3">
      <c r="J49" t="s">
        <v>95</v>
      </c>
    </row>
    <row r="50" spans="10:10" x14ac:dyDescent="0.3">
      <c r="J50" t="s">
        <v>148</v>
      </c>
    </row>
    <row r="51" spans="10:10" x14ac:dyDescent="0.3">
      <c r="J51" t="s">
        <v>262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32</vt:i4>
      </vt:variant>
    </vt:vector>
  </HeadingPairs>
  <TitlesOfParts>
    <vt:vector size="47" baseType="lpstr">
      <vt:lpstr>README</vt:lpstr>
      <vt:lpstr>Knight</vt:lpstr>
      <vt:lpstr>Mage</vt:lpstr>
      <vt:lpstr>Rogue</vt:lpstr>
      <vt:lpstr>Neutral</vt:lpstr>
      <vt:lpstr>Knight Ideas</vt:lpstr>
      <vt:lpstr>Mage Ideas</vt:lpstr>
      <vt:lpstr>Rogue Ideas</vt:lpstr>
      <vt:lpstr>Glossary</vt:lpstr>
      <vt:lpstr>Effects</vt:lpstr>
      <vt:lpstr>Decks</vt:lpstr>
      <vt:lpstr>Model</vt:lpstr>
      <vt:lpstr>Balance</vt:lpstr>
      <vt:lpstr>Charts</vt:lpstr>
      <vt:lpstr>Enums</vt:lpstr>
      <vt:lpstr>board_Tiles</vt:lpstr>
      <vt:lpstr>curve_Base</vt:lpstr>
      <vt:lpstr>curve_Slope</vt:lpstr>
      <vt:lpstr>list_Aim</vt:lpstr>
      <vt:lpstr>list_Bool</vt:lpstr>
      <vt:lpstr>list_Buildable</vt:lpstr>
      <vt:lpstr>list_Class</vt:lpstr>
      <vt:lpstr>list_Effect</vt:lpstr>
      <vt:lpstr>list_Folder</vt:lpstr>
      <vt:lpstr>list_Keyword</vt:lpstr>
      <vt:lpstr>list_Priority</vt:lpstr>
      <vt:lpstr>list_Rarity</vt:lpstr>
      <vt:lpstr>list_Shape</vt:lpstr>
      <vt:lpstr>list_Tag</vt:lpstr>
      <vt:lpstr>rarity_Mult</vt:lpstr>
      <vt:lpstr>tol_Pct</vt:lpstr>
      <vt:lpstr>w_Block</vt:lpstr>
      <vt:lpstr>w_Combo</vt:lpstr>
      <vt:lpstr>w_Damage</vt:lpstr>
      <vt:lpstr>w_Draw</vt:lpstr>
      <vt:lpstr>w_Heal</vt:lpstr>
      <vt:lpstr>w_Horizon</vt:lpstr>
      <vt:lpstr>w_MaxAllies</vt:lpstr>
      <vt:lpstr>w_MaxEnemies</vt:lpstr>
      <vt:lpstr>w_Move</vt:lpstr>
      <vt:lpstr>w_OccAlly</vt:lpstr>
      <vt:lpstr>w_OccEnemy</vt:lpstr>
      <vt:lpstr>w_Parry</vt:lpstr>
      <vt:lpstr>w_Poison</vt:lpstr>
      <vt:lpstr>w_Shield</vt:lpstr>
      <vt:lpstr>w_Strength</vt:lpstr>
      <vt:lpstr>w_Weaken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Toxxic Impact</cp:lastModifiedBy>
  <dcterms:modified xsi:type="dcterms:W3CDTF">2026-08-21T19:21:56Z</dcterms:modified>
</cp:coreProperties>
</file>