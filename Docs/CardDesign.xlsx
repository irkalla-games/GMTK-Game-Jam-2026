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drawing+xml" PartName="/xl/drawings/drawing17.xml"/>
  <Override ContentType="application/vnd.openxmlformats-officedocument.drawingml.chart+xml" PartName="/xl/charts/chart1.xml"/>
  <Override ContentType="application/vnd.openxmlformats-officedocument.drawingml.chart+xml" PartName="/xl/charts/chart2.xml"/>
  <Override ContentType="application/vnd.openxmlformats-officedocument.drawingml.chart+xml" PartName="/xl/charts/chart3.xml"/>
  <Override ContentType="application/vnd.openxmlformats-officedocument.drawingml.chart+xml" PartName="/xl/charts/chart4.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activeTab="0"/>
  </bookViews>
  <sheets>
    <sheet name="README" sheetId="16" r:id="rId17"/>
    <sheet name="Knight" sheetId="1" r:id="rId1"/>
    <sheet name="Mage" sheetId="2" r:id="rId3"/>
    <sheet name="Rogue" sheetId="3" r:id="rId4"/>
    <sheet name="Cleric" sheetId="4" r:id="rId5"/>
    <sheet name="Neutral" sheetId="5" r:id="rId6"/>
    <sheet name="Knight Ideas" sheetId="6" r:id="rId7"/>
    <sheet name="Mage Ideas" sheetId="7" r:id="rId8"/>
    <sheet name="Rogue Ideas" sheetId="8" r:id="rId9"/>
    <sheet name="Cleric Ideas" sheetId="9" r:id="rId10"/>
    <sheet name="Glossary" sheetId="12" r:id="rId13"/>
    <sheet name="Effects" sheetId="10" r:id="rId11"/>
    <sheet name="Decks" sheetId="11" r:id="rId12"/>
    <sheet name="Model" sheetId="14" r:id="rId15"/>
    <sheet name="Balance" sheetId="13" r:id="rId14"/>
    <sheet name="Charts" sheetId="17" r:id="rId18"/>
    <sheet name="Enums" sheetId="15" r:id="rId16"/>
  </sheets>
  <definedNames>
    <definedName name="w_Damage">'Model'!$B$2</definedName>
    <definedName name="w_Heal">'Model'!$B$3</definedName>
    <definedName name="w_Shield">'Model'!$B$4</definedName>
    <definedName name="w_Block">'Model'!$B$5</definedName>
    <definedName name="w_Parry">'Model'!$B$6</definedName>
    <definedName name="w_Poison">'Model'!$B$7</definedName>
    <definedName name="w_Strength">'Model'!$B$8</definedName>
    <definedName name="w_Weaken">'Model'!$B$9</definedName>
    <definedName name="w_Draw">'Model'!$B$10</definedName>
    <definedName name="w_Move">'Model'!$B$11</definedName>
    <definedName name="w_Combo">'Model'!$B$12</definedName>
    <definedName name="w_OccEnemy">'Model'!$B$13</definedName>
    <definedName name="w_OccAlly">'Model'!$B$14</definedName>
    <definedName name="w_MaxEnemies">'Model'!$B$15</definedName>
    <definedName name="w_MaxAllies">'Model'!$B$16</definedName>
    <definedName name="w_Horizon">'Model'!$B$17</definedName>
    <definedName name="curve_Base">'Model'!$B$18</definedName>
    <definedName name="curve_Slope">'Model'!$B$19</definedName>
    <definedName name="tol_Pct">'Model'!$B$20</definedName>
    <definedName name="board_Tiles">'Model'!$B$21</definedName>
    <definedName name="rarity_Mult">'Model'!$A$25:$B$29</definedName>
    <definedName name="list_Class">'Enums'!$A$2:$A$13</definedName>
    <definedName name="list_Rarity">'Enums'!$B$2:$B$6</definedName>
    <definedName name="list_Shape">'Enums'!$C$2:$C$5</definedName>
    <definedName name="list_Aim">'Enums'!$D$2:$D$3</definedName>
    <definedName name="list_Bool">'Enums'!$E$2:$E$3</definedName>
    <definedName name="list_Buildable">'Enums'!$F$2:$F$6</definedName>
    <definedName name="list_Priority">'Enums'!$G$2:$G$4</definedName>
    <definedName name="list_Tag">'Enums'!$H$2:$H$8</definedName>
    <definedName name="list_Keyword">'Enums'!$I$2:$I$4</definedName>
    <definedName name="list_Effect">'Enums'!$J$2:$J$122</definedName>
    <definedName name="list_Folder">'Enums'!$K$2:$K$35</definedName>
    <definedName name="list_Condition">'Enums'!$L$2:$L$6</definedName>
    <definedName name="list_CostCond">'Enums'!$M$2:$M$6</definedName>
    <definedName name="_xlnm._FilterDatabase" localSheetId="1" hidden="1">'Knight'!$A$1:$AE$51</definedName>
    <definedName name="_xlnm._FilterDatabase" localSheetId="2" hidden="1">'Mage'!$A$1:$AE$27</definedName>
    <definedName name="_xlnm._FilterDatabase" localSheetId="3" hidden="1">'Rogue'!$A$1:$AE$21</definedName>
    <definedName name="_xlnm._FilterDatabase" localSheetId="4" hidden="1">'Cleric'!$A$1:$AE$54</definedName>
    <definedName name="_xlnm._FilterDatabase" localSheetId="5" hidden="1">'Neutral'!$A$1:$AE$55</definedName>
    <definedName name="_xlnm._FilterDatabase" localSheetId="6" hidden="1">'Knight Ideas'!$A$1:$AI$49</definedName>
    <definedName name="_xlnm._FilterDatabase" localSheetId="7" hidden="1">'Mage Ideas'!$A$1:$AI$51</definedName>
    <definedName name="_xlnm._FilterDatabase" localSheetId="8" hidden="1">'Rogue Ideas'!$A$1:$AI$51</definedName>
    <definedName name="_xlnm._FilterDatabase" localSheetId="10" hidden="1">'Glossary'!$A$1:$G$36</definedName>
    <definedName name="_xlnm._FilterDatabase" localSheetId="14" hidden="1">'Balance'!$A$1:$AL$306</definedName>
  </definedNames>
  <calcPr fullCalcOnLoad="1"/>
</workbook>
</file>

<file path=xl/sharedStrings.xml><?xml version="1.0" encoding="utf-8"?>
<sst xmlns="http://schemas.openxmlformats.org/spreadsheetml/2006/main" count="2117" uniqueCount="2117">
  <si>
    <t>Card Name</t>
  </si>
  <si>
    <t>Cost</t>
  </si>
  <si>
    <t>Rarity</t>
  </si>
  <si>
    <t>Effect 1</t>
  </si>
  <si>
    <t>Effect 2</t>
  </si>
  <si>
    <t>Effect 3</t>
  </si>
  <si>
    <t>Description</t>
  </si>
  <si>
    <t>Range Shape</t>
  </si>
  <si>
    <t>Range Min</t>
  </si>
  <si>
    <t>Range Max</t>
  </si>
  <si>
    <t>Key</t>
  </si>
  <si>
    <t>Class</t>
  </si>
  <si>
    <t>Folder</t>
  </si>
  <si>
    <t>Tags</t>
  </si>
  <si>
    <t>Aim 1</t>
  </si>
  <si>
    <t>Area 1</t>
  </si>
  <si>
    <t>Cond 1</t>
  </si>
  <si>
    <t>Aim 2</t>
  </si>
  <si>
    <t>Area 2</t>
  </si>
  <si>
    <t>Cond 2</t>
  </si>
  <si>
    <t>Aim 3</t>
  </si>
  <si>
    <t>Area 3</t>
  </si>
  <si>
    <t>Cond 3</t>
  </si>
  <si>
    <t>Cost Cond</t>
  </si>
  <si>
    <t>Keywords</t>
  </si>
  <si>
    <t>No Reward</t>
  </si>
  <si>
    <t>Rotatable</t>
  </si>
  <si>
    <t>Animation</t>
  </si>
  <si>
    <t>GUID</t>
  </si>
  <si>
    <t>Sync</t>
  </si>
  <si>
    <t>Notes</t>
  </si>
  <si>
    <t>Block</t>
  </si>
  <si>
    <t>Uncommon</t>
  </si>
  <si>
    <t>Block 1</t>
  </si>
  <si>
    <t/>
  </si>
  <si>
    <t>Gain Block.</t>
  </si>
  <si>
    <t>SelfTile</t>
  </si>
  <si>
    <t>Knight+Rogue</t>
  </si>
  <si>
    <t>Buff (Defensive)</t>
  </si>
  <si>
    <t>Defence</t>
  </si>
  <si>
    <t>Self</t>
  </si>
  <si>
    <t>Single</t>
  </si>
  <si>
    <t>TRUE</t>
  </si>
  <si>
    <t>FALSE</t>
  </si>
  <si>
    <t>db83bbf36eb240f79a3c309c29ac4ea2</t>
  </si>
  <si>
    <t>Brothers in Arms</t>
  </si>
  <si>
    <t>Shield 8</t>
  </si>
  <si>
    <t>Draw 1</t>
  </si>
  <si>
    <t>Gain 8 Shield. Draw 1. Costs 0 next to another hero.</t>
  </si>
  <si>
    <t>Knight</t>
  </si>
  <si>
    <t>NextToHero -1</t>
  </si>
  <si>
    <t>acb8cab12f6147a47bc05d1cc6b132c8</t>
  </si>
  <si>
    <t>Bulwark Stance</t>
  </si>
  <si>
    <t>Shield 6</t>
  </si>
  <si>
    <t>Gain 6 Shield. Draw 1. Costs 0 while you have Block.</t>
  </si>
  <si>
    <t>HasBlock -1</t>
  </si>
  <si>
    <t>a3c385930ede9634f8443f5f76e4554c</t>
  </si>
  <si>
    <t>Guard Up</t>
  </si>
  <si>
    <t>Gain 6 Shield. Costs 0 next to a totem.</t>
  </si>
  <si>
    <t>NextToTotem -1</t>
  </si>
  <si>
    <t>2ae701b8981918a4db193762447f3d09</t>
  </si>
  <si>
    <t>Last Bastion</t>
  </si>
  <si>
    <t>Rare</t>
  </si>
  <si>
    <t>Taunt</t>
  </si>
  <si>
    <t>Taunt every enemy within 2. Gain 6 Shield. Alone: gain 12 and draw 1.</t>
  </si>
  <si>
    <t>Chebyshev 1-2</t>
  </si>
  <si>
    <t>Alone +6</t>
  </si>
  <si>
    <t>Alone only</t>
  </si>
  <si>
    <t>d28613fe38df1f7498e6b9630413bdd5</t>
  </si>
  <si>
    <t>Lone Stand</t>
  </si>
  <si>
    <t>Gain 6 Shield. Alone: gain 12 instead.</t>
  </si>
  <si>
    <t>b1cd626d8d06e8a478d67a6d8b23377e</t>
  </si>
  <si>
    <t>Parry</t>
  </si>
  <si>
    <t>Parry 1</t>
  </si>
  <si>
    <t>Gain 1 Parry.</t>
  </si>
  <si>
    <t>e5962a056448478d8cb8225f4e84306d</t>
  </si>
  <si>
    <t>Phalanx</t>
  </si>
  <si>
    <t>You and allies next to you gain Block.</t>
  </si>
  <si>
    <t>Chebyshev 0-1</t>
  </si>
  <si>
    <t>3d86e8d90243cd14b8d6ee7739aed90c</t>
  </si>
  <si>
    <t>Shield</t>
  </si>
  <si>
    <t>Common</t>
  </si>
  <si>
    <t>Shield 7</t>
  </si>
  <si>
    <t>Gain 7 Shield.</t>
  </si>
  <si>
    <t>7402495d3e66bfc41b47c4d1fc79004e</t>
  </si>
  <si>
    <t>Shield Wall</t>
  </si>
  <si>
    <t>Give 6 Shield to you and allies within 2.</t>
  </si>
  <si>
    <t>Manhattan 0-2</t>
  </si>
  <si>
    <t>e79ad27300b7c2c45ba217374d91c43d</t>
  </si>
  <si>
    <t>Shoulder to Shoulder</t>
  </si>
  <si>
    <t>You and allies next to you gain 8 Shield.</t>
  </si>
  <si>
    <t>3fde8e39e8151ec4fa50fca0a53d9515</t>
  </si>
  <si>
    <t>Solitary Guard</t>
  </si>
  <si>
    <t>Gain Block. Alone: gain 2 instead.</t>
  </si>
  <si>
    <t>Alone +1</t>
  </si>
  <si>
    <t>c299cb1c41bf4144bae0fbfb413ac2bf</t>
  </si>
  <si>
    <t>Steely Resolve</t>
  </si>
  <si>
    <t>Shield 5</t>
  </si>
  <si>
    <t>Gain 5 Shield. Draw 1 card.</t>
  </si>
  <si>
    <t>b2d16f22e3045c1baf6d28e51c2f6003</t>
  </si>
  <si>
    <t>Taunts enemy.</t>
  </si>
  <si>
    <t>Chebyshev</t>
  </si>
  <si>
    <t>Tile</t>
  </si>
  <si>
    <t>af8bc827dc0c0c043aadfbceb9c91246</t>
  </si>
  <si>
    <t>Totem Guard</t>
  </si>
  <si>
    <t>Gain Block. Draw 1. Costs 0 next to a totem.</t>
  </si>
  <si>
    <t>1a09bbabdf2419140beb812ddc514fc9</t>
  </si>
  <si>
    <t>Tower Shield</t>
  </si>
  <si>
    <t>Shield 11</t>
  </si>
  <si>
    <t>Gain 11 Shield.</t>
  </si>
  <si>
    <t>5b8c141b69b661a47b40f47336b737eb</t>
  </si>
  <si>
    <t>Guardian's Aegis</t>
  </si>
  <si>
    <t>Give 5 Shield.</t>
  </si>
  <si>
    <t>52e101b3e4c5baa4cb2771825ac229a6</t>
  </si>
  <si>
    <t>Hold the Line</t>
  </si>
  <si>
    <t>Shield 12</t>
  </si>
  <si>
    <t>You and allies next to you gain 12 Shield. Draw 1.</t>
  </si>
  <si>
    <t>d787c8c8eae8ff54a9854dfdca322ce2</t>
  </si>
  <si>
    <t>Rally the Line</t>
  </si>
  <si>
    <t>Give 6 Shield to you and allies within 2. Draw 1. Costs 1 next to another hero.</t>
  </si>
  <si>
    <t>35d0762777460dd43b359e47bbb06133</t>
  </si>
  <si>
    <t>Strengthen</t>
  </si>
  <si>
    <t>Strength 3</t>
  </si>
  <si>
    <t>Gain 3 Strength.</t>
  </si>
  <si>
    <t>Buff (Offensive)</t>
  </si>
  <si>
    <t>b2d16f22e3045c1baf6d28e51c2f6005</t>
  </si>
  <si>
    <t>Buff</t>
  </si>
  <si>
    <t>Double Next Attack</t>
  </si>
  <si>
    <t>Double next attack.</t>
  </si>
  <si>
    <t>b2d16f22e3045c1baf6d28e51c2f6006</t>
  </si>
  <si>
    <t>Second Wind</t>
  </si>
  <si>
    <t>Heal 5</t>
  </si>
  <si>
    <t>Heal 5 health.</t>
  </si>
  <si>
    <t>Heal</t>
  </si>
  <si>
    <t>0a8d0a05e27667d45bd045dcca66021a</t>
  </si>
  <si>
    <t>Attack and Block</t>
  </si>
  <si>
    <t>Damage 5</t>
  </si>
  <si>
    <t>Deal 5 Damage. Gain 5 Shield.</t>
  </si>
  <si>
    <t>Melee Attack</t>
  </si>
  <si>
    <t>Attack</t>
  </si>
  <si>
    <t>b2d16f22e3045c1baf6d28e51c2f6001</t>
  </si>
  <si>
    <t>Cleave</t>
  </si>
  <si>
    <t>Deal 5 Damage.</t>
  </si>
  <si>
    <t>Manhattan</t>
  </si>
  <si>
    <t>Pattern:Wall3</t>
  </si>
  <si>
    <t>d7c02ed0dade07a49bec6cc971ee05ab</t>
  </si>
  <si>
    <t>Covering Strike</t>
  </si>
  <si>
    <t>Damage 9</t>
  </si>
  <si>
    <t>Deal 9 damage. Allies next to you gain 5 Shield.</t>
  </si>
  <si>
    <t>Chebyshev 1-1</t>
  </si>
  <si>
    <t>2fa98ecbf47e2584fbadf37aa1be5f83</t>
  </si>
  <si>
    <t>Flanking Strike</t>
  </si>
  <si>
    <t>Damage 7</t>
  </si>
  <si>
    <t>Shield 4</t>
  </si>
  <si>
    <t>Deal 7 damage and gain 4 Shield. Next to another hero: deal 11 instead.</t>
  </si>
  <si>
    <t>NextToHero +4</t>
  </si>
  <si>
    <t>6957f431a6921034f8b923e03a242560</t>
  </si>
  <si>
    <t>Shield Bash</t>
  </si>
  <si>
    <t>Deal 7 damage. Gain 7 Shield.</t>
  </si>
  <si>
    <t>ba1805b5798b8f94fa371b07bdfacf03</t>
  </si>
  <si>
    <t>Shield Slam</t>
  </si>
  <si>
    <t>Damage 6</t>
  </si>
  <si>
    <t>Shield 3</t>
  </si>
  <si>
    <t>Deal 6 damage. Gain 3 Shield. Costs 0 while you have Shield.</t>
  </si>
  <si>
    <t>HasShield -1</t>
  </si>
  <si>
    <t>27e580fcf17bea44b8b94cbb699b7ffe</t>
  </si>
  <si>
    <t>Shield Strike</t>
  </si>
  <si>
    <t>Damage 8</t>
  </si>
  <si>
    <t>Deal 8 damage. Draw 1. Costs 0 while you have Shield.</t>
  </si>
  <si>
    <t>8dc2760ad1ac66b4994206ef019984f1</t>
  </si>
  <si>
    <t>Slash</t>
  </si>
  <si>
    <t>Deals 9 Damage.</t>
  </si>
  <si>
    <t>d33a9e1db0e9c6e42a163a3bb49dbf0f</t>
  </si>
  <si>
    <t>Slash+</t>
  </si>
  <si>
    <t>NotOffered</t>
  </si>
  <si>
    <t>Deals 3 more damage than Slash.</t>
  </si>
  <si>
    <t>35c23446db2a2fb42ab67f89753afdbd</t>
  </si>
  <si>
    <t>Sunder</t>
  </si>
  <si>
    <t>Vulnerable</t>
  </si>
  <si>
    <t>Deal 5 damage and apply 2 Vulnerable.</t>
  </si>
  <si>
    <t>473565cf7c9a7a54aa013e0ffab0df43</t>
  </si>
  <si>
    <t>Sweeping Blow</t>
  </si>
  <si>
    <t>Deal 7 damage to a line of 3.</t>
  </si>
  <si>
    <t>4e721d4776e282b4c811351f74b2281c</t>
  </si>
  <si>
    <t>Totem Strike</t>
  </si>
  <si>
    <t>Damage 12</t>
  </si>
  <si>
    <t>Deal 12 damage. Draw 1. Costs 0 next to a totem.</t>
  </si>
  <si>
    <t>4c61f52b0abbe614ebdc2b6caaa6acb2</t>
  </si>
  <si>
    <t>Vanguard's Oath</t>
  </si>
  <si>
    <t>Damage 11</t>
  </si>
  <si>
    <t>Deal 11 damage. Draw 1. Costs 0 next to another hero.</t>
  </si>
  <si>
    <t>0bb722efb6adb564ab0b0add2338b868</t>
  </si>
  <si>
    <t>Whirlwind</t>
  </si>
  <si>
    <t>Damage 4</t>
  </si>
  <si>
    <t>Deal 4 damage.</t>
  </si>
  <si>
    <t>912403e15b047df44945f4d6e0a794b2</t>
  </si>
  <si>
    <t>Bloodmoon Totem</t>
  </si>
  <si>
    <t>SummonBloodmoonTotem</t>
  </si>
  <si>
    <t xml:space="preserve">Summon Bloodmoon Totem
Everyone within 2: +3 damage</t>
  </si>
  <si>
    <t>Summon</t>
  </si>
  <si>
    <t>54a4b791120a2294695e570203d59aba</t>
  </si>
  <si>
    <t>Thornwood Totem</t>
  </si>
  <si>
    <t>SummonThornwoodTotem</t>
  </si>
  <si>
    <t xml:space="preserve">Summon Thornwood Totem
Enemies within 2: take 3 on attack</t>
  </si>
  <si>
    <t>2c52f35d6eee792448391963fba6d347</t>
  </si>
  <si>
    <t>Whetstone Totem</t>
  </si>
  <si>
    <t>SummonWhetstoneTotem</t>
  </si>
  <si>
    <t xml:space="preserve">Summon Whetstone Totem
Allies within 2: +3 damage</t>
  </si>
  <si>
    <t>9214dd863c19d7245b675c8862560f40</t>
  </si>
  <si>
    <t>Anvil Totem</t>
  </si>
  <si>
    <t>SummonAnvilTotem</t>
  </si>
  <si>
    <t xml:space="preserve">Summon Anvil Totem
Allies within 2: gain 2 Block each turn</t>
  </si>
  <si>
    <t>7a653fc08710faf448f81b2f5e947e9a</t>
  </si>
  <si>
    <t>Fury Totem</t>
  </si>
  <si>
    <t>SummonFuryTotem</t>
  </si>
  <si>
    <t xml:space="preserve">Summon Fury Totem
Allies within 2: +3 damage</t>
  </si>
  <si>
    <t>9375eb26d7c7bda48a55a8b265cfe56d</t>
  </si>
  <si>
    <t>Lodestone Totem</t>
  </si>
  <si>
    <t>SummonLodestoneTotem</t>
  </si>
  <si>
    <t xml:space="preserve">Summon Lodestone Totem
Taunt Enemies within 3</t>
  </si>
  <si>
    <t>108f62860e4dc1e4686e2e4182941d7d</t>
  </si>
  <si>
    <t>Momentum Totem</t>
  </si>
  <si>
    <t>SummonMomentumTotem</t>
  </si>
  <si>
    <t xml:space="preserve">Summon Momentum Totem
Allies within 2: 1 Strength on move</t>
  </si>
  <si>
    <t>9dedc466c38c81542bf99a3695ddace4</t>
  </si>
  <si>
    <t>Rally Totem</t>
  </si>
  <si>
    <t>SummonRallyTotem</t>
  </si>
  <si>
    <t xml:space="preserve">Summon Rally Totem
Allies within 2: gain 2 Strength each turn</t>
  </si>
  <si>
    <t>0b63e560c22843d4ba7f2d333793b3dd</t>
  </si>
  <si>
    <t>Shield Totem</t>
  </si>
  <si>
    <t>SummonTotem</t>
  </si>
  <si>
    <t xml:space="preserve">Summon Shield Totem
Allies within 2: 3 Shield on attack</t>
  </si>
  <si>
    <t>aaaa1118bbbb2229cccc333adddd444b</t>
  </si>
  <si>
    <t>Tower Totem</t>
  </si>
  <si>
    <t>SummonTowerTotem</t>
  </si>
  <si>
    <t xml:space="preserve">Summon Tower Totem
Allies within 2: +3 to Shield gains</t>
  </si>
  <si>
    <t>70e2ee5aa2fd4ba448e932a7ae09ed85</t>
  </si>
  <si>
    <t>Twin Totem</t>
  </si>
  <si>
    <t>SummonTwinTotem</t>
  </si>
  <si>
    <t xml:space="preserve">Summon Twin Totem
Allies within 1: double damage</t>
  </si>
  <si>
    <t>00e24cb4eff97034c9167a24ab3b79ab</t>
  </si>
  <si>
    <t>Warhorn Totem</t>
  </si>
  <si>
    <t>SummonWarhornTotem</t>
  </si>
  <si>
    <t xml:space="preserve">Summon Warhorn Totem
Allies within 2: draw on attack</t>
  </si>
  <si>
    <t>1a50d076ef251394db344162cc42eb11</t>
  </si>
  <si>
    <t>Adrenaline</t>
  </si>
  <si>
    <t>Energy 1</t>
  </si>
  <si>
    <t>Self Damage 5</t>
  </si>
  <si>
    <t>Take 5 damage, gain 1 energy.</t>
  </si>
  <si>
    <t>Utility</t>
  </si>
  <si>
    <t>f6f387ba8aa8eb145a52b1d3bb45bb51</t>
  </si>
  <si>
    <t>Bloodied Resolve</t>
  </si>
  <si>
    <t>Take 5 damage, draw 1 card.</t>
  </si>
  <si>
    <t>e4cd35c82fe981840bee33089febaac7</t>
  </si>
  <si>
    <t>Dull Blade</t>
  </si>
  <si>
    <t>Weaken</t>
  </si>
  <si>
    <t>Apply Weaken.</t>
  </si>
  <si>
    <t>Mage</t>
  </si>
  <si>
    <t>Debuff</t>
  </si>
  <si>
    <t>Status</t>
  </si>
  <si>
    <t>5838b385efe02534993ebe2518d61ef3</t>
  </si>
  <si>
    <t>Entangle</t>
  </si>
  <si>
    <t>Root</t>
  </si>
  <si>
    <t>Root an Enemy.</t>
  </si>
  <si>
    <t>d628843c186f4896abd388b0e0fb081d</t>
  </si>
  <si>
    <t>Freeze</t>
  </si>
  <si>
    <t>Freeze an Enemy.</t>
  </si>
  <si>
    <t>b660e3293e8b4225afcfe9a9a4be0f05</t>
  </si>
  <si>
    <t>Rust Armor</t>
  </si>
  <si>
    <t>Apply Vulnerable.</t>
  </si>
  <si>
    <t>d87d584eefa48da429cd46687b4066b4</t>
  </si>
  <si>
    <t>Sap Life</t>
  </si>
  <si>
    <t>Damage 3</t>
  </si>
  <si>
    <t>Heal 3</t>
  </si>
  <si>
    <t>Deal 3 damage. Heal 3.</t>
  </si>
  <si>
    <t>Attack, Healing</t>
  </si>
  <si>
    <t>2f8157e447d75014091a50790b9cf520</t>
  </si>
  <si>
    <t>Teleport</t>
  </si>
  <si>
    <t>Move</t>
  </si>
  <si>
    <t>Move to any tile on the board.</t>
  </si>
  <si>
    <t>Anywhere</t>
  </si>
  <si>
    <t>Movement</t>
  </si>
  <si>
    <t>aaf80d8da0ea4c228b87cbad0b9af242</t>
  </si>
  <si>
    <t>Fireball</t>
  </si>
  <si>
    <t>Deal 5 damage.</t>
  </si>
  <si>
    <t>RangedAttack</t>
  </si>
  <si>
    <t>Fire, Attack</t>
  </si>
  <si>
    <t>576ab6616f9067d458e6811318815c6c</t>
  </si>
  <si>
    <t>Firebolt</t>
  </si>
  <si>
    <t>000c1f73e085eb64b8d858c64dfdfcda</t>
  </si>
  <si>
    <t>Flame Cone</t>
  </si>
  <si>
    <t>Pattern:Cone3</t>
  </si>
  <si>
    <t>93cab38da2c31ed409077c18f3807992</t>
  </si>
  <si>
    <t>Ice Shard</t>
  </si>
  <si>
    <t>Deals 3 damage and Freezes.</t>
  </si>
  <si>
    <t>36d01c973ac698e428120b185d709229</t>
  </si>
  <si>
    <t>X-Burner</t>
  </si>
  <si>
    <t>Pattern:X-Pattern</t>
  </si>
  <si>
    <t>c8319799a424c03478428ce8d28e8e92</t>
  </si>
  <si>
    <t>Chaos Totem</t>
  </si>
  <si>
    <t>SummonChaosTotem</t>
  </si>
  <si>
    <t xml:space="preserve">Summon Chaos Totem
Everyone within 2: take 3 more damage</t>
  </si>
  <si>
    <t>be9e8db880616e449b7b9cb36178fba1</t>
  </si>
  <si>
    <t>Binding Totem</t>
  </si>
  <si>
    <t>SummonBindingTotem</t>
  </si>
  <si>
    <t xml:space="preserve">Summon Binding Totem
Enemies within 2: double Rooted</t>
  </si>
  <si>
    <t>deb322298a9674d469f81de9d4774b0e</t>
  </si>
  <si>
    <t>Conduit Totem</t>
  </si>
  <si>
    <t>SummonConduitTotem</t>
  </si>
  <si>
    <t xml:space="preserve">Summon Conduit Totem
Allies within 2: draw on applying a status</t>
  </si>
  <si>
    <t>7a62a8d9fb25c9a4f8e9fb484cdfa9ff</t>
  </si>
  <si>
    <t>Curse Totem</t>
  </si>
  <si>
    <t>SummonCurseTotem</t>
  </si>
  <si>
    <t xml:space="preserve">Summon Curse Totem
Enemies within 2: double Vulnerable</t>
  </si>
  <si>
    <t>f00124f8df6b1c5469473a59ffe0b357</t>
  </si>
  <si>
    <t>Enfeeble Totem</t>
  </si>
  <si>
    <t>SummonEnfeebleTotem</t>
  </si>
  <si>
    <t xml:space="preserve">Summon Enfeeble Totem
Enemies within 2: Weaken +3 stronger</t>
  </si>
  <si>
    <t>a34ba9577dc8af24bb92fb81ee235a5d</t>
  </si>
  <si>
    <t>Fracture Totem</t>
  </si>
  <si>
    <t>SummonFractureTotem</t>
  </si>
  <si>
    <t xml:space="preserve">Summon Fracture Totem
Enemies within 2: take 3 more damage</t>
  </si>
  <si>
    <t>234fcf8ff9522344d9d5ee1022be130f</t>
  </si>
  <si>
    <t>Hex Totem</t>
  </si>
  <si>
    <t>SummonHexTotem</t>
  </si>
  <si>
    <t xml:space="preserve">Summon Hex Totem
Enemies within 2: double Weaken</t>
  </si>
  <si>
    <t>e5cd6de7d5df0fc44a67a6d1554ac7f4</t>
  </si>
  <si>
    <t>Ruin Totem</t>
  </si>
  <si>
    <t>SummonRuinTotem</t>
  </si>
  <si>
    <t xml:space="preserve">Summon Ruin Totem
Enemies within 2: Vulnerable +3 stronger</t>
  </si>
  <si>
    <t>e76eca70192ea0342abb35761afe55cf</t>
  </si>
  <si>
    <t>Sap Totem</t>
  </si>
  <si>
    <t>SummonSapTotem</t>
  </si>
  <si>
    <t xml:space="preserve">Summon Sap Totem
Enemies within 2: deal 3 less damage</t>
  </si>
  <si>
    <t>8b23e21878068f84ca903b21df587219</t>
  </si>
  <si>
    <t>Scholar Totem</t>
  </si>
  <si>
    <t>SummonScholarTotem</t>
  </si>
  <si>
    <t xml:space="preserve">Summon Scholar Totem
Allies within 2: +1 energy on draw</t>
  </si>
  <si>
    <t>a6bec62ba7837e44ca5fe7aac759f0fb</t>
  </si>
  <si>
    <t>Shackle Totem</t>
  </si>
  <si>
    <t>SummonShackleTotem</t>
  </si>
  <si>
    <t xml:space="preserve">Summon Shackle Totem
Enemies within 2: Rooted each turn</t>
  </si>
  <si>
    <t>51c470e5e0a71854fbe33c2a8ac2db09</t>
  </si>
  <si>
    <t>Draw Totem</t>
  </si>
  <si>
    <t>SummonDrawTotem</t>
  </si>
  <si>
    <t xml:space="preserve">Summon Draw Totem
Allies within 2: draw on dealing damage</t>
  </si>
  <si>
    <t>099a2eb5aca856a4d9a8ff396dc45e20</t>
  </si>
  <si>
    <t>Wall of Flames</t>
  </si>
  <si>
    <t>Create a Wall of Flames, anything standing ontop will take 4 damage.</t>
  </si>
  <si>
    <t>WallOfFlames</t>
  </si>
  <si>
    <t>Fire</t>
  </si>
  <si>
    <t>a68a20cc6a62a794884b25eda9e5a871</t>
  </si>
  <si>
    <t>Wall of Force</t>
  </si>
  <si>
    <t>Push</t>
  </si>
  <si>
    <t>Create a Wall of Force, stopping all movement through that area.</t>
  </si>
  <si>
    <t>WallOfForce</t>
  </si>
  <si>
    <t>317ae1a15cf5e44499040e5816fc71aa</t>
  </si>
  <si>
    <t>Foresight</t>
  </si>
  <si>
    <t>Discard 1</t>
  </si>
  <si>
    <t>Draw a card, then discard a card.</t>
  </si>
  <si>
    <t>df9e3bce91e2cd14681ef8aa00618104</t>
  </si>
  <si>
    <t>Dodge</t>
  </si>
  <si>
    <t>Gain 1 stack of Dodge.</t>
  </si>
  <si>
    <t>Rogue</t>
  </si>
  <si>
    <t>Defence, Movement</t>
  </si>
  <si>
    <t>1eea8f6c4d1062d4f9a550078d14e259</t>
  </si>
  <si>
    <t>Evasion</t>
  </si>
  <si>
    <t>Block 2</t>
  </si>
  <si>
    <t>Gain 2 stacks of Block.</t>
  </si>
  <si>
    <t>ea4ea121456773f47b2377471122e93e</t>
  </si>
  <si>
    <t>Stealth</t>
  </si>
  <si>
    <t>Stealth 2</t>
  </si>
  <si>
    <t>For 2 turns, enemies cannot target you.</t>
  </si>
  <si>
    <t>3fb463a3a81ff074ab5a518311ca75e2</t>
  </si>
  <si>
    <t>Leeching Blade</t>
  </si>
  <si>
    <t>Lifesteal 3</t>
  </si>
  <si>
    <t>For 3 turns, your attacks heal you for half the damage dealt.</t>
  </si>
  <si>
    <t>56e43cd12f2be6d468cf6827daaed8bb</t>
  </si>
  <si>
    <t>Poison Blade</t>
  </si>
  <si>
    <t>Poison Blade 3</t>
  </si>
  <si>
    <t>For 3 turns, your attacks apply 1 Poison.</t>
  </si>
  <si>
    <t>Attack, Poison</t>
  </si>
  <si>
    <t>8a487f54103a58548956028d93692641</t>
  </si>
  <si>
    <t>Panache</t>
  </si>
  <si>
    <t>Weaken 2</t>
  </si>
  <si>
    <t>Apply 3 stacks of Weaken.</t>
  </si>
  <si>
    <t>4ead4a101ac64ee4a8dbc0d5917ad849</t>
  </si>
  <si>
    <t>Quick Attack</t>
  </si>
  <si>
    <t>Deal 3 damage.</t>
  </si>
  <si>
    <t>b2d16f22e3045c1baf6d28e51c2f6002</t>
  </si>
  <si>
    <t>Poison Dagger</t>
  </si>
  <si>
    <t>Poison 3</t>
  </si>
  <si>
    <t>Deal 4 damage and apply 3 Poison.</t>
  </si>
  <si>
    <t>Any</t>
  </si>
  <si>
    <t>4b1d872acef079b4b9803f32615146d9</t>
  </si>
  <si>
    <t>Shambles</t>
  </si>
  <si>
    <t>Swap</t>
  </si>
  <si>
    <t>Swap places with any character within 3 tiles.</t>
  </si>
  <si>
    <t>ab457316daf03a740aac2696a6bb616b</t>
  </si>
  <si>
    <t>Poison Dart</t>
  </si>
  <si>
    <t>Poison 4</t>
  </si>
  <si>
    <t>Apply 4 stacks of Poison.</t>
  </si>
  <si>
    <t>0e3798dd733944d180801d6f2263b739</t>
  </si>
  <si>
    <t>Decoy Totem</t>
  </si>
  <si>
    <t>SummonDecoyTotem</t>
  </si>
  <si>
    <t xml:space="preserve">Summon Decoy Totem
Taunt Enemies within 3</t>
  </si>
  <si>
    <t>c08631cd0fb101e42a5d73dbd887945a</t>
  </si>
  <si>
    <t>Contagion Totem</t>
  </si>
  <si>
    <t>SummonContagionTotem</t>
  </si>
  <si>
    <t xml:space="preserve">Summon Contagion Totem
Enemies within 2: double Poison</t>
  </si>
  <si>
    <t>302ebe6cf5deadf468117453ebf7f0d5</t>
  </si>
  <si>
    <t>Fortune Totem</t>
  </si>
  <si>
    <t>SummonFortuneTotem</t>
  </si>
  <si>
    <t xml:space="preserve">Summon Fortune Totem
Allies within 2: double Dodge</t>
  </si>
  <si>
    <t>79fb1797bac377241be137dd9d4684cb</t>
  </si>
  <si>
    <t>Ghoststep Totem</t>
  </si>
  <si>
    <t>SummonGhoststepTotem</t>
  </si>
  <si>
    <t xml:space="preserve">Summon Ghoststep Totem
Allies within 2: gain 1 Dodge each turn</t>
  </si>
  <si>
    <t>887c9ea2036e9fa4caafd48965354572</t>
  </si>
  <si>
    <t>Leech Totem</t>
  </si>
  <si>
    <t>SummonLeechTotem</t>
  </si>
  <si>
    <t xml:space="preserve">Summon Leech Totem
Allies within 2: heal half damage dealt</t>
  </si>
  <si>
    <t>2d814aeedc0b89f4eb207904f83abdf3</t>
  </si>
  <si>
    <t>Rot Totem</t>
  </si>
  <si>
    <t>SummonRotTotem</t>
  </si>
  <si>
    <t xml:space="preserve">Summon Rot Totem
Enemies within 2: gain 4 Poison each turn</t>
  </si>
  <si>
    <t>41c8eeed77695c5478e63466cb1992a3</t>
  </si>
  <si>
    <t>Spike Totem</t>
  </si>
  <si>
    <t>SummonSpikeTotem</t>
  </si>
  <si>
    <t xml:space="preserve">Summon Spike Totem
Enemies within 2: take 2 on move</t>
  </si>
  <si>
    <t>81681948dc874bd4c9ea08e8e8adafb1</t>
  </si>
  <si>
    <t>Veil Totem</t>
  </si>
  <si>
    <t>SummonVeilTotem</t>
  </si>
  <si>
    <t xml:space="preserve">Summon Veil Totem
Allies within 2: can't be targeted</t>
  </si>
  <si>
    <t>c0769be3baf84ac4196889f3113de54a</t>
  </si>
  <si>
    <t>Venom Totem</t>
  </si>
  <si>
    <t>SummonVenomTotem</t>
  </si>
  <si>
    <t xml:space="preserve">Summon Venom Totem
Enemies within 2: gain 2 Poison each turn</t>
  </si>
  <si>
    <t>Summon, Poison</t>
  </si>
  <si>
    <t>139ccd0500259c4429836b43f9a7145a</t>
  </si>
  <si>
    <t>Venomblade Totem</t>
  </si>
  <si>
    <t>SummonVenombladeTotem</t>
  </si>
  <si>
    <t xml:space="preserve">Summon Venomblade Totem
Allies within 2: hits apply 1 Poison</t>
  </si>
  <si>
    <t>cc7ab5e114f35204796b0438e7e5625f</t>
  </si>
  <si>
    <t>Blade Ward</t>
  </si>
  <si>
    <t>Give Block.</t>
  </si>
  <si>
    <t>Cleric</t>
  </si>
  <si>
    <t>0313f5e3f95e9704d8ddff8d29ecefcd</t>
  </si>
  <si>
    <t>Blessed Shield</t>
  </si>
  <si>
    <t>Shield 10</t>
  </si>
  <si>
    <t>Give 10 Shield.</t>
  </si>
  <si>
    <t>175eddf5ef5df5a4ea59b73185ae3cc3</t>
  </si>
  <si>
    <t>Distant Grace</t>
  </si>
  <si>
    <t>Give 6 Shield. Alone: give 10 instead.</t>
  </si>
  <si>
    <t>Healing</t>
  </si>
  <si>
    <t>Alone +4</t>
  </si>
  <si>
    <t>04b40add9afb299408a7ee93bfe48bb0</t>
  </si>
  <si>
    <t>Shield of Faith</t>
  </si>
  <si>
    <t>Give 5 Shield. Next to another hero: give 9 and draw 1.</t>
  </si>
  <si>
    <t>NextToHero only</t>
  </si>
  <si>
    <t>74b79ec5f4457e241a83817f4432ff38</t>
  </si>
  <si>
    <t>Shrine Blessing</t>
  </si>
  <si>
    <t>Shield 9</t>
  </si>
  <si>
    <t>Give 9 Shield. Draw 1. Costs 0 next to a totem.</t>
  </si>
  <si>
    <t>a0b3386d15333644380841641a66851f</t>
  </si>
  <si>
    <t>Ward Blessing</t>
  </si>
  <si>
    <t>Give 5 Shield. Costs 0 next to another hero.</t>
  </si>
  <si>
    <t>08b2151905b6ded4990637ecbe601221</t>
  </si>
  <si>
    <t>Vengeful Vigor</t>
  </si>
  <si>
    <t>Lifesteal 1</t>
  </si>
  <si>
    <t>Apply Lifesteal 1.</t>
  </si>
  <si>
    <t>03b73a23f7ceebf41b9dc0773a7935bc</t>
  </si>
  <si>
    <t>Purge</t>
  </si>
  <si>
    <t>Purge Poison</t>
  </si>
  <si>
    <t>Remove all Poison from an ally and afflict the nearest enemy with it.</t>
  </si>
  <si>
    <t>0aca4faf7138a9c4db512e6cf3962233</t>
  </si>
  <si>
    <t>Benediction</t>
  </si>
  <si>
    <t>Heal 4</t>
  </si>
  <si>
    <t>Heal 4 to an ally and every ally next to them. Draw 1.</t>
  </si>
  <si>
    <t>5fed507f2b9412840b17c166844be387</t>
  </si>
  <si>
    <t>Cleansing Light</t>
  </si>
  <si>
    <t>Cleanse Curses Heal</t>
  </si>
  <si>
    <t>Remove all negative effects from an ally and heal them for the stacks removed.</t>
  </si>
  <si>
    <t>09e3ae3a175a86a44b79648130db2fbf</t>
  </si>
  <si>
    <t>Close Prayer</t>
  </si>
  <si>
    <t>Heal 7</t>
  </si>
  <si>
    <t>Heal 7. Next to another hero: draw 1.</t>
  </si>
  <si>
    <t>4797ff6a48d6489488f7baf2ce20d159</t>
  </si>
  <si>
    <t>Touch Heal</t>
  </si>
  <si>
    <t>Heal 10</t>
  </si>
  <si>
    <t>Heal 10.</t>
  </si>
  <si>
    <t>Cure Wounds</t>
  </si>
  <si>
    <t>b2d16f22e3045c1baf6d28e51c2f6004</t>
  </si>
  <si>
    <t>Far Mend</t>
  </si>
  <si>
    <t>Heal 7. Alone: draw 1.</t>
  </si>
  <si>
    <t>023721848dd82404c87b4d52af1cab73</t>
  </si>
  <si>
    <t>Guiding Smite</t>
  </si>
  <si>
    <t>Deal 7 damage. You and allies next to you heal 4.</t>
  </si>
  <si>
    <t>532778b466b668342b2043a76e5820d8</t>
  </si>
  <si>
    <t>Heal Word</t>
  </si>
  <si>
    <t>Heal 5.</t>
  </si>
  <si>
    <t>b0de35f4e0b135845b19e60120fd3205</t>
  </si>
  <si>
    <t>Hermit's Smite</t>
  </si>
  <si>
    <t>Deal 8 damage. Heal 3. Alone: deal 12 instead.</t>
  </si>
  <si>
    <t>f484fb35bb9babc4b9415b6cbbbb5c56</t>
  </si>
  <si>
    <t>Holy Smite</t>
  </si>
  <si>
    <t>Deal 8 damage. Heal 4.</t>
  </si>
  <si>
    <t>b6b5763536cee8440bf2d3606de913c4</t>
  </si>
  <si>
    <t>Judgement</t>
  </si>
  <si>
    <t>Deal 9 damage. Alone: costs 0 and draw 1.</t>
  </si>
  <si>
    <t>Alone -1</t>
  </si>
  <si>
    <t>abaddd2655a840e449884c0c3bbed34a</t>
  </si>
  <si>
    <t>Lasting Renewal</t>
  </si>
  <si>
    <t>Regeneration 4</t>
  </si>
  <si>
    <t>Apply Regeneration 4.</t>
  </si>
  <si>
    <t>37bf83cfbd3d9bd438346a067e59a00c</t>
  </si>
  <si>
    <t>Laying on of Hands</t>
  </si>
  <si>
    <t>Heal 7 to you and allies next to you.</t>
  </si>
  <si>
    <t>19032b9f33d0ce24bbca258b3ad9dbff</t>
  </si>
  <si>
    <t>Mending Light</t>
  </si>
  <si>
    <t>Heal 4. Costs 0 next to another hero.</t>
  </si>
  <si>
    <t>b366fea67432b594c8ec7e726e7152c8</t>
  </si>
  <si>
    <t>Prayer Circle</t>
  </si>
  <si>
    <t>Heal 5. Draw 1. Costs 0 next to another hero.</t>
  </si>
  <si>
    <t>593c12d96b73d764ea78f7c8bfb89d5d</t>
  </si>
  <si>
    <t>Radiant Smite</t>
  </si>
  <si>
    <t>Deal 6 damage. Heal 3. Draw 1. Costs 0 while you have Shield.</t>
  </si>
  <si>
    <t>d87b16954bfa4774da47f6848afc3e36</t>
  </si>
  <si>
    <t>Rejuvenate</t>
  </si>
  <si>
    <t>Heal 6</t>
  </si>
  <si>
    <t>Heal 6 and draw a card.</t>
  </si>
  <si>
    <t>2cee7221146827246960b805f60da04d</t>
  </si>
  <si>
    <t>Renew</t>
  </si>
  <si>
    <t>Heal 3 and draw a card.</t>
  </si>
  <si>
    <t>940d27453c9c1924499110bc2380e444</t>
  </si>
  <si>
    <t>Sanctified Ground</t>
  </si>
  <si>
    <t>You and allies next to you gain 5 Shield and heal 5.</t>
  </si>
  <si>
    <t>aa90828795c6e6542ac261a74bf024ef</t>
  </si>
  <si>
    <t>Sanctified Guard</t>
  </si>
  <si>
    <t>Heal 5 and give Block.</t>
  </si>
  <si>
    <t>1bb8e3ea252264347bbaeb4b919b5c31</t>
  </si>
  <si>
    <t>Smite</t>
  </si>
  <si>
    <t>Deal 4 damage. Heal 3.</t>
  </si>
  <si>
    <t>96e73bab6c061cd49bf0c98a367e781e</t>
  </si>
  <si>
    <t>Smite Together</t>
  </si>
  <si>
    <t>Deal 7 damage. Heal 3. Next to another hero: deal 10 instead.</t>
  </si>
  <si>
    <t>NextToHero +3</t>
  </si>
  <si>
    <t>3cf49416bcf904842a9f37f5af23af03</t>
  </si>
  <si>
    <t>Communion</t>
  </si>
  <si>
    <t>Heal 5 to you and allies within 2. Draw 1. Costs 1 next to another hero.</t>
  </si>
  <si>
    <t>ccc6b83e3e58748438b980a73eac90bf</t>
  </si>
  <si>
    <t>Mend and Fortify</t>
  </si>
  <si>
    <t>Heal 5 and gain 3 Strength.</t>
  </si>
  <si>
    <t>31fea6d7f3b17b54fbfee4ce54165c76</t>
  </si>
  <si>
    <t>Mend and Guard</t>
  </si>
  <si>
    <t>Heal 5 and gain Block.</t>
  </si>
  <si>
    <t>b463c182abe12924b8bd14a649d2c3a4</t>
  </si>
  <si>
    <t>Renewing Touch</t>
  </si>
  <si>
    <t>25e5a08179ad2a848b8539a19c5bbfa7</t>
  </si>
  <si>
    <t>Vigil</t>
  </si>
  <si>
    <t>Heal 12</t>
  </si>
  <si>
    <t>Heal 12. Draw 1. Costs 1 when alone.</t>
  </si>
  <si>
    <t>635cd3ef41882ce44b1bfd1a51701478</t>
  </si>
  <si>
    <t>Aegis Totem</t>
  </si>
  <si>
    <t>SummonAegisTotem</t>
  </si>
  <si>
    <t xml:space="preserve">Summon Aegis Totem
Allies within 2: Block +3 stronger</t>
  </si>
  <si>
    <t>01e630d4f30206f499a5038a0e474c92</t>
  </si>
  <si>
    <t>Bastion Totem</t>
  </si>
  <si>
    <t>SummonBastionTotem</t>
  </si>
  <si>
    <t xml:space="preserve">Summon Bastion Totem
Allies within 2: gain 5 Shield each turn</t>
  </si>
  <si>
    <t>b5992955f6f71d249bd207dc483e4566</t>
  </si>
  <si>
    <t>Beacon Totem</t>
  </si>
  <si>
    <t>SummonBeaconTotem</t>
  </si>
  <si>
    <t xml:space="preserve">Summon Beacon Totem
Taunt Enemies within 2</t>
  </si>
  <si>
    <t>f6d1fbe1cfdd0314f9969e1457bfebe1</t>
  </si>
  <si>
    <t>Bloodpact Totem</t>
  </si>
  <si>
    <t>SummonBloodpactTotem</t>
  </si>
  <si>
    <t xml:space="preserve">Summon Bloodpact Totem
Allies within 2: heal 3 on attack</t>
  </si>
  <si>
    <t>b6d8d70794292df43a53dfecffd26dfe</t>
  </si>
  <si>
    <t>Echo Totem</t>
  </si>
  <si>
    <t>SummonEchoTotem</t>
  </si>
  <si>
    <t xml:space="preserve">Summon Echo Totem
Allies within 2: 5 Shield on summon</t>
  </si>
  <si>
    <t>f1df2170a944fd34785c7e3569efd815</t>
  </si>
  <si>
    <t>Rampart Totem</t>
  </si>
  <si>
    <t>SummonRampartTotem</t>
  </si>
  <si>
    <t xml:space="preserve">Summon Rampart Totem
Allies within 2: take 3 less damage</t>
  </si>
  <si>
    <t>ffeb8d4fdf2a22347bff2bd9386b9ad2</t>
  </si>
  <si>
    <t>Spring Totem</t>
  </si>
  <si>
    <t>SummonSpringTotem</t>
  </si>
  <si>
    <t xml:space="preserve">Summon Spring Totem
Allies within 2: heal 5 each turn</t>
  </si>
  <si>
    <t>822a45b68cd0cd14696780b9cffe5517</t>
  </si>
  <si>
    <t>Warcry Totem</t>
  </si>
  <si>
    <t>SummonWarcryTotem</t>
  </si>
  <si>
    <t xml:space="preserve">Summon Warcry Totem
Allies within 2: double Strength</t>
  </si>
  <si>
    <t>51382dd5fb68f1c42b8c120d2112eb72</t>
  </si>
  <si>
    <t>Bloom Totem</t>
  </si>
  <si>
    <t>SummonBloomTotem</t>
  </si>
  <si>
    <t xml:space="preserve">Summon Bloom Totem
Allies within 2: double Regeneration</t>
  </si>
  <si>
    <t>fc0f1d24759b3b14abe50392a23bf382</t>
  </si>
  <si>
    <t>Bulwark Totem</t>
  </si>
  <si>
    <t>SummonBulwarkTotem</t>
  </si>
  <si>
    <t xml:space="preserve">Summon Bulwark Totem
Allies within 2: double Block</t>
  </si>
  <si>
    <t>30dc9807bee5a3a47a453cded652caa6</t>
  </si>
  <si>
    <t>Chapel Totem</t>
  </si>
  <si>
    <t>SummonChapelTotem</t>
  </si>
  <si>
    <t xml:space="preserve">Summon Chapel Totem
Allies within 2: +1 energy on heal</t>
  </si>
  <si>
    <t>988c682b05c59b545b1c87a31c5b090d</t>
  </si>
  <si>
    <t>Heal Totem</t>
  </si>
  <si>
    <t>SummonHealTotem</t>
  </si>
  <si>
    <t xml:space="preserve">Summon Heal Totem
Allies within 2: heal 5 each turn</t>
  </si>
  <si>
    <t>1b8727d4f538799408c987e9f1732674</t>
  </si>
  <si>
    <t>Reinforce Totem</t>
  </si>
  <si>
    <t>SummonReinforceTotem</t>
  </si>
  <si>
    <t xml:space="preserve">Summon Reinforce Totem
Allies within 1: double Shield</t>
  </si>
  <si>
    <t>c7f19fb3cbfb9a248ad705b8c085d11b</t>
  </si>
  <si>
    <t>Sanctuary Totem</t>
  </si>
  <si>
    <t>SummonSanctuaryTotem</t>
  </si>
  <si>
    <t xml:space="preserve">Summon Sanctuary Totem
Allies within 2: draw on heal</t>
  </si>
  <si>
    <t>857b5633079b7f441b430a95dd0a2398</t>
  </si>
  <si>
    <t>Sentinel Totem</t>
  </si>
  <si>
    <t>SummonSentinelTotem</t>
  </si>
  <si>
    <t xml:space="preserve">Summon Sentinel Totem
Taunt Enemies within 2</t>
  </si>
  <si>
    <t>6f8d325e11962dd419a639a3bb29700e</t>
  </si>
  <si>
    <t>Warlord Totem</t>
  </si>
  <si>
    <t>SummonWarlordTotem</t>
  </si>
  <si>
    <t xml:space="preserve">Summon Warlord Totem
Allies within 2: Strength +3 stronger</t>
  </si>
  <si>
    <t>363d14991cd36564ca3dc5e550c81bc5</t>
  </si>
  <si>
    <t>Wellhead Totem</t>
  </si>
  <si>
    <t>SummonWellheadTotem</t>
  </si>
  <si>
    <t xml:space="preserve">Summon Wellhead Totem
Allies within 2: double Shield</t>
  </si>
  <si>
    <t>a64ccfc5863ffd94c895f94fef7b38b2</t>
  </si>
  <si>
    <t>Wellspring Totem</t>
  </si>
  <si>
    <t>SummonWellspringTotem</t>
  </si>
  <si>
    <t xml:space="preserve">Summon Wellspring Totem
Allies within 2: gain 2 Regeneration each turn</t>
  </si>
  <si>
    <t>6f82a9f8e2605c94a9a47f945999e665</t>
  </si>
  <si>
    <t>Summon Skeleton</t>
  </si>
  <si>
    <t>SummonSkeletonAlly</t>
  </si>
  <si>
    <t>Summon a Skeleton.</t>
  </si>
  <si>
    <t>SummonSkeleton</t>
  </si>
  <si>
    <t>c5d25d3eaabd87644b8f9bf160b035f4</t>
  </si>
  <si>
    <t>Overflow</t>
  </si>
  <si>
    <t>Energy 3</t>
  </si>
  <si>
    <t>Gain 3 energy. Returns to your hand.</t>
  </si>
  <si>
    <t>Innate, Rebound</t>
  </si>
  <si>
    <t>400da0a1fb8039847bb2c4bfc31f38d7</t>
  </si>
  <si>
    <t>Summon Skeleton Warrior</t>
  </si>
  <si>
    <t>SummonSkeletonWarrior</t>
  </si>
  <si>
    <t>Summon a Skeleton Warrior.</t>
  </si>
  <si>
    <t>Dormant 3, Cooldown 4</t>
  </si>
  <si>
    <t>e0f2734ed1017c7419f5d21d3fb737f4</t>
  </si>
  <si>
    <t>EnemyArrow</t>
  </si>
  <si>
    <t>Deal 3 damage and apply Vulnerable to an enemy within 4 tiles.</t>
  </si>
  <si>
    <t>bbde0f0e0cc14d529a5088cf2502a322</t>
  </si>
  <si>
    <t>EnemySlash</t>
  </si>
  <si>
    <t>4e6ad46400a24ad49889dba4ec94d0b6</t>
  </si>
  <si>
    <t>Move 1</t>
  </si>
  <si>
    <t>Move one tile in any direction.</t>
  </si>
  <si>
    <t>be5db39fd599473588c5ca05a015d151</t>
  </si>
  <si>
    <t>MoveInnate</t>
  </si>
  <si>
    <t>Innate</t>
  </si>
  <si>
    <t>0c8f3a6d2b4e4f9a8c1d7e5b3a2f6c9d</t>
  </si>
  <si>
    <t>Move 2</t>
  </si>
  <si>
    <t>Move up to two tiles in any direction.</t>
  </si>
  <si>
    <t>MoveInnate2</t>
  </si>
  <si>
    <t>4f7b2c91e6a84d3ab0d5c8e27f1a9b64</t>
  </si>
  <si>
    <t>Move up to three tiles in any direction, ignoring walls.</t>
  </si>
  <si>
    <t>TeleportInnate</t>
  </si>
  <si>
    <t>c63bc2ac593efc9409d8b2e2b673a08d</t>
  </si>
  <si>
    <t>Bite</t>
  </si>
  <si>
    <t>Bat</t>
  </si>
  <si>
    <t>ee373f925ba104f43bcc820881e5a445</t>
  </si>
  <si>
    <t>Call the Damned</t>
  </si>
  <si>
    <t>SummonSkeletonMinion</t>
  </si>
  <si>
    <t>CallTheDamned</t>
  </si>
  <si>
    <t>BlackKnight</t>
  </si>
  <si>
    <t>Cooldown 3</t>
  </si>
  <si>
    <t>da46264a9760d4b499106e4057fe349a</t>
  </si>
  <si>
    <t>Black Guard</t>
  </si>
  <si>
    <t>BlackGuard</t>
  </si>
  <si>
    <t>9b2ff5c09da592b4aac092835fb9d5f8</t>
  </si>
  <si>
    <t>Dread Cleave</t>
  </si>
  <si>
    <t>Deal 8 damage to everything within 1 tile.</t>
  </si>
  <si>
    <t>DreadCleave</t>
  </si>
  <si>
    <t>911c7b3450e79a1448f794b46caf54e3</t>
  </si>
  <si>
    <t>Claw Attack</t>
  </si>
  <si>
    <t>Deal 4 damage. Gain 4 Shield</t>
  </si>
  <si>
    <t>ClawAttack</t>
  </si>
  <si>
    <t>Crab</t>
  </si>
  <si>
    <t>2c191dc4234fac04e8738aabc36b6cee</t>
  </si>
  <si>
    <t>Royal Command</t>
  </si>
  <si>
    <t>SummonLightBanditMinion</t>
  </si>
  <si>
    <t>Summon a Light Bandit.</t>
  </si>
  <si>
    <t>RoyalCommand</t>
  </si>
  <si>
    <t>EvilKing</t>
  </si>
  <si>
    <t>a1daffbc393702947b8e63307f588d5d</t>
  </si>
  <si>
    <t>Executioner's Blow</t>
  </si>
  <si>
    <t>ExecutionersBlow</t>
  </si>
  <si>
    <t>8997d569af1bef44aa831ed6fe2aa939</t>
  </si>
  <si>
    <t>Royal Guard</t>
  </si>
  <si>
    <t>Deal 3 damage within 1 tile.</t>
  </si>
  <si>
    <t>RoyalGuard</t>
  </si>
  <si>
    <t>c330fc715539b424d876b3642e7c9919</t>
  </si>
  <si>
    <t>Rally</t>
  </si>
  <si>
    <t>SummonHeavyBanditMinion</t>
  </si>
  <si>
    <t>Summon a line of Heavy Bandits.</t>
  </si>
  <si>
    <t>EvilKnight</t>
  </si>
  <si>
    <t>Cooldown 4, Interruptible 2</t>
  </si>
  <si>
    <t>43b25c70bde2b7645abfca6e8feac7d4</t>
  </si>
  <si>
    <t>Riposte</t>
  </si>
  <si>
    <t>Deal 6 damage. Gain 1 Parry.</t>
  </si>
  <si>
    <t>aefe57b35c9afe64ba4eb9112efd9883</t>
  </si>
  <si>
    <t>Deal 4 damage. Gain 10 Shield and 2 Block.</t>
  </si>
  <si>
    <t>ShieldBash</t>
  </si>
  <si>
    <t>51f29b7e912127f43ad357fd5f12663c</t>
  </si>
  <si>
    <t>Summon Imp</t>
  </si>
  <si>
    <t>SummonGoblinMinion</t>
  </si>
  <si>
    <t>Summon a Goblin.</t>
  </si>
  <si>
    <t>SummonImp</t>
  </si>
  <si>
    <t>EvilWizard</t>
  </si>
  <si>
    <t>a88d8789fe23d7b4a8803cfab0721cc0</t>
  </si>
  <si>
    <t>Dark Bolt</t>
  </si>
  <si>
    <t>Deal 5 damage to everything within 1 tile.</t>
  </si>
  <si>
    <t>DarkBolt</t>
  </si>
  <si>
    <t>d7683e27219ae7a49bbe364a274bfc22</t>
  </si>
  <si>
    <t>Shadow Ward</t>
  </si>
  <si>
    <t>Deal 3 damage. Gain 7 Shield.</t>
  </si>
  <si>
    <t>ShadowWard</t>
  </si>
  <si>
    <t>6f6aee052e565334184d68675bbc9306</t>
  </si>
  <si>
    <t>Call the Swarm</t>
  </si>
  <si>
    <t>SummonBatMinion</t>
  </si>
  <si>
    <t>Summon a Bat.</t>
  </si>
  <si>
    <t>CallTheSwarm</t>
  </si>
  <si>
    <t>EvilWizard2</t>
  </si>
  <si>
    <t>Cooldown 2</t>
  </si>
  <si>
    <t>ece43c6ee0d65dd40b59ed491b201779</t>
  </si>
  <si>
    <t>Arcane Lance</t>
  </si>
  <si>
    <t>Deal 6 damage.</t>
  </si>
  <si>
    <t>ArcaneLance</t>
  </si>
  <si>
    <t>c31b41c07840eef46872d698ddd854e5</t>
  </si>
  <si>
    <t>Void Barrier</t>
  </si>
  <si>
    <t>Deal 3 damage. Apply Weaken and Vulnerable.</t>
  </si>
  <si>
    <t>VoidBarrier</t>
  </si>
  <si>
    <t>Interruptible 2</t>
  </si>
  <si>
    <t>9b758a484d41478459502850e55de625</t>
  </si>
  <si>
    <t>Conjure Ooze</t>
  </si>
  <si>
    <t>SummonSlimeMinion</t>
  </si>
  <si>
    <t>Summon a Slime.</t>
  </si>
  <si>
    <t>ConjureOoze</t>
  </si>
  <si>
    <t>EvilWizard3</t>
  </si>
  <si>
    <t>46914671440488144a08d7e55f93496e</t>
  </si>
  <si>
    <t>Ember Shroud</t>
  </si>
  <si>
    <t>Deal 4 damage. Gain 7 Shield.</t>
  </si>
  <si>
    <t>EmberShroud</t>
  </si>
  <si>
    <t>0ae0a9ae1c0ad544897834ac7222f51a</t>
  </si>
  <si>
    <t>Meteor Fall</t>
  </si>
  <si>
    <t>Deal 12 damage.</t>
  </si>
  <si>
    <t>MeteorFall</t>
  </si>
  <si>
    <t>28c0d441d22ffde47bbdbcd202e0d299</t>
  </si>
  <si>
    <t>Withering Gaze</t>
  </si>
  <si>
    <t>WitheringGaze</t>
  </si>
  <si>
    <t>FlyingEye</t>
  </si>
  <si>
    <t>07914c39ca22b974e8a5a2e0670dc72c</t>
  </si>
  <si>
    <t>Backstab</t>
  </si>
  <si>
    <t>Goblin</t>
  </si>
  <si>
    <t>538cb111b2eeb4240b4ba7d42cdb3127</t>
  </si>
  <si>
    <t>Boulder Smash</t>
  </si>
  <si>
    <t>BoulderSmash</t>
  </si>
  <si>
    <t>Golem</t>
  </si>
  <si>
    <t>cd738dbc70183eb43b9d0f1617e7fccb</t>
  </si>
  <si>
    <t>Summon Pebble</t>
  </si>
  <si>
    <t>SummonPebbleMinion</t>
  </si>
  <si>
    <t>Summon a Pebble.</t>
  </si>
  <si>
    <t>SummonPebble</t>
  </si>
  <si>
    <t>714885aed3744e7386c9d3a230330726</t>
  </si>
  <si>
    <t>Heavy Swing</t>
  </si>
  <si>
    <t>Deal 6 damage. Gain 5 Shield. Gain 2 Block.</t>
  </si>
  <si>
    <t>HeavySwing</t>
  </si>
  <si>
    <t>HeavyBandit</t>
  </si>
  <si>
    <t>07c85180eb038d04abd37cebfdfb4271</t>
  </si>
  <si>
    <t>Quick Cut</t>
  </si>
  <si>
    <t>Damage 1</t>
  </si>
  <si>
    <t>Deal 1 damage and apply Weaken to everything within 1 tile.</t>
  </si>
  <si>
    <t>QuickCut</t>
  </si>
  <si>
    <t>LightBandit</t>
  </si>
  <si>
    <t>2349e2cdc34243246829058448485960</t>
  </si>
  <si>
    <t>Venom Cut</t>
  </si>
  <si>
    <t>Poison 2</t>
  </si>
  <si>
    <t>Deal 1 damage and apply 2 Poison.</t>
  </si>
  <si>
    <t>VenomCut</t>
  </si>
  <si>
    <t>3626a8f71ed84831aaa86517d8531b0b</t>
  </si>
  <si>
    <t>Chomp</t>
  </si>
  <si>
    <t>Deal 7 damage. Apply Root.</t>
  </si>
  <si>
    <t>Mimic</t>
  </si>
  <si>
    <t>239c09d57f556754db620c1adca26b94</t>
  </si>
  <si>
    <t>Spore Cloud</t>
  </si>
  <si>
    <t>Apply 3 Poison to everything within 1 tile.</t>
  </si>
  <si>
    <t>SporeCloud</t>
  </si>
  <si>
    <t>Mushroom</t>
  </si>
  <si>
    <t>Poison</t>
  </si>
  <si>
    <t>2219d300acbaec4488c053a9324844a7</t>
  </si>
  <si>
    <t>Roll</t>
  </si>
  <si>
    <t>Damage 2</t>
  </si>
  <si>
    <t>Deal 2 damage.</t>
  </si>
  <si>
    <t>Pebble</t>
  </si>
  <si>
    <t>c4116d531ca49814bb08afec090aa2ff</t>
  </si>
  <si>
    <t>Plague Bite</t>
  </si>
  <si>
    <t>Deal 2 damage. Apply 3 Poison.</t>
  </si>
  <si>
    <t>PlagueBite</t>
  </si>
  <si>
    <t>PlagueRat</t>
  </si>
  <si>
    <t>ae3460f6e67545444b30dba2e2091781</t>
  </si>
  <si>
    <t>Gnaw</t>
  </si>
  <si>
    <t>Deal 2 damage. Apply 2 Poison.</t>
  </si>
  <si>
    <t>Rat</t>
  </si>
  <si>
    <t>df94d1a8e1d8c13448e8720f4acbf71d</t>
  </si>
  <si>
    <t>Raise Dead</t>
  </si>
  <si>
    <t>RaiseDead</t>
  </si>
  <si>
    <t>Reaper</t>
  </si>
  <si>
    <t>12d3f837e6375f046b590dfb06c3b1f0</t>
  </si>
  <si>
    <t>Death's Toll</t>
  </si>
  <si>
    <t>Deal 4 damage and apply Vulnerable within 1 tile.</t>
  </si>
  <si>
    <t>DeathsToll</t>
  </si>
  <si>
    <t>Interruptible 3</t>
  </si>
  <si>
    <t>9aa98cf1d02a0d547ad7499cf286ce22</t>
  </si>
  <si>
    <t>Grave Tithe</t>
  </si>
  <si>
    <t>Pilfered 1</t>
  </si>
  <si>
    <t>Deal 2 damage. At the start of their next turn, the target discards a card at random.</t>
  </si>
  <si>
    <t>GraveTithe</t>
  </si>
  <si>
    <t>Cooldown 2, Interruptible 3</t>
  </si>
  <si>
    <t>4cda4fed035e43f89daae7722563ab98</t>
  </si>
  <si>
    <t>Soul Drain</t>
  </si>
  <si>
    <t>Sapped 2</t>
  </si>
  <si>
    <t>Deal 2 damage. The target has 1 less energy for 2 turns.</t>
  </si>
  <si>
    <t>SoulDrain</t>
  </si>
  <si>
    <t>d950b17862b74f29a9116d6e6baf3953</t>
  </si>
  <si>
    <t>Soul Reap</t>
  </si>
  <si>
    <t>Deal 2 damage. Apply Weaken.</t>
  </si>
  <si>
    <t>SoulReap</t>
  </si>
  <si>
    <t>c90aeb9fd1b522e4e9ceb442096ded71</t>
  </si>
  <si>
    <t>Soul Swap</t>
  </si>
  <si>
    <t>Swap places with a hero.</t>
  </si>
  <si>
    <t>SoulSwap</t>
  </si>
  <si>
    <t>d35efb0a1af04381850353ef70f9f7c3</t>
  </si>
  <si>
    <t>Splinter Off</t>
  </si>
  <si>
    <t>SplinterOff</t>
  </si>
  <si>
    <t>ReinforcedGolem</t>
  </si>
  <si>
    <t>6116b877e2e1c1f4abc120a10be8fdc9</t>
  </si>
  <si>
    <t>Seismic Slam</t>
  </si>
  <si>
    <t>Deal 7 damage to everything within 1 tile.</t>
  </si>
  <si>
    <t>SeismicSlam</t>
  </si>
  <si>
    <t>b1d01ab28ff9495499af5f2e132fecb3</t>
  </si>
  <si>
    <t>Stone Skin</t>
  </si>
  <si>
    <t>Deal 4 damage. Gain 10 Shield.</t>
  </si>
  <si>
    <t>StoneSkin</t>
  </si>
  <si>
    <t>e2e16c0d28c76d54192dc306b83409e4</t>
  </si>
  <si>
    <t>Bone Bulwark</t>
  </si>
  <si>
    <t>Deal 3 damage. Gain 5 Shield.</t>
  </si>
  <si>
    <t>BoneBulwark</t>
  </si>
  <si>
    <t>Skeleton</t>
  </si>
  <si>
    <t>c605de25d1ddef545ae635249c67fbc3</t>
  </si>
  <si>
    <t>Bone Chill</t>
  </si>
  <si>
    <t>Deal 3 damage. Apply Vulnerable.</t>
  </si>
  <si>
    <t>BoneChill</t>
  </si>
  <si>
    <t>Skull</t>
  </si>
  <si>
    <t>ef4c334c610218f46a34acd971f2a448</t>
  </si>
  <si>
    <t>Engulf</t>
  </si>
  <si>
    <t>Deal 3 damage. Apply Weaken.</t>
  </si>
  <si>
    <t>Slime</t>
  </si>
  <si>
    <t>f8ada88cc46e5954d9fee21de35c0055</t>
  </si>
  <si>
    <t>Spike Burst</t>
  </si>
  <si>
    <t>Deal 3 damage and apply Weaken to everything within 1 tile.</t>
  </si>
  <si>
    <t>SpikeBurst</t>
  </si>
  <si>
    <t>SpikedSlime</t>
  </si>
  <si>
    <t>75f20f8d944d59c499e2ca84270e72b2</t>
  </si>
  <si>
    <t>Life Leech</t>
  </si>
  <si>
    <t>LifeLeech</t>
  </si>
  <si>
    <t>VampireBat</t>
  </si>
  <si>
    <t>74c088f7aa523704380454f17ee28cc5</t>
  </si>
  <si>
    <t>Buildable</t>
  </si>
  <si>
    <t>Engine Work</t>
  </si>
  <si>
    <t>Source</t>
  </si>
  <si>
    <t>Priority</t>
  </si>
  <si>
    <t>Deal 4 damage to every enemy around the target.</t>
  </si>
  <si>
    <t>Yes</t>
  </si>
  <si>
    <t>D&amp;D / StS</t>
  </si>
  <si>
    <t>High</t>
  </si>
  <si>
    <t>Iron Wall</t>
  </si>
  <si>
    <t>Gain 7 Shield and 2 Block charges.</t>
  </si>
  <si>
    <t>IronWall</t>
  </si>
  <si>
    <t>StS Barricade</t>
  </si>
  <si>
    <t>Med</t>
  </si>
  <si>
    <t>Bulwark</t>
  </si>
  <si>
    <t>Gain 2 Block charges.</t>
  </si>
  <si>
    <t>Gain 2 Parry charges.</t>
  </si>
  <si>
    <t>Fencing / FFT</t>
  </si>
  <si>
    <t>Heal 5. The Knight has no healing at all today.</t>
  </si>
  <si>
    <t>SecondWind</t>
  </si>
  <si>
    <t>Fills a real gap: Knight currently has zero heal cards.</t>
  </si>
  <si>
    <t>D&amp;D Fighter</t>
  </si>
  <si>
    <t>Guard Stance</t>
  </si>
  <si>
    <t>Gain 3 Shield and 1 Block charge.</t>
  </si>
  <si>
    <t>GuardStance</t>
  </si>
  <si>
    <t>Deal 5 damage and gain 5 Shield.</t>
  </si>
  <si>
    <t>ShieldSlam</t>
  </si>
  <si>
    <t>Attack, Defence</t>
  </si>
  <si>
    <t>WoW</t>
  </si>
  <si>
    <t>Last Stand</t>
  </si>
  <si>
    <t>Shield 15</t>
  </si>
  <si>
    <t>Block 3</t>
  </si>
  <si>
    <t>Gain 15 Shield and 3 Block charges.</t>
  </si>
  <si>
    <t>LastStand</t>
  </si>
  <si>
    <t>Low</t>
  </si>
  <si>
    <t>Shield Charge</t>
  </si>
  <si>
    <t>Move to a tile, then deal 5 damage to everything adjacent to where you land.</t>
  </si>
  <si>
    <t>ShieldCharge</t>
  </si>
  <si>
    <t>Attack, Movement</t>
  </si>
  <si>
    <t>Needs Effect</t>
  </si>
  <si>
    <t>A DashAttackEffect: Move and Damage resolve as separate actions today, so the damage lands around the OLD tile. Needs one effect that moves then strikes from the destination.</t>
  </si>
  <si>
    <t>Into the Breach</t>
  </si>
  <si>
    <t>Bull Rush</t>
  </si>
  <si>
    <t>Deal 3 damage and push the target 1 tile away.</t>
  </si>
  <si>
    <t>BullRush</t>
  </si>
  <si>
    <t>Push/pull is the single highest-value addition for a grid game. Unlocks a dozen cards across all three classes.</t>
  </si>
  <si>
    <t>PushEffect : CardEffect - displace the occupant N tiles along the aim direction, via GridManager.MoveCharacter so move rules and tweens still apply.</t>
  </si>
  <si>
    <t>Anchor</t>
  </si>
  <si>
    <t>You cannot be pushed or pulled this turn.</t>
  </si>
  <si>
    <t>Only worth building once push exists.</t>
  </si>
  <si>
    <t>Needs Status</t>
  </si>
  <si>
    <t>ImmovableStatus with a DisplacementRefusal gate, plus StatusType.Immovable appended to the enum.</t>
  </si>
  <si>
    <t>Grapple</t>
  </si>
  <si>
    <t>Pull the target 1 tile toward you.</t>
  </si>
  <si>
    <t>PullEffect - the inverse of PushEffect; both should share one displacement helper.</t>
  </si>
  <si>
    <t>D&amp;D grapple</t>
  </si>
  <si>
    <t>Zone of Control</t>
  </si>
  <si>
    <t>Summon a totem that deals 3 damage to any enemy standing next to it at end of turn.</t>
  </si>
  <si>
    <t>ZoneOfControl</t>
  </si>
  <si>
    <t>Defence, Summon</t>
  </si>
  <si>
    <t>Needs System</t>
  </si>
  <si>
    <t>A second Totem prefab with a damaging AuraReaction on an end-of-turn trigger. TriggeringActionType has no turn-end entry yet.</t>
  </si>
  <si>
    <t>Into the Breach / FFT</t>
  </si>
  <si>
    <t>Interpose</t>
  </si>
  <si>
    <t>Swap places with an adjacent ally.</t>
  </si>
  <si>
    <t>Movement, Defence</t>
  </si>
  <si>
    <t>SwapEffect - exchange two occupants. Character.MoveTo assumes the destination is empty, so this needs a paired swap on GridManager.</t>
  </si>
  <si>
    <t>FFT / Fire Emblem</t>
  </si>
  <si>
    <t>Taunt the target and gain 2 Block charges.</t>
  </si>
  <si>
    <t>HoldTheLine</t>
  </si>
  <si>
    <t>Taunt has exactly one card today.</t>
  </si>
  <si>
    <t>Fortify Position</t>
  </si>
  <si>
    <t>Gain 5 Shield, but you are Rooted - the cost of digging in.</t>
  </si>
  <si>
    <t>FortifyPosition</t>
  </si>
  <si>
    <t>Rooting yourself is already expressible: Root aimed at Self. A genuine drawback card with no new code.</t>
  </si>
  <si>
    <t>Darkest Dungeon</t>
  </si>
  <si>
    <t>Vanguard</t>
  </si>
  <si>
    <t>Move, then Taunt every enemy adjacent to where you land.</t>
  </si>
  <si>
    <t>Same DashAttackEffect problem as Shield Charge - the second effect must aim from the destination tile.</t>
  </si>
  <si>
    <t>Rallying Cry</t>
  </si>
  <si>
    <t>Strength 2</t>
  </si>
  <si>
    <t>You and every ally within 2 tiles gain 2 Strength.</t>
  </si>
  <si>
    <t>RallyingCry</t>
  </si>
  <si>
    <t>Warcraft</t>
  </si>
  <si>
    <t>Intimidate</t>
  </si>
  <si>
    <t>Apply 2 Weaken.</t>
  </si>
  <si>
    <t>Crushing Blow</t>
  </si>
  <si>
    <t>Weaken 3</t>
  </si>
  <si>
    <t>Deal 5 damage and apply 3 Weaken.</t>
  </si>
  <si>
    <t>CrushingBlow</t>
  </si>
  <si>
    <t>Armor Up</t>
  </si>
  <si>
    <t>Double Shield</t>
  </si>
  <si>
    <t>Your next Shield gain is doubled.</t>
  </si>
  <si>
    <t>ArmorUp</t>
  </si>
  <si>
    <t>DoubleShield has one card today.</t>
  </si>
  <si>
    <t>Perfect Guard</t>
  </si>
  <si>
    <t>Gain 3 Block charges. Your next Shield gain is doubled.</t>
  </si>
  <si>
    <t>PerfectGuard</t>
  </si>
  <si>
    <t>Punish</t>
  </si>
  <si>
    <t>Deal 5 damage and Root the target.</t>
  </si>
  <si>
    <t>Battle Focus</t>
  </si>
  <si>
    <t>Your next attack deals double damage.</t>
  </si>
  <si>
    <t>BattleFocus</t>
  </si>
  <si>
    <t>Warcry</t>
  </si>
  <si>
    <t>Gain 3 Strength and draw a card.</t>
  </si>
  <si>
    <t>Give an ally 5 Shield.</t>
  </si>
  <si>
    <t>ShieldOfFaith</t>
  </si>
  <si>
    <t>D&amp;D</t>
  </si>
  <si>
    <t>Unbreakable</t>
  </si>
  <si>
    <t>Legendary</t>
  </si>
  <si>
    <t>Block 5</t>
  </si>
  <si>
    <t>Gain 10 Shield and 5 Block charges. Your next Shield gain is doubled.</t>
  </si>
  <si>
    <t>Retribution</t>
  </si>
  <si>
    <t>Whenever you take damage this turn, deal 3 back to the attacker.</t>
  </si>
  <si>
    <t>Fits the Knight fantasy better than anything else on this list.</t>
  </si>
  <si>
    <t>ThornsStatus with an OnTakeDamage hook that calls TakeDamage on DamageInfo.Source. MaxParryBounces already shows how to stop the recursion.</t>
  </si>
  <si>
    <t>MtG / Diablo</t>
  </si>
  <si>
    <t>Bastion</t>
  </si>
  <si>
    <t>Your Shield is no longer wiped at the start of your turn.</t>
  </si>
  <si>
    <t>Directly answers the balance note that Shield is worse than Block right now.</t>
  </si>
  <si>
    <t>PersistentShieldStatus, or a flag ShieldStatus checks in its OnTurnStart before clearing.</t>
  </si>
  <si>
    <t>Counterattack</t>
  </si>
  <si>
    <t>The next time you Block an attack, deal 5 damage back.</t>
  </si>
  <si>
    <t>Needs Hook</t>
  </si>
  <si>
    <t>An OnBlocked notification. BlockStatus currently just reduces DamageInfo and tells nobody.</t>
  </si>
  <si>
    <t>FFT Blade Grasp</t>
  </si>
  <si>
    <t>Momentum</t>
  </si>
  <si>
    <t>Deal 4 damage. Permanently gains +2 damage each time you play it this battle.</t>
  </si>
  <si>
    <t>The Card/CardData split was built for this - it is cheaper than it looks.</t>
  </si>
  <si>
    <t>Per-copy mutable state on Card (CardData is shared, so the counter cannot live there). Card already exists for exactly this.</t>
  </si>
  <si>
    <t>StS Ritual Dagger</t>
  </si>
  <si>
    <t>Oath of Protection</t>
  </si>
  <si>
    <t>Damage dealt to the chosen ally is redirected to you.</t>
  </si>
  <si>
    <t>OathOfProtection</t>
  </si>
  <si>
    <t>RedirectStatus on the ally with an OnTakeDamage hook that forwards to the guardian. Needs a guard against two knights redirecting to each other.</t>
  </si>
  <si>
    <t>D&amp;D Paladin</t>
  </si>
  <si>
    <t>Exhausting Charge</t>
  </si>
  <si>
    <t>Damage 10</t>
  </si>
  <si>
    <t>Deal 10 damage. Exhaust.</t>
  </si>
  <si>
    <t>ExhaustingCharge</t>
  </si>
  <si>
    <t>Cheapest new keyword to add - CardKeywordEntry was designed for it.</t>
  </si>
  <si>
    <t>Exhaust as a CardKeywordType plus removal from the pile cycle in Character. The keyword list already exists to be extended.</t>
  </si>
  <si>
    <t>Slay the Spire</t>
  </si>
  <si>
    <t>Shield Throw</t>
  </si>
  <si>
    <t>Deal 5 damage to every enemy in a straight line.</t>
  </si>
  <si>
    <t>ShieldThrow</t>
  </si>
  <si>
    <t>Possibly buildable already via a painted EffectPattern.</t>
  </si>
  <si>
    <t>A line/pierce area. EffectPattern can paint a line, so this may only need a Line pattern asset rather than new code - worth checking first.</t>
  </si>
  <si>
    <t>Captain America / Into the Breach</t>
  </si>
  <si>
    <t>Deal damage equal to your current Shield.</t>
  </si>
  <si>
    <t>Turns the Knight defensive pile into a win condition.</t>
  </si>
  <si>
    <t>ScalingDamageEffect that reads a stat off the source at resolve time. Actions are stateless, so the value must come from ActionContext.</t>
  </si>
  <si>
    <t>StS Body Slam</t>
  </si>
  <si>
    <t>Fortress</t>
  </si>
  <si>
    <t>Gain Shield equal to twice your Block charges.</t>
  </si>
  <si>
    <t>Same ScalingDamageEffect machinery, reading StatusStacks(StatusType.Block).</t>
  </si>
  <si>
    <t>StS</t>
  </si>
  <si>
    <t>Reprisal</t>
  </si>
  <si>
    <t>Deal damage equal to what you took last turn.</t>
  </si>
  <si>
    <t>A per-turn damage-taken tally on Character, reset on turn start.</t>
  </si>
  <si>
    <t>Avatar of Steel</t>
  </si>
  <si>
    <t>Gain 15 Shield and 3 Strength, then draw a card.</t>
  </si>
  <si>
    <t>AvatarOfSteel</t>
  </si>
  <si>
    <t>Defence, Attack</t>
  </si>
  <si>
    <t>Earthshatter</t>
  </si>
  <si>
    <t>Deal 8 damage to everything in a 3x3 area.</t>
  </si>
  <si>
    <t>D&amp;D Shatter</t>
  </si>
  <si>
    <t>Deal 6 damage to everything around you.</t>
  </si>
  <si>
    <t>Diablo</t>
  </si>
  <si>
    <t>Immovable Object</t>
  </si>
  <si>
    <t>Taunt the target. Gain 10 Shield and 5 Block charges.</t>
  </si>
  <si>
    <t>ImmovableObject</t>
  </si>
  <si>
    <t>Executioner</t>
  </si>
  <si>
    <t>Damage 15</t>
  </si>
  <si>
    <t>Deal 15 damage.</t>
  </si>
  <si>
    <t>Banner of Valor</t>
  </si>
  <si>
    <t>Summon a banner granting every nearby ally 1 Strength.</t>
  </si>
  <si>
    <t>BannerOfValor</t>
  </si>
  <si>
    <t>Summon, Attack</t>
  </si>
  <si>
    <t>Nearly free: Totem + AuraData already do auras, there is just no prefab using them.</t>
  </si>
  <si>
    <t>A Totem prefab with a Strength aura. AuraData already supports this - it needs a prefab authored, not new code.</t>
  </si>
  <si>
    <t>Divine Intervention</t>
  </si>
  <si>
    <t>Every ally within 2 tiles heals 10 and gains 10 Shield.</t>
  </si>
  <si>
    <t>DivineIntervention</t>
  </si>
  <si>
    <t>Healing, Defence</t>
  </si>
  <si>
    <t>Siege Breaker</t>
  </si>
  <si>
    <t>Deal 10 damage to every enemy within 2 tiles.</t>
  </si>
  <si>
    <t>SiegeBreaker</t>
  </si>
  <si>
    <t>Final Bulwark</t>
  </si>
  <si>
    <t>Gain 5 Block charges and 3 Parry charges.</t>
  </si>
  <si>
    <t>FinalBulwark</t>
  </si>
  <si>
    <t>Parry 3 would need a Parry 3 effect asset; two entries is the buildable version.</t>
  </si>
  <si>
    <t>Heroic Sacrifice</t>
  </si>
  <si>
    <t>Lose half your health. Deal that much to every enemy within 2 tiles.</t>
  </si>
  <si>
    <t>HeroicSacrifice</t>
  </si>
  <si>
    <t>SelfDamageEffect plus the same scaling-damage machinery as Judgement.</t>
  </si>
  <si>
    <t>Frostbolt</t>
  </si>
  <si>
    <t>Deal 6 damage at range.</t>
  </si>
  <si>
    <t>Arcane Missile</t>
  </si>
  <si>
    <t>Deal 3 damage at range.</t>
  </si>
  <si>
    <t>ArcaneMissile</t>
  </si>
  <si>
    <t>The game has almost no 0-cost cards; the curve needs a floor.</t>
  </si>
  <si>
    <t>Scorch</t>
  </si>
  <si>
    <t>Attack, Fire</t>
  </si>
  <si>
    <t>Chain Lightning</t>
  </si>
  <si>
    <t>Deal 4 damage to everything within 2 tiles of the target.</t>
  </si>
  <si>
    <t>ChainLightning</t>
  </si>
  <si>
    <t>Meteor</t>
  </si>
  <si>
    <t>Deal 12 damage in a 3x3 area.</t>
  </si>
  <si>
    <t>D&amp;D Meteor Swarm</t>
  </si>
  <si>
    <t>Mana Shield</t>
  </si>
  <si>
    <t>ManaShield</t>
  </si>
  <si>
    <t>Greater Heal</t>
  </si>
  <si>
    <t>Heal 15</t>
  </si>
  <si>
    <t>Heal an ally for 15.</t>
  </si>
  <si>
    <t>GreaterHeal</t>
  </si>
  <si>
    <t>Blizzard</t>
  </si>
  <si>
    <t>Deal 6 damage to everything within 3 tiles of the target.</t>
  </si>
  <si>
    <t>Manhattan 0-3</t>
  </si>
  <si>
    <t>D&amp;D / WoW</t>
  </si>
  <si>
    <t>Magic Missile</t>
  </si>
  <si>
    <t>Deal 3 damage to each of three different enemies.</t>
  </si>
  <si>
    <t>MagicMissile</t>
  </si>
  <si>
    <t>Multi-target selection. Every effect today lands on one aim tile plus an area; picking N separate tiles is a different targeting model.</t>
  </si>
  <si>
    <t>Prismatic Ward</t>
  </si>
  <si>
    <t>Gain 5 Shield, 2 Block charges and 1 Parry charge.</t>
  </si>
  <si>
    <t>PrismaticWard</t>
  </si>
  <si>
    <t>Blink</t>
  </si>
  <si>
    <t>Teleport up to 3 tiles.</t>
  </si>
  <si>
    <t>D&amp;D Misty Step</t>
  </si>
  <si>
    <t>Force Push</t>
  </si>
  <si>
    <t>Push the target 2 tiles away.</t>
  </si>
  <si>
    <t>ForcePush</t>
  </si>
  <si>
    <t>PushEffect - shared with the Knight cards above.</t>
  </si>
  <si>
    <t>Wall of Fire</t>
  </si>
  <si>
    <t>Set three tiles alight. Anything standing there at end of turn takes 4 damage.</t>
  </si>
  <si>
    <t>WallOfFire</t>
  </si>
  <si>
    <t>Fire, Summon</t>
  </si>
  <si>
    <t>The pitch is "tiles mutate the characters standing on them" - hazards are the most on-theme thing missing.</t>
  </si>
  <si>
    <t>Persistent tile hazards - a tile that carries an effect with no character on it. GridTile has no such concept yet.</t>
  </si>
  <si>
    <t>Repulsion Ward</t>
  </si>
  <si>
    <t>Push every adjacent enemy 2 tiles away.</t>
  </si>
  <si>
    <t>RepulsionWard</t>
  </si>
  <si>
    <t>PushEffect with an area, pushing outward from the caster rather than along one aim direction.</t>
  </si>
  <si>
    <t>Grease</t>
  </si>
  <si>
    <t>Root everything in a 3x3 area.</t>
  </si>
  <si>
    <t>Manhattan 0-1</t>
  </si>
  <si>
    <t>Dimension Door</t>
  </si>
  <si>
    <t>Swap places with any character on the board.</t>
  </si>
  <si>
    <t>DimensionDoor</t>
  </si>
  <si>
    <t>SwapEffect - shared with Interpose.</t>
  </si>
  <si>
    <t>Web</t>
  </si>
  <si>
    <t>Root and apply 2 Weaken in a 3x3 area.</t>
  </si>
  <si>
    <t>Levitate</t>
  </si>
  <si>
    <t>An ally may move again this turn.</t>
  </si>
  <si>
    <t>GrantMoveEffect - hand a free move to another character. MoveEffect always moves the source.</t>
  </si>
  <si>
    <t>Thunderwave</t>
  </si>
  <si>
    <t>Deal 5 damage in a cone and push everything it hits.</t>
  </si>
  <si>
    <t>Half of this is buildable today - drop the push and it ships.</t>
  </si>
  <si>
    <t>The damage half already works via the Cone3 pattern; only the push is missing.</t>
  </si>
  <si>
    <t>Misty Step</t>
  </si>
  <si>
    <t>Teleport 2 tiles and gain Dodge.</t>
  </si>
  <si>
    <t>MistyStep</t>
  </si>
  <si>
    <t>Curse</t>
  </si>
  <si>
    <t>Apply 3 Weaken.</t>
  </si>
  <si>
    <t>Hex</t>
  </si>
  <si>
    <t>Apply 3 Weaken and 3 Poison.</t>
  </si>
  <si>
    <t>Slow</t>
  </si>
  <si>
    <t>Root the target and apply 2 Weaken.</t>
  </si>
  <si>
    <t>Deep Freeze</t>
  </si>
  <si>
    <t>Deal 5 damage and Freeze the target.</t>
  </si>
  <si>
    <t>DeepFreeze</t>
  </si>
  <si>
    <t>Haste</t>
  </si>
  <si>
    <t>Your next attack is doubled. Draw a card.</t>
  </si>
  <si>
    <t>Bless</t>
  </si>
  <si>
    <t>Give an ally 2 Strength.</t>
  </si>
  <si>
    <t>Mass Curse</t>
  </si>
  <si>
    <t>Apply 3 Weaken to everything within 2 tiles of the target.</t>
  </si>
  <si>
    <t>MassCurse</t>
  </si>
  <si>
    <t>Mirror Image</t>
  </si>
  <si>
    <t>Dodge 2</t>
  </si>
  <si>
    <t>Gain 2 Dodge charges.</t>
  </si>
  <si>
    <t>MirrorImage</t>
  </si>
  <si>
    <t>Stoneskin</t>
  </si>
  <si>
    <t>Give an ally 3 Block charges.</t>
  </si>
  <si>
    <t>Contagion</t>
  </si>
  <si>
    <t>Apply 4 Poison to everything within 2 tiles of the target.</t>
  </si>
  <si>
    <t>Immolate</t>
  </si>
  <si>
    <t>Deal 4 damage and set the target Burning for 3.</t>
  </si>
  <si>
    <t>The Fire tag exists on CardTag with nothing behind it.</t>
  </si>
  <si>
    <t>BurnStatus plus StatusType.Burn appended. Nearly a copy of PoisonStatus but unblockable-on-hit rather than at turn end - which is exactly why it should reuse the same shape.</t>
  </si>
  <si>
    <t>WoW / MtG</t>
  </si>
  <si>
    <t>Counterspell</t>
  </si>
  <si>
    <t>Negate the next card that enemy plays.</t>
  </si>
  <si>
    <t>An OnCardPlayed gate. ActRefusal already denies actions - this is the same idea aimed at one card rather than the turn.</t>
  </si>
  <si>
    <t>MtG / D&amp;D</t>
  </si>
  <si>
    <t>Time Stop</t>
  </si>
  <si>
    <t>Take another turn.</t>
  </si>
  <si>
    <t>TimeStop</t>
  </si>
  <si>
    <t>Cheap to describe, expensive to define. Park it.</t>
  </si>
  <si>
    <t>Turn economy. There is deliberately no turn order today - clicking a character makes it active - so "another turn" needs defining first.</t>
  </si>
  <si>
    <t>Arcane Recovery</t>
  </si>
  <si>
    <t>Gain 2 energy.</t>
  </si>
  <si>
    <t>ArcaneRecovery</t>
  </si>
  <si>
    <t>EnergyEffect. Energy lives on Character, so the effect is small - the balance risk is not.</t>
  </si>
  <si>
    <t>Spell Echo</t>
  </si>
  <si>
    <t>The next card you play resolves twice.</t>
  </si>
  <si>
    <t>SpellEcho</t>
  </si>
  <si>
    <t>Re-running a card's actions needs CardPlayManager to keep the last play around. DoubleNextAttack is the narrow version that already works.</t>
  </si>
  <si>
    <t>StS Amplify</t>
  </si>
  <si>
    <t>Polymorph</t>
  </si>
  <si>
    <t>The target cannot act or be acted upon for 2 turns.</t>
  </si>
  <si>
    <t>A stronger Frozen - ActRefusal plus a targeting refusal. TargetSelector has no concept of an untargetable character.</t>
  </si>
  <si>
    <t>D&amp;D / Hearthstone</t>
  </si>
  <si>
    <t>Three tiles become impassable for 2 turns.</t>
  </si>
  <si>
    <t>Build alongside Wall of Fire; one system covers both.</t>
  </si>
  <si>
    <t>Tile blocking - same tile-state system as Wall of Fire, minus the damage.</t>
  </si>
  <si>
    <t>D&amp;D / Into the Breach</t>
  </si>
  <si>
    <t>Scorching Ray</t>
  </si>
  <si>
    <t>Deal 3 damage three times.</t>
  </si>
  <si>
    <t>ScorchingRay</t>
  </si>
  <si>
    <t>Interacts with Block in a way the game has no card for yet.</t>
  </si>
  <si>
    <t>A repeat count on an effect entry. Matters because Block reduces each hit separately - three small hits beat one big one into Block.</t>
  </si>
  <si>
    <t>Arcane Intellect</t>
  </si>
  <si>
    <t>Draw 2</t>
  </si>
  <si>
    <t>Draw 2 cards.</t>
  </si>
  <si>
    <t>ArcaneIntellect</t>
  </si>
  <si>
    <t>DrawEffect is used by exactly one totem right now.</t>
  </si>
  <si>
    <t>Sacrifice</t>
  </si>
  <si>
    <t>Lose 5 health. Draw 2 cards.</t>
  </si>
  <si>
    <t>SelfDamageEffect - HealEffect with a negative amount would work but reads badly and skips the damage hooks.</t>
  </si>
  <si>
    <t>StS Bloodletting</t>
  </si>
  <si>
    <t>Sunburst</t>
  </si>
  <si>
    <t>Deal 10 damage to everything within 3 tiles of the target.</t>
  </si>
  <si>
    <t>Cataclysm</t>
  </si>
  <si>
    <t>Damage 20</t>
  </si>
  <si>
    <t>Deal 20 damage to one target.</t>
  </si>
  <si>
    <t>Mass Healing Word</t>
  </si>
  <si>
    <t>Every ally within 2 tiles heals 10.</t>
  </si>
  <si>
    <t>MassHealingWord</t>
  </si>
  <si>
    <t>Summon Elemental</t>
  </si>
  <si>
    <t>Summon an elemental that fights for you.</t>
  </si>
  <si>
    <t>SummonElemental</t>
  </si>
  <si>
    <t>Check SummonSkeletonWarrior first; this may be mostly authored already.</t>
  </si>
  <si>
    <t>A summoned character with its own deck and turn. SummonSkeletonWarrior already exists for enemies - this is the player-side version and may be closer than it looks.</t>
  </si>
  <si>
    <t>Ice Age</t>
  </si>
  <si>
    <t>Freeze everything within 2 tiles of the target.</t>
  </si>
  <si>
    <t>IceAge</t>
  </si>
  <si>
    <t>Arcane Totem</t>
  </si>
  <si>
    <t>Summon a totem that shields nearby allies when they attack.</t>
  </si>
  <si>
    <t>ArcaneTotem</t>
  </si>
  <si>
    <t>Summon, Defence</t>
  </si>
  <si>
    <t>Reuses the existing Totem prefab as-is.</t>
  </si>
  <si>
    <t>Chain Heal</t>
  </si>
  <si>
    <t>Heal everything within 2 tiles of the target for 5.</t>
  </si>
  <si>
    <t>ChainHeal</t>
  </si>
  <si>
    <t>Disintegrate</t>
  </si>
  <si>
    <t>Damage 25</t>
  </si>
  <si>
    <t>Deal 25 damage to one target.</t>
  </si>
  <si>
    <t>Prismatic Spray</t>
  </si>
  <si>
    <t>Deal 6 damage in a cone and apply 3 Weaken.</t>
  </si>
  <si>
    <t>PrismaticSpray</t>
  </si>
  <si>
    <t>Font of Power</t>
  </si>
  <si>
    <t>Gain 3 Strength, double your next attack, and draw 2.</t>
  </si>
  <si>
    <t>FontOfPower</t>
  </si>
  <si>
    <t>Deal 7 damage.</t>
  </si>
  <si>
    <t>Twin Fangs</t>
  </si>
  <si>
    <t>Deal 3 damage and apply 2 Poison.</t>
  </si>
  <si>
    <t>TwinFangs</t>
  </si>
  <si>
    <t>Eviscerate</t>
  </si>
  <si>
    <t>Deal 10 damage.</t>
  </si>
  <si>
    <t>Feint</t>
  </si>
  <si>
    <t>Gain Dodge.</t>
  </si>
  <si>
    <t>Envenom</t>
  </si>
  <si>
    <t>Apply 4 Poison.</t>
  </si>
  <si>
    <t>Shadow Strike</t>
  </si>
  <si>
    <t>Deal 8 damage and apply 2 Weaken.</t>
  </si>
  <si>
    <t>ShadowStrike</t>
  </si>
  <si>
    <t>Bandage</t>
  </si>
  <si>
    <t>Rogue has an empty Heal folder and no healing at all.</t>
  </si>
  <si>
    <t>Deflect</t>
  </si>
  <si>
    <t>Throwing Knife</t>
  </si>
  <si>
    <t>ThrowingKnife</t>
  </si>
  <si>
    <t>Fan of Knives</t>
  </si>
  <si>
    <t>Deal 4 damage to everything around you.</t>
  </si>
  <si>
    <t>FanOfKnives</t>
  </si>
  <si>
    <t>Shadowstep</t>
  </si>
  <si>
    <t>Move up to 3 tiles.</t>
  </si>
  <si>
    <t>Vanish</t>
  </si>
  <si>
    <t>Move and gain Dodge.</t>
  </si>
  <si>
    <t>Acrobatics</t>
  </si>
  <si>
    <t>Move 2 tiles and draw a card.</t>
  </si>
  <si>
    <t>Hamstring</t>
  </si>
  <si>
    <t>Deal 3 damage and Root the target.</t>
  </si>
  <si>
    <t>Smoke Bomb</t>
  </si>
  <si>
    <t>Gain Dodge. Apply 2 Weaken to every adjacent enemy.</t>
  </si>
  <si>
    <t>SmokeBomb</t>
  </si>
  <si>
    <t>Grappling Hook</t>
  </si>
  <si>
    <t>Pull yourself to a distant tile.</t>
  </si>
  <si>
    <t>GrapplingHook</t>
  </si>
  <si>
    <t>May already be expressible as Move with a bigger TargetRange.</t>
  </si>
  <si>
    <t>A self-pull: MoveEffect with a longer reach would nearly cover it, so check whether range alone is enough before writing anything.</t>
  </si>
  <si>
    <t>Ambush</t>
  </si>
  <si>
    <t>Move to a tile, then deal 8 damage to an adjacent enemy.</t>
  </si>
  <si>
    <t>DashAttackEffect - shared with the Knight's Shield Charge.</t>
  </si>
  <si>
    <t>FFT</t>
  </si>
  <si>
    <t>Caltrops</t>
  </si>
  <si>
    <t>Three tiles damage any enemy that enters them.</t>
  </si>
  <si>
    <t>Tile hazards - shared with Wall of Fire, but triggered on entry rather than at turn end.</t>
  </si>
  <si>
    <t>StS / D&amp;D</t>
  </si>
  <si>
    <t>Slip Away</t>
  </si>
  <si>
    <t>Move even if Rooted, and gain Dodge.</t>
  </si>
  <si>
    <t>SlipAway</t>
  </si>
  <si>
    <t>A status that suppresses MoveRefusal. Rooted returns a reason today and nothing overrides it.</t>
  </si>
  <si>
    <t>Deal 5 damage, or 10 if an ally is adjacent to the target.</t>
  </si>
  <si>
    <t>FlankingStrike</t>
  </si>
  <si>
    <t>The most grid-native idea here: it makes positioning pay off directly.</t>
  </si>
  <si>
    <t>A conditional damage effect reading board state at resolve time - the first card whose value depends on where everyone is standing.</t>
  </si>
  <si>
    <t>D&amp;D flanking / FFT</t>
  </si>
  <si>
    <t>Deadly Poison</t>
  </si>
  <si>
    <t>Poison 6</t>
  </si>
  <si>
    <t>Apply 6 Poison.</t>
  </si>
  <si>
    <t>DeadlyPoison</t>
  </si>
  <si>
    <t>Crippling Toxin</t>
  </si>
  <si>
    <t>Apply 3 Poison and 3 Weaken.</t>
  </si>
  <si>
    <t>CripplingToxin</t>
  </si>
  <si>
    <t>Rupture</t>
  </si>
  <si>
    <t>Deal 5 damage and apply 4 Poison.</t>
  </si>
  <si>
    <t>Blade Flurry</t>
  </si>
  <si>
    <t>Deal 3 damage and double your next attack.</t>
  </si>
  <si>
    <t>BladeFlurry</t>
  </si>
  <si>
    <t>Sharpen</t>
  </si>
  <si>
    <t>Gain 2 Strength.</t>
  </si>
  <si>
    <t>Rogue has an empty Buff (Offensive) folder.</t>
  </si>
  <si>
    <t>Expose Weakness</t>
  </si>
  <si>
    <t>Weaken 4</t>
  </si>
  <si>
    <t>Apply 4 Weaken.</t>
  </si>
  <si>
    <t>ExposeWeakness</t>
  </si>
  <si>
    <t>Toxic Cloud</t>
  </si>
  <si>
    <t>Apply 3 Poison to everything within 2 tiles of the target.</t>
  </si>
  <si>
    <t>ToxicCloud</t>
  </si>
  <si>
    <t>Evasive Maneuvers</t>
  </si>
  <si>
    <t>EvasiveManeuvers</t>
  </si>
  <si>
    <t>Preparation</t>
  </si>
  <si>
    <t>Draw a card.</t>
  </si>
  <si>
    <t>Combo Strike</t>
  </si>
  <si>
    <t>Deal 4 damage, plus 3 more for each card played before it this turn.</t>
  </si>
  <si>
    <t>ComboStrike</t>
  </si>
  <si>
    <t>Cheap, and it makes hand order matter for the first time.</t>
  </si>
  <si>
    <t>A cards-played-this-turn counter on Character, reset on turn start, read through ActionContext.</t>
  </si>
  <si>
    <t>StS / Griftlands</t>
  </si>
  <si>
    <t>Poisoned Blade</t>
  </si>
  <si>
    <t>Your attacks apply 1 Poison this turn.</t>
  </si>
  <si>
    <t>PoisonedBlade</t>
  </si>
  <si>
    <t>Probably the cheapest new status on this whole list.</t>
  </si>
  <si>
    <t>A status with an OnDealDamage hook that also applies Poison. OnDealDamage exists and already returns DamageInfo, so this is a small addition.</t>
  </si>
  <si>
    <t>Assassinate</t>
  </si>
  <si>
    <t>Kill a target below 20% health outright.</t>
  </si>
  <si>
    <t>An execute effect reading the target's health ratio at resolve time.</t>
  </si>
  <si>
    <t>WoW / Hearthstone</t>
  </si>
  <si>
    <t>Sleight of Hand</t>
  </si>
  <si>
    <t>Discard a card, then draw 2.</t>
  </si>
  <si>
    <t>SleightOfHand</t>
  </si>
  <si>
    <t>DiscardEffect plus a way to choose which card - the first card needing a secondary selection UI.</t>
  </si>
  <si>
    <t>Shiv</t>
  </si>
  <si>
    <t>Deal 4 damage. Exhaust.</t>
  </si>
  <si>
    <t>Exhaust keyword - shared with the Knight's Exhausting Charge.</t>
  </si>
  <si>
    <t>Deadly Momentum</t>
  </si>
  <si>
    <t>Whenever you kill an enemy this turn, draw a card and gain 1 energy.</t>
  </si>
  <si>
    <t>DeadlyMomentum</t>
  </si>
  <si>
    <t>OnKill unlocks a whole archetype and nothing else provides it.</t>
  </si>
  <si>
    <t>An OnKill notification. Nothing observes a death today.</t>
  </si>
  <si>
    <t>Griftlands</t>
  </si>
  <si>
    <t>Cloak</t>
  </si>
  <si>
    <t>Enemies cannot target you until you attack.</t>
  </si>
  <si>
    <t>An untargetable flag TargetSelector honours. Taunt already proves targeting can be overridden - ForcedQuarry is the hook to mirror.</t>
  </si>
  <si>
    <t>Bleed</t>
  </si>
  <si>
    <t>Deal damage equal to the target's missing health, up to 10.</t>
  </si>
  <si>
    <t>Scaling damage read off the target - same machinery as the Knight's Judgement, aimed the other way.</t>
  </si>
  <si>
    <t>Doppelganger</t>
  </si>
  <si>
    <t>Play a copy of the last card you played this turn.</t>
  </si>
  <si>
    <t>Card-play history plus re-resolution - shared with the Mage's Spell Echo.</t>
  </si>
  <si>
    <t>Nightmare</t>
  </si>
  <si>
    <t>The target attacks its own allies next turn.</t>
  </si>
  <si>
    <t>A status that flips ally/enemy in TargetSelector for one character. EnemyBrain picks its own target, so this needs a hook there too.</t>
  </si>
  <si>
    <t>Darkest Dungeon / D&amp;D Confusion</t>
  </si>
  <si>
    <t>Death Blossom</t>
  </si>
  <si>
    <t>Deal 8 damage and apply 3 Poison to everything within 2 tiles.</t>
  </si>
  <si>
    <t>DeathBlossom</t>
  </si>
  <si>
    <t>Thousand Cuts</t>
  </si>
  <si>
    <t>Deal 6 damage and apply 6 Poison.</t>
  </si>
  <si>
    <t>ThousandCuts</t>
  </si>
  <si>
    <t>Shadow Dance</t>
  </si>
  <si>
    <t>Dodge 3</t>
  </si>
  <si>
    <t>Move, gain 3 Dodge charges, and draw 2.</t>
  </si>
  <si>
    <t>ShadowDance</t>
  </si>
  <si>
    <t>Summon a totem that poisons nearby enemies.</t>
  </si>
  <si>
    <t>VenomTotem</t>
  </si>
  <si>
    <t>Same near-free win as the Knight's Banner of Valor.</t>
  </si>
  <si>
    <t>A Totem prefab with a Poison aura and AuraAudience.Enemies. AuraData supports this already - it needs authoring, not code.</t>
  </si>
  <si>
    <t>Perfect Assassin</t>
  </si>
  <si>
    <t>Poison 5</t>
  </si>
  <si>
    <t>Deal 20 damage and apply 5 Poison.</t>
  </si>
  <si>
    <t>PerfectAssassin</t>
  </si>
  <si>
    <t>Blade Storm</t>
  </si>
  <si>
    <t>Deal 7 damage to everything around you.</t>
  </si>
  <si>
    <t>BladeStorm</t>
  </si>
  <si>
    <t>Master of Shadows</t>
  </si>
  <si>
    <t>Gain 3 Strength and 2 Dodge charges, then draw 2.</t>
  </si>
  <si>
    <t>MasterOfShadows</t>
  </si>
  <si>
    <t>Lethal Dose</t>
  </si>
  <si>
    <t>Poison 10</t>
  </si>
  <si>
    <t>Apply 10 Poison.</t>
  </si>
  <si>
    <t>LethalDose</t>
  </si>
  <si>
    <t>Poison decays by 1 a turn, so 10 stacks is 55 damage over 10 turns - check this against the curve before shipping.</t>
  </si>
  <si>
    <t>Cutthroat</t>
  </si>
  <si>
    <t>Deal 12 damage and apply 3 Weaken.</t>
  </si>
  <si>
    <t>Final Act</t>
  </si>
  <si>
    <t>Draw 3</t>
  </si>
  <si>
    <t>Deal 15 damage and draw 3.</t>
  </si>
  <si>
    <t>FinalAct</t>
  </si>
  <si>
    <t>Name</t>
  </si>
  <si>
    <t>Kind</t>
  </si>
  <si>
    <t>Amount</t>
  </si>
  <si>
    <t>Detail</t>
  </si>
  <si>
    <t>Scoreable</t>
  </si>
  <si>
    <t>Used By</t>
  </si>
  <si>
    <t>Path</t>
  </si>
  <si>
    <t>ApplyStatusEffect</t>
  </si>
  <si>
    <t>Status:Dodge</t>
  </si>
  <si>
    <t>turns=-1</t>
  </si>
  <si>
    <t>No</t>
  </si>
  <si>
    <t>Assets/Data/EffectData/Status/Dodge.asset</t>
  </si>
  <si>
    <t>297e32706d67fd44c9bf239d7b885ef8</t>
  </si>
  <si>
    <t>Status:DoubleNextAttack</t>
  </si>
  <si>
    <t>Assets/Data/EffectData/Status/Double Next Attack.asset</t>
  </si>
  <si>
    <t>a1c05e11d2f34b0a9e5c17d40b1e5008</t>
  </si>
  <si>
    <t>Status:DoubleShield</t>
  </si>
  <si>
    <t>Assets/Data/EffectData/Status/Double Shield.asset</t>
  </si>
  <si>
    <t>130a684baa1486a4fb3fe349e9470ff5</t>
  </si>
  <si>
    <t>Status:Frozen</t>
  </si>
  <si>
    <t>Assets/Data/EffectData/Status/Freeze.asset</t>
  </si>
  <si>
    <t>3580edba556b41dfacf7b14e5dc9d88d</t>
  </si>
  <si>
    <t>Status:Lifesteal</t>
  </si>
  <si>
    <t>Assets/Data/EffectData/Status/Lifesteal 1.asset</t>
  </si>
  <si>
    <t>b425a39889a3aae4d9201b882b3cce16</t>
  </si>
  <si>
    <t>Assets/Data/EffectData/Status/Lifesteal 3.asset</t>
  </si>
  <si>
    <t>d923de627cbf8b44597d99bd5e4d399b</t>
  </si>
  <si>
    <t>Status:Unknown(29)</t>
  </si>
  <si>
    <t>Assets/Data/EffectData/Status/Pilfered 1.asset</t>
  </si>
  <si>
    <t>edee9383db4a416b9874e20ac26e3dd4</t>
  </si>
  <si>
    <t>Status:Poison</t>
  </si>
  <si>
    <t>Assets/Data/EffectData/Status/Poison.asset</t>
  </si>
  <si>
    <t>8559e2772957a134bab0efb4dee349f7</t>
  </si>
  <si>
    <t>Assets/Data/EffectData/Status/Poison 2.asset</t>
  </si>
  <si>
    <t>bcae4299ca2f3dc41acf722b1fdc6b13</t>
  </si>
  <si>
    <t>Assets/Data/EffectData/Status/Poison 3.asset</t>
  </si>
  <si>
    <t>f1f83550d8e0b1349b773e5db3dcacc8</t>
  </si>
  <si>
    <t>Assets/Data/EffectData/Status/Poison 4.asset</t>
  </si>
  <si>
    <t>bb990246a9e74a9da9818c57770f9e51</t>
  </si>
  <si>
    <t>Status:PoisonBlade</t>
  </si>
  <si>
    <t>Assets/Data/EffectData/Status/Poison Blade 3.asset</t>
  </si>
  <si>
    <t>c4ef771153264c74986d3776f325b2b9</t>
  </si>
  <si>
    <t>Status:Regeneration</t>
  </si>
  <si>
    <t>Assets/Data/EffectData/Status/Regeneration 4.asset</t>
  </si>
  <si>
    <t>4d1bd12c7bf033444a4796f0743d168b</t>
  </si>
  <si>
    <t>Status:Rooted</t>
  </si>
  <si>
    <t>Assets/Data/EffectData/Status/Root.asset</t>
  </si>
  <si>
    <t>a4d4e3e61e8148469881f4b9e148b125</t>
  </si>
  <si>
    <t>Status:Unknown(30)</t>
  </si>
  <si>
    <t>Assets/Data/EffectData/Status/Sapped 2.asset</t>
  </si>
  <si>
    <t>5a331e2fa71c4a6687739ba391d76e78</t>
  </si>
  <si>
    <t>Status:Stealth</t>
  </si>
  <si>
    <t>Assets/Data/EffectData/Status/Stealth 2.asset</t>
  </si>
  <si>
    <t>40ef0a96df6ebad43984a2f59181911f</t>
  </si>
  <si>
    <t>Strength 1</t>
  </si>
  <si>
    <t>Status:Strength</t>
  </si>
  <si>
    <t>Assets/Data/EffectData/Status/Strength 1.asset</t>
  </si>
  <si>
    <t>179c2953af582bb4fa71ab19178816c1</t>
  </si>
  <si>
    <t>Assets/Data/EffectData/Status/Strength 3.asset</t>
  </si>
  <si>
    <t>a1c05e11d2f34b0a9e5c17d40b1e5007</t>
  </si>
  <si>
    <t>Thorns 3</t>
  </si>
  <si>
    <t>Status:Unknown(26)</t>
  </si>
  <si>
    <t>Assets/Data/EffectData/Status/Thorns 3.asset</t>
  </si>
  <si>
    <t>9aa8a988de3846b38e908229b7cc5d24</t>
  </si>
  <si>
    <t>Status:Vulnerable</t>
  </si>
  <si>
    <t>Assets/Data/EffectData/Status/Vulnerable.asset</t>
  </si>
  <si>
    <t>d96f92b498b41174c8c02c1ba9bf1642</t>
  </si>
  <si>
    <t>Vulnerable 2</t>
  </si>
  <si>
    <t>Assets/Data/EffectData/Status/Vulnerable 2.asset</t>
  </si>
  <si>
    <t>9ff629c383e2c464c84e9cd893cc5435</t>
  </si>
  <si>
    <t>Status:Weaken</t>
  </si>
  <si>
    <t>Assets/Data/EffectData/Status/Weaken.asset</t>
  </si>
  <si>
    <t>fdf8e59b34a6463478b37ed552bf8e09</t>
  </si>
  <si>
    <t>Assets/Data/EffectData/Status/Weaken 2.asset</t>
  </si>
  <si>
    <t>d6e9f9dd9e2d53542b483894b2f681d7</t>
  </si>
  <si>
    <t>BlockEffect</t>
  </si>
  <si>
    <t>legacy blockAmount=0</t>
  </si>
  <si>
    <t>Assets/Data/EffectData/Block/Block 1.asset</t>
  </si>
  <si>
    <t>6ed490ccaf25d284f841904809cfffd9</t>
  </si>
  <si>
    <t>Assets/Data/EffectData/Block/Block 2.asset</t>
  </si>
  <si>
    <t>971d05e67ff19cb49a0c2a6e030045d8</t>
  </si>
  <si>
    <t>Assets/Data/EffectData/Block/Block 3.asset</t>
  </si>
  <si>
    <t>0127534bcea64814bb034e9a43239154</t>
  </si>
  <si>
    <t>Block 4</t>
  </si>
  <si>
    <t>Assets/Data/EffectData/Block/Block 4.asset</t>
  </si>
  <si>
    <t>a836327bb4d2a2e4484474715888ecb1</t>
  </si>
  <si>
    <t>DamageEffect</t>
  </si>
  <si>
    <t>Damage</t>
  </si>
  <si>
    <t>Assets/Data/EffectData/Damage/Damage 1.asset</t>
  </si>
  <si>
    <t>894788a7c2284a7bbab8841b42d5bfb6</t>
  </si>
  <si>
    <t>Assets/Data/EffectData/Damage/Damage 11.asset</t>
  </si>
  <si>
    <t>b9e71ac70ed385e4fb95af962de15f34</t>
  </si>
  <si>
    <t>Assets/Data/EffectData/Damage/Damage 12.asset</t>
  </si>
  <si>
    <t>617d3d1dc022471b961cff06e054c826</t>
  </si>
  <si>
    <t>Assets/Data/EffectData/Damage/Damage 2.asset</t>
  </si>
  <si>
    <t>3d27ea264b552f34f8714152e4dc8b05</t>
  </si>
  <si>
    <t>Assets/Data/EffectData/Damage/Damage 3.asset</t>
  </si>
  <si>
    <t>2b3919664f29705438c0b427d91e208c</t>
  </si>
  <si>
    <t>Assets/Data/EffectData/Damage/Damage 4.asset</t>
  </si>
  <si>
    <t>abee4d4f63fb20347a76a5c8221892f2</t>
  </si>
  <si>
    <t>Assets/Data/EffectData/Damage/Damage 5.asset</t>
  </si>
  <si>
    <t>a1c05e11d2f34b0a9e5c17d40b1e5001</t>
  </si>
  <si>
    <t>Assets/Data/EffectData/Damage/Damage 6.asset</t>
  </si>
  <si>
    <t>5dd8e966162d47a4b990f67e30ce6ae2</t>
  </si>
  <si>
    <t>Assets/Data/EffectData/Damage/Damage 7.asset</t>
  </si>
  <si>
    <t>5e680a6c51d3ffd428265490d6a1e1d8</t>
  </si>
  <si>
    <t>Assets/Data/EffectData/Damage/Damage 8.asset</t>
  </si>
  <si>
    <t>ecb84d8108edde84f8eef282d5a80b23</t>
  </si>
  <si>
    <t>Assets/Data/EffectData/Damage/Damage 9.asset</t>
  </si>
  <si>
    <t>a1c05e11d2f34b0a9e5c17d40b1e5002</t>
  </si>
  <si>
    <t>DrawEffect</t>
  </si>
  <si>
    <t>Draw</t>
  </si>
  <si>
    <t>Assets/Data/EffectData/Draw/Draw 1.asset</t>
  </si>
  <si>
    <t>a1c05e11d2f34b0a9e5c17d40b1e5005</t>
  </si>
  <si>
    <t>HealEffect</t>
  </si>
  <si>
    <t>Assets/Data/EffectData/Heal/Heal 10.asset</t>
  </si>
  <si>
    <t>745a5e7dbc474ea44bacba8f994db823</t>
  </si>
  <si>
    <t>Assets/Data/EffectData/Heal/Heal 12.asset</t>
  </si>
  <si>
    <t>1d0207655da28f945a47eeb072963c63</t>
  </si>
  <si>
    <t>Assets/Data/EffectData/Heal/Heal 3.asset</t>
  </si>
  <si>
    <t>a48f91b26ba42bb429c21cc6cbe3d595</t>
  </si>
  <si>
    <t>Assets/Data/EffectData/Heal/Heal 4.asset</t>
  </si>
  <si>
    <t>916de20ed64d2a44ba85d245b62d13f9</t>
  </si>
  <si>
    <t>Assets/Data/EffectData/Heal/Heal 5.asset</t>
  </si>
  <si>
    <t>0e351cc79beb5e447b515b7584ae9b39</t>
  </si>
  <si>
    <t>Assets/Data/EffectData/Heal/Heal 6.asset</t>
  </si>
  <si>
    <t>49e20f661502a2941920955df78d8195</t>
  </si>
  <si>
    <t>Assets/Data/EffectData/Heal/Heal 7.asset</t>
  </si>
  <si>
    <t>150aa55a9b06a1c4d9230c8df592192d</t>
  </si>
  <si>
    <t>Heal 9</t>
  </si>
  <si>
    <t>Assets/Data/EffectData/Heal/Heal 9.asset</t>
  </si>
  <si>
    <t>a1c05e11d2f34b0a9e5c17d40b1e5006</t>
  </si>
  <si>
    <t>MoveEffect</t>
  </si>
  <si>
    <t>Assets/Data/EffectData/Move.asset</t>
  </si>
  <si>
    <t>d537771370c9446baed97512da971480</t>
  </si>
  <si>
    <t>ParryEffect</t>
  </si>
  <si>
    <t>Assets/Data/EffectData/Status/Parry 1.asset</t>
  </si>
  <si>
    <t>8dec97316b8344c796239e2f86af1374</t>
  </si>
  <si>
    <t>ShieldEffect</t>
  </si>
  <si>
    <t>Assets/Data/EffectData/Shield/Shield 10.asset</t>
  </si>
  <si>
    <t>dae4490a1d0b1894482f41e08603a61c</t>
  </si>
  <si>
    <t>Assets/Data/EffectData/Shield/Shield 11.asset</t>
  </si>
  <si>
    <t>b28aff529c4c6c749afb5bf6e2abdd6a</t>
  </si>
  <si>
    <t>Assets/Data/EffectData/Shield/Shield 12.asset</t>
  </si>
  <si>
    <t>d2ab19f3ddbda9f458205f5930891820</t>
  </si>
  <si>
    <t>Assets/Data/EffectData/Shield/Shield 3.asset</t>
  </si>
  <si>
    <t>a1c05e11d2f34b0a9e5c17d40b1e5004</t>
  </si>
  <si>
    <t>Assets/Data/EffectData/Shield/Shield 4.asset</t>
  </si>
  <si>
    <t>9689beead1719f345a1e84739665228e</t>
  </si>
  <si>
    <t>Assets/Data/EffectData/Shield/Shield 5.asset</t>
  </si>
  <si>
    <t>a1c05e11d2f34b0a9e5c17d40b1e5003</t>
  </si>
  <si>
    <t>Assets/Data/EffectData/Shield/Shield 6.asset</t>
  </si>
  <si>
    <t>4afce182a013ac0499fbfa98a280bafb</t>
  </si>
  <si>
    <t>Assets/Data/EffectData/Shield/Shield 7.asset</t>
  </si>
  <si>
    <t>fb89cb613dac65a48827a7977d393398</t>
  </si>
  <si>
    <t>Assets/Data/EffectData/Shield/Shield 8.asset</t>
  </si>
  <si>
    <t>d0f2e2265a8468b468d7cb64dcbd96ad</t>
  </si>
  <si>
    <t>Assets/Data/EffectData/Shield/Shield 9.asset</t>
  </si>
  <si>
    <t>d5a397987a59a3349a4ea5c2a2e27f07</t>
  </si>
  <si>
    <t>SummonEffect</t>
  </si>
  <si>
    <t>12716135eb9ba744486bb34cd3b576d2</t>
  </si>
  <si>
    <t>Assets/Data/EffectData/Summon/SummonAegisTotem.asset</t>
  </si>
  <si>
    <t>a8621744cbb9c6d47b2aebdc574e5b63</t>
  </si>
  <si>
    <t>aa36caad95167e049a7e31d9cfff36f6</t>
  </si>
  <si>
    <t>Assets/Data/EffectData/Summon/SummonAnvilTotem.asset</t>
  </si>
  <si>
    <t>11668732e05037344b956762cb9a46d2</t>
  </si>
  <si>
    <t>59df727e2f4fec149bbff1700643786f</t>
  </si>
  <si>
    <t>Assets/Data/EffectData/Summon/SummonBastionTotem.asset</t>
  </si>
  <si>
    <t>ad920d8b007cd6f4b8e8aa9f2ceb7c6c</t>
  </si>
  <si>
    <t>51cc0c0b40e7b264ebdf1dc4594559a6</t>
  </si>
  <si>
    <t>Assets/Data/EffectData/Summon/SummonBatMinion.asset</t>
  </si>
  <si>
    <t>78bcfc8f964d598488b7ad9526adb34e</t>
  </si>
  <si>
    <t>07e8451c51bb65546808aa387bb8bd7e</t>
  </si>
  <si>
    <t>Assets/Data/EffectData/Summon/SummonBeaconTotem.asset</t>
  </si>
  <si>
    <t>704823e45e84b924e9b2278d1c90595f</t>
  </si>
  <si>
    <t>6904b7a67f4703440bbd3dec1c996b20</t>
  </si>
  <si>
    <t>Assets/Data/EffectData/Summon/SummonBindingTotem.asset</t>
  </si>
  <si>
    <t>928d31f7044a02c4bb19c4e98a82a4bb</t>
  </si>
  <si>
    <t>d9bd710eeeb9bf34fa521626fbfdb526</t>
  </si>
  <si>
    <t>Assets/Data/EffectData/Summon/SummonBloodmoonTotem.asset</t>
  </si>
  <si>
    <t>9912c48d006d97748b7543cce90de911</t>
  </si>
  <si>
    <t>867cd3747eb2e3f4686bfffb94e2efcc</t>
  </si>
  <si>
    <t>Assets/Data/EffectData/Summon/SummonBloodpactTotem.asset</t>
  </si>
  <si>
    <t>e9fb0ed2c0e4ecb46a71a5a814946157</t>
  </si>
  <si>
    <t>e1d4646adb9535041890f40a911cb169</t>
  </si>
  <si>
    <t>Assets/Data/EffectData/Summon/SummonBloomTotem.asset</t>
  </si>
  <si>
    <t>b411bd8d98eae524d8de5274567a3e65</t>
  </si>
  <si>
    <t>244f38522011b184a9ac6fa1011c3518</t>
  </si>
  <si>
    <t>Assets/Data/EffectData/Summon/SummonBulwarkTotem.asset</t>
  </si>
  <si>
    <t>0861a0d7b70789242b177197be7a4c66</t>
  </si>
  <si>
    <t>e3fe7596597b2de469dc144ca54bb0d2</t>
  </si>
  <si>
    <t>Assets/Data/EffectData/Summon/SummonChaosTotem.asset</t>
  </si>
  <si>
    <t>dd02906595f5d2a408fe1d50b29dea97</t>
  </si>
  <si>
    <t>b0193ce96e424d642880f2ca0a83ed70</t>
  </si>
  <si>
    <t>Assets/Data/EffectData/Summon/SummonChapelTotem.asset</t>
  </si>
  <si>
    <t>d56010c2748f8f94ebd49e93441c6b58</t>
  </si>
  <si>
    <t>5f0e43b32b402dd45b657e2df75f095b</t>
  </si>
  <si>
    <t>Assets/Data/EffectData/Summon/SummonConduitTotem.asset</t>
  </si>
  <si>
    <t>7e6653e35fef2104c93835dba1eadc5c</t>
  </si>
  <si>
    <t>8739db4ace66d144bb7fd2cb434742fa</t>
  </si>
  <si>
    <t>Assets/Data/EffectData/Summon/SummonContagionTotem.asset</t>
  </si>
  <si>
    <t>db2710c080b2cfd4b84c37f51ccaf1f0</t>
  </si>
  <si>
    <t>89892b485e7ba8f47a381450a50e8939</t>
  </si>
  <si>
    <t>Assets/Data/EffectData/Summon/SummonCurseTotem.asset</t>
  </si>
  <si>
    <t>048327218bf831e48bb0196131da39ae</t>
  </si>
  <si>
    <t>a85ac239166c61f4692163abc7c9f133</t>
  </si>
  <si>
    <t>Assets/Data/EffectData/Summon/SummonDecoyTotem.asset</t>
  </si>
  <si>
    <t>60ef60c54a389464d8848c2efb84ea5c</t>
  </si>
  <si>
    <t>bd21e01455c52e147a82a100f4bd215f</t>
  </si>
  <si>
    <t>Assets/Data/EffectData/Summon/SummonDrawTotem.asset</t>
  </si>
  <si>
    <t>f9472918083056948af20d0ab25b22fb</t>
  </si>
  <si>
    <t>7bebaa07c27171848a720a9031f869f8</t>
  </si>
  <si>
    <t>Assets/Data/EffectData/Summon/SummonEchoTotem.asset</t>
  </si>
  <si>
    <t>9c3dc4000bf257c4a92337977ac639a0</t>
  </si>
  <si>
    <t>014f64ac45bd4dc4b98a719851444ae1</t>
  </si>
  <si>
    <t>Assets/Data/EffectData/Summon/SummonEnfeebleTotem.asset</t>
  </si>
  <si>
    <t>5b0e95da61f5b2d44b11e15dc7f2aab2</t>
  </si>
  <si>
    <t>f05729a8c50210b4da3516af22eb7648</t>
  </si>
  <si>
    <t>Assets/Data/EffectData/Summon/SummonFortuneTotem.asset</t>
  </si>
  <si>
    <t>df4b124de793781439c3ed74c854bc79</t>
  </si>
  <si>
    <t>5854e1bde56839843922d6c922d39f6b</t>
  </si>
  <si>
    <t>Assets/Data/EffectData/Summon/SummonFractureTotem.asset</t>
  </si>
  <si>
    <t>4bb83b63ae1f8284caf9c716b5bfab77</t>
  </si>
  <si>
    <t>f349f61c7b0c74b4380eb09ea5c57fe6</t>
  </si>
  <si>
    <t>Assets/Data/EffectData/Summon/SummonFuryTotem.asset</t>
  </si>
  <si>
    <t>e1f5e7303b03618478ed985d346abe25</t>
  </si>
  <si>
    <t>85f1dba86a89b8c4ebc357a37eb86b03</t>
  </si>
  <si>
    <t>Assets/Data/EffectData/Summon/SummonGhoststepTotem.asset</t>
  </si>
  <si>
    <t>7bd5d0aefeb88d34db66b70f3b598142</t>
  </si>
  <si>
    <t>fe7fe8169a3ae3f4ab1463af48263a1a</t>
  </si>
  <si>
    <t>Assets/Data/EffectData/Summon/SummonGoblinMinion.asset</t>
  </si>
  <si>
    <t>d2522362b705ee04793e9e272f86db85</t>
  </si>
  <si>
    <t>bd16749d83927fc438eaebc144da80ce</t>
  </si>
  <si>
    <t>Assets/Data/EffectData/Summon/SummonHealTotem.asset</t>
  </si>
  <si>
    <t>ebd36a78a7bbe934a9eb00eeb316f283</t>
  </si>
  <si>
    <t>abb6f217c283d344999e3f27fa36640f</t>
  </si>
  <si>
    <t>Assets/Data/EffectData/Summon/SummonHeavyBanditMinion.asset</t>
  </si>
  <si>
    <t>8722fc7be9f06e049899fd25e745386e</t>
  </si>
  <si>
    <t>e5dee8c4021219948baab3804a4e5f0a</t>
  </si>
  <si>
    <t>Assets/Data/EffectData/Summon/SummonHexTotem.asset</t>
  </si>
  <si>
    <t>b336238d627240e46aa8de19df97a692</t>
  </si>
  <si>
    <t>41015c36ab5acca45a3efdcf6c85e152</t>
  </si>
  <si>
    <t>Assets/Data/EffectData/Summon/SummonLeechTotem.asset</t>
  </si>
  <si>
    <t>1435c27c2517a3f4aaf386bd06d4d68a</t>
  </si>
  <si>
    <t>df52b2ab92f38fd4eb6d6064e8197a56</t>
  </si>
  <si>
    <t>Assets/Data/EffectData/Summon/SummonLightBanditMinion.asset</t>
  </si>
  <si>
    <t>3a9b81416405e0f49bfa1c146890eb43</t>
  </si>
  <si>
    <t>a51c8dc293b83794e9a8744ab724f148</t>
  </si>
  <si>
    <t>Assets/Data/EffectData/Summon/SummonLodestoneTotem.asset</t>
  </si>
  <si>
    <t>9cac754848a266d46b5b73446a3f6463</t>
  </si>
  <si>
    <t>7c9482d1b7d982c43a0d7a704d6fbf37</t>
  </si>
  <si>
    <t>Assets/Data/EffectData/Summon/SummonMomentumTotem.asset</t>
  </si>
  <si>
    <t>66956f63584e3ca4a9eb60e9ddde9c12</t>
  </si>
  <si>
    <t>cffb630e9ce4c0f4798ae3e294d1d8e8</t>
  </si>
  <si>
    <t>Assets/Data/EffectData/Summon/SummonPebbleMinion.asset</t>
  </si>
  <si>
    <t>781f12626b344ba4e835182856d1fc4d</t>
  </si>
  <si>
    <t>5629ae853d48ec548bf170f5409ce44b</t>
  </si>
  <si>
    <t>Assets/Data/EffectData/Summon/SummonRallyTotem.asset</t>
  </si>
  <si>
    <t>cbbc82cd8cb0fab4da0348be1452b4ee</t>
  </si>
  <si>
    <t>a5bfbda97f1f02142b9b515530161fea</t>
  </si>
  <si>
    <t>Assets/Data/EffectData/Summon/SummonRampartTotem.asset</t>
  </si>
  <si>
    <t>53dd2ae0532c44d408d8037e25d56795</t>
  </si>
  <si>
    <t>60af709af94b2b443a1bd303bb9ea6bf</t>
  </si>
  <si>
    <t>Assets/Data/EffectData/Summon/SummonReinforceTotem.asset</t>
  </si>
  <si>
    <t>0009b8ac8f196da4db7844eaaf3a5cf4</t>
  </si>
  <si>
    <t>abfb02279f0670a43905ae44539108f3</t>
  </si>
  <si>
    <t>Assets/Data/EffectData/Summon/SummonRotTotem.asset</t>
  </si>
  <si>
    <t>e5fd4091c75596a4dba5f4405b2d7cbd</t>
  </si>
  <si>
    <t>e61b0150c0ffdae419d59d0aee350345</t>
  </si>
  <si>
    <t>Assets/Data/EffectData/Summon/SummonRuinTotem.asset</t>
  </si>
  <si>
    <t>4af6803836ba7a94ca6361d496d2046b</t>
  </si>
  <si>
    <t>a9d57fefdf868f54398f346fd0575696</t>
  </si>
  <si>
    <t>Assets/Data/EffectData/Summon/SummonSanctuaryTotem.asset</t>
  </si>
  <si>
    <t>3ad0f2f7f13b031418f1b4b8515def85</t>
  </si>
  <si>
    <t>77ec68d5e840a8041a9d3725787d10bc</t>
  </si>
  <si>
    <t>Assets/Data/EffectData/Summon/SummonSapTotem.asset</t>
  </si>
  <si>
    <t>5d0a5572b291a164aaab4b316700e849</t>
  </si>
  <si>
    <t>e34aae6e351ac30409cb496af5d7b10e</t>
  </si>
  <si>
    <t>Assets/Data/EffectData/Summon/SummonScholarTotem.asset</t>
  </si>
  <si>
    <t>10613da607ac13c4b8b7c6fd85be5927</t>
  </si>
  <si>
    <t>b8b13a8093855ce409fdc3d29cf643cb</t>
  </si>
  <si>
    <t>Assets/Data/EffectData/Summon/SummonSentinelTotem.asset</t>
  </si>
  <si>
    <t>231d8e21d8c86e3409649536abdf3d1c</t>
  </si>
  <si>
    <t>186a102a5523e8f449e1ad217f7b70bf</t>
  </si>
  <si>
    <t>Assets/Data/EffectData/Summon/SummonShackleTotem.asset</t>
  </si>
  <si>
    <t>4843bde5ff9410248b925940e698204b</t>
  </si>
  <si>
    <t>eaade4b777fd45447af03588cf3692e5</t>
  </si>
  <si>
    <t>Assets/Data/EffectData/Summon/SummonSkeletonAlly.asset</t>
  </si>
  <si>
    <t>545e2b9ae6b7b18478dbae2045f523c0</t>
  </si>
  <si>
    <t>909b3cba860296d47997ee7846ec93f8</t>
  </si>
  <si>
    <t>Assets/Data/EffectData/Summon/SummonSkeletonMinion.asset</t>
  </si>
  <si>
    <t>12c0a43a239292048873e9a2e6e075d8</t>
  </si>
  <si>
    <t>d1b7793de9d268945bdf70cf0af39a94</t>
  </si>
  <si>
    <t>Assets/Data/EffectData/Summon/SummonSkeletonWarrior.asset</t>
  </si>
  <si>
    <t>135d0d26bd99e5048a638aa4fb759c76</t>
  </si>
  <si>
    <t>7902e6bd6fe8b444eab36cf00a8771be</t>
  </si>
  <si>
    <t>Assets/Data/EffectData/Summon/SummonSlimeMinion.asset</t>
  </si>
  <si>
    <t>d5b4840db7093694dabf8b87898cc2c5</t>
  </si>
  <si>
    <t>4e73ba03086e53e4d9144f88aa88d94d</t>
  </si>
  <si>
    <t>Assets/Data/EffectData/Summon/SummonSpikeTotem.asset</t>
  </si>
  <si>
    <t>29261cf7d2a400e479647a83a74f4653</t>
  </si>
  <si>
    <t>bcaefedc34ea9fd4b813279700de9077</t>
  </si>
  <si>
    <t>Assets/Data/EffectData/Summon/SummonSpringTotem.asset</t>
  </si>
  <si>
    <t>3cef8af31f2e10649b534488e3f16421</t>
  </si>
  <si>
    <t>501b213d051fffe40adf96ce0a789c9d</t>
  </si>
  <si>
    <t>Assets/Data/EffectData/Summon/SummonThornwoodTotem.asset</t>
  </si>
  <si>
    <t>c7438cbff44e5fe489ee69a7caa8d91c</t>
  </si>
  <si>
    <t>aaaa1116bbbb2227cccc3338dddd4449</t>
  </si>
  <si>
    <t>Assets/Data/EffectData/Summon/SummonTotem.asset</t>
  </si>
  <si>
    <t>aaaa1117bbbb2228cccc3339dddd444a</t>
  </si>
  <si>
    <t>d84cc43319b02c842a7f86868288fab1</t>
  </si>
  <si>
    <t>Assets/Data/EffectData/Summon/SummonTowerTotem.asset</t>
  </si>
  <si>
    <t>67493a05afd63804db211121d5d02613</t>
  </si>
  <si>
    <t>bc995efa42578a14a80903a264866b0b</t>
  </si>
  <si>
    <t>Assets/Data/EffectData/Summon/SummonTwinTotem.asset</t>
  </si>
  <si>
    <t>0f55b0a1ab4867249ada2684aa48fcb2</t>
  </si>
  <si>
    <t>394972bb01a53e44783d5d4ae4d74b7a</t>
  </si>
  <si>
    <t>Assets/Data/EffectData/Summon/SummonVeilTotem.asset</t>
  </si>
  <si>
    <t>08ecc181ec7cb894593829920ff93e02</t>
  </si>
  <si>
    <t>5f03c0a3129575f4eb2015411c605ede</t>
  </si>
  <si>
    <t>Assets/Data/EffectData/Summon/SummonVenombladeTotem.asset</t>
  </si>
  <si>
    <t>e094161cf47dba24c86eaed8ac596d11</t>
  </si>
  <si>
    <t>26adeaa60cdf0c148a1a8312f7ef7135</t>
  </si>
  <si>
    <t>Assets/Data/EffectData/Summon/SummonVenomTotem.asset</t>
  </si>
  <si>
    <t>129c00adec80a624cb64cb9b8d662c94</t>
  </si>
  <si>
    <t>793cbbc1c16b78446a26ca733466b200</t>
  </si>
  <si>
    <t>Assets/Data/EffectData/Summon/SummonWarcryTotem.asset</t>
  </si>
  <si>
    <t>e6d657e3c566b514ba079d54a49b81fa</t>
  </si>
  <si>
    <t>d0073d0c2e05ff54896cd7c6d1bd56b9</t>
  </si>
  <si>
    <t>Assets/Data/EffectData/Summon/SummonWarhornTotem.asset</t>
  </si>
  <si>
    <t>18fc004060d90db41a6eb1dfab4615f0</t>
  </si>
  <si>
    <t>c84cb1be61cb8d34b87a46ddb87dba7d</t>
  </si>
  <si>
    <t>Assets/Data/EffectData/Summon/SummonWarlordTotem.asset</t>
  </si>
  <si>
    <t>a646812e46614d747b7582ca00140156</t>
  </si>
  <si>
    <t>92011859c17b42849b96599cf6f97ec4</t>
  </si>
  <si>
    <t>Assets/Data/EffectData/Summon/SummonWellheadTotem.asset</t>
  </si>
  <si>
    <t>bd6c35eced34f094aab169593629d41b</t>
  </si>
  <si>
    <t>67e5d6e10315a304b8fcadd6e3c6a5e4</t>
  </si>
  <si>
    <t>Assets/Data/EffectData/Summon/SummonWellspringTotem.asset</t>
  </si>
  <si>
    <t>36890c812bfd02544bef6a29b34eb9aa</t>
  </si>
  <si>
    <t>d21edbaded8f4a44d89334d8007b14aa</t>
  </si>
  <si>
    <t>Assets/Data/EffectData/Summon/SummonWhetstoneTotem.asset</t>
  </si>
  <si>
    <t>8b48c7703c5acc54685aaaeaacbfb168</t>
  </si>
  <si>
    <t>TauntEffect</t>
  </si>
  <si>
    <t>Assets/Data/EffectData/Status/Taunt.asset</t>
  </si>
  <si>
    <t>7d286e3e54b5ca940b330c157d137531</t>
  </si>
  <si>
    <t>Cone3</t>
  </si>
  <si>
    <t>EffectPattern</t>
  </si>
  <si>
    <t>Pattern</t>
  </si>
  <si>
    <t>5x3 grid, 5 painted</t>
  </si>
  <si>
    <t>n/a</t>
  </si>
  <si>
    <t>Assets/Data/EffectData/Patterns/Cone3.asset</t>
  </si>
  <si>
    <t>df31fd0783da2c642bc5ee38e3754ecc</t>
  </si>
  <si>
    <t>Wall3</t>
  </si>
  <si>
    <t>3x1 grid, 3 painted</t>
  </si>
  <si>
    <t>Assets/Data/EffectData/Patterns/Wall3.asset</t>
  </si>
  <si>
    <t>8f79c6a0cdb32114494d00fc261c76fd</t>
  </si>
  <si>
    <t>X-Pattern</t>
  </si>
  <si>
    <t>5x5 grid, 8 painted</t>
  </si>
  <si>
    <t>Assets/Data/EffectData/Patterns/X-Pattern.asset</t>
  </si>
  <si>
    <t>f9590943e326bbd449fee5d0524498a6</t>
  </si>
  <si>
    <t>Deck</t>
  </si>
  <si>
    <t>For</t>
  </si>
  <si>
    <t>Card</t>
  </si>
  <si>
    <t>Count</t>
  </si>
  <si>
    <t>Locked</t>
  </si>
  <si>
    <t>ClericStarter</t>
  </si>
  <si>
    <t>ClericTest</t>
  </si>
  <si>
    <t>ClericTutorial</t>
  </si>
  <si>
    <t>KnightStarter</t>
  </si>
  <si>
    <t>KnightTest</t>
  </si>
  <si>
    <t>KnightTutorial</t>
  </si>
  <si>
    <t>MageStarter</t>
  </si>
  <si>
    <t>MageTest</t>
  </si>
  <si>
    <t>RogueStarter</t>
  </si>
  <si>
    <t>RogueTest</t>
  </si>
  <si>
    <t>Type</t>
  </si>
  <si>
    <t>Title</t>
  </si>
  <si>
    <t>Body</t>
  </si>
  <si>
    <t>Terms</t>
  </si>
  <si>
    <t>Default Stacks</t>
  </si>
  <si>
    <t>Default Amount</t>
  </si>
  <si>
    <t>Edit Title, Body and Terms here, then run Import-CardSheet.ps1 and sync in Unity.</t>
  </si>
  <si>
    <t>Strength</t>
  </si>
  <si>
    <t>STRENGTH</t>
  </si>
  <si>
    <t>Adds 3 damage to the next {stacks} attacks.</t>
  </si>
  <si>
    <t>Body keeps its {stacks} / {amount} / {magnitude} placeholders - they are filled from the character's live status when the tooltip is drawn, so one sentence reads correctly for Parry 2 and Parry 7 alike. A shaded Body cell has no placeholder left in it.</t>
  </si>
  <si>
    <t>DoubleNextAttack</t>
  </si>
  <si>
    <t>DOUBLE ATTACK</t>
  </si>
  <si>
    <t>The next {stacks} attack this character makes deals double damage.</t>
  </si>
  <si>
    <t>Double Attack, Double Next Attack</t>
  </si>
  <si>
    <t>Terms are the words that become hoverable inside a card description, comma separated. Leave blank to use the Type name itself. Add variants the name does not cover - "Poisoned" for Poison.</t>
  </si>
  <si>
    <t>POISON</t>
  </si>
  <si>
    <t>Deals damage equal to {stacks} at the end of the turn.</t>
  </si>
  <si>
    <t>Poison, Poisoned</t>
  </si>
  <si>
    <t>A row with a blank Title and Body has no tooltip authored yet. Fill both in and sync to create one - the importer ignores rows left blank.</t>
  </si>
  <si>
    <t>Frozen</t>
  </si>
  <si>
    <t>FROZEN</t>
  </si>
  <si>
    <t>Cannot act for {stacks} turns.</t>
  </si>
  <si>
    <t>Frozen, Freeze</t>
  </si>
  <si>
    <t>SHIELD</t>
  </si>
  <si>
    <t>Absorbs the next {stacks} damage. Only lasts for this turn.</t>
  </si>
  <si>
    <t>BLOCK</t>
  </si>
  <si>
    <t>Reduces damage taken by {amount} for {stacks} turns</t>
  </si>
  <si>
    <t>PARRY</t>
  </si>
  <si>
    <t>Negates all damage and reflects the damage back for the next {stacks} turns.</t>
  </si>
  <si>
    <t>Rooted</t>
  </si>
  <si>
    <t>ROOTED</t>
  </si>
  <si>
    <t>This character is unable to use move actions for {stacks} turns.</t>
  </si>
  <si>
    <t>Rooted, Root</t>
  </si>
  <si>
    <t>DoubleShield</t>
  </si>
  <si>
    <t>DOUBLE SHIELD</t>
  </si>
  <si>
    <t>The next {stacks} Shields this character gains is doubled.</t>
  </si>
  <si>
    <t>DODGE</t>
  </si>
  <si>
    <t>Dodges the next attack and moves away. Lasts for the next {stacks} turns.</t>
  </si>
  <si>
    <t>WEAKEN</t>
  </si>
  <si>
    <t>Reduces the damage dealt by this character for the next {stacks} turns.</t>
  </si>
  <si>
    <t>TAUNT</t>
  </si>
  <si>
    <t>This character must move toward or attack the source of the Taunt for {stacks} turns.</t>
  </si>
  <si>
    <t>PoisonBlade</t>
  </si>
  <si>
    <t>POISON BLADE</t>
  </si>
  <si>
    <t>For {stacks} more turns, every attack this character lands also applies {amount} Poison.</t>
  </si>
  <si>
    <t>STEALTH</t>
  </si>
  <si>
    <t>Enemies cannot target this character for {stacks} turns.</t>
  </si>
  <si>
    <t>VULNERABLE</t>
  </si>
  <si>
    <t>Increase the damage taken by 3 for the next {stacks} turns.</t>
  </si>
  <si>
    <t>GainMultiplier</t>
  </si>
  <si>
    <t>EMPOWERED</t>
  </si>
  <si>
    <t>Multiplies {status} granted to all {targets} in range by {amount}.</t>
  </si>
  <si>
    <t>Potency</t>
  </si>
  <si>
    <t>POTENT</t>
  </si>
  <si>
    <t>Adds {amount} to the potency of {status} for all {targets} in range.</t>
  </si>
  <si>
    <t>TurnTick</t>
  </si>
  <si>
    <t>STANDING WARD</t>
  </si>
  <si>
    <t>Grants {amount} {status} to all {targets} in range {timing}.</t>
  </si>
  <si>
    <t>Summoned</t>
  </si>
  <si>
    <t>SUMMONED</t>
  </si>
  <si>
    <t>Will die in {stacks} turns.</t>
  </si>
  <si>
    <t>Regeneration</t>
  </si>
  <si>
    <t>REGENERATION</t>
  </si>
  <si>
    <t>Heals {stacks} at the end of each of the carrier's turns, then decays by 1.</t>
  </si>
  <si>
    <t>Lifesteal</t>
  </si>
  <si>
    <t>LIFESTEAL</t>
  </si>
  <si>
    <t>For {stacks} more of the carrier's turns, every hit it lands also heals it for half the damage dealt, rounded up.</t>
  </si>
  <si>
    <t>Unknown(22)</t>
  </si>
  <si>
    <t>HONED</t>
  </si>
  <si>
    <t>All {targets} in range deal {amount} more damage.</t>
  </si>
  <si>
    <t>Unknown(23)</t>
  </si>
  <si>
    <t>SHELTERED</t>
  </si>
  <si>
    <t>All {targets} in range take {amount} less damage.</t>
  </si>
  <si>
    <t>Unknown(24)</t>
  </si>
  <si>
    <t>BOLSTERED</t>
  </si>
  <si>
    <t>Adds {amount} to {status} granted to all {targets} in range.</t>
  </si>
  <si>
    <t>Unknown(25)</t>
  </si>
  <si>
    <t>WARDED</t>
  </si>
  <si>
    <t>Immune to one status at a time. Which one rotates at the end of each of this character's turns.</t>
  </si>
  <si>
    <t>Unknown(26)</t>
  </si>
  <si>
    <t>THORNS</t>
  </si>
  <si>
    <t>Attackers take {stacks} damage whenever they hit this character. Does not wear off.</t>
  </si>
  <si>
    <t>Unknown(27)</t>
  </si>
  <si>
    <t>SPLITTING</t>
  </si>
  <si>
    <t>Splits into two at half health, with the remaining health shared between them.</t>
  </si>
  <si>
    <t>Unknown(28)</t>
  </si>
  <si>
    <t>ESCAPING</t>
  </si>
  <si>
    <t>Blinks to the far side of the board each time its health falls past another threshold.</t>
  </si>
  <si>
    <t>Unknown(29)</t>
  </si>
  <si>
    <t>PILFERED</t>
  </si>
  <si>
    <t>Discards a card at random at the start of each of the next {stacks} turns.</t>
  </si>
  <si>
    <t>Unknown(30)</t>
  </si>
  <si>
    <t>SAPPED</t>
  </si>
  <si>
    <t>1 less energy each turn for {stacks} turns.</t>
  </si>
  <si>
    <t>Keyword</t>
  </si>
  <si>
    <t>INNATE</t>
  </si>
  <si>
    <t>Always in hand. Never enters the draw or discard pile.</t>
  </si>
  <si>
    <t>Cooldown</t>
  </si>
  <si>
    <t>COOLDOWN</t>
  </si>
  <si>
    <t>Unusable for {magnitude} turns after it is played.</t>
  </si>
  <si>
    <t>Dormant</t>
  </si>
  <si>
    <t>DORMANT</t>
  </si>
  <si>
    <t>Unusable for {magnitude} turns after you gain it.</t>
  </si>
  <si>
    <t>Interruptible</t>
  </si>
  <si>
    <t>INTERRUPTIBLE</t>
  </si>
  <si>
    <t>Freezing this character while it is winding this up knocks the card out for {magnitude} turns.</t>
  </si>
  <si>
    <t>Rebound</t>
  </si>
  <si>
    <t>Enemy Tiles</t>
  </si>
  <si>
    <t>Ally Tiles</t>
  </si>
  <si>
    <t>Block Total</t>
  </si>
  <si>
    <t>Poison Total</t>
  </si>
  <si>
    <t>Combo</t>
  </si>
  <si>
    <t>Summons</t>
  </si>
  <si>
    <t>Control</t>
  </si>
  <si>
    <t>Quantifiable</t>
  </si>
  <si>
    <t>Power</t>
  </si>
  <si>
    <t>Power/Energy</t>
  </si>
  <si>
    <t>Expected</t>
  </si>
  <si>
    <t>Delta</t>
  </si>
  <si>
    <t>Flag</t>
  </si>
  <si>
    <t>Issues</t>
  </si>
  <si>
    <t>Pw Common</t>
  </si>
  <si>
    <t>Pw Uncommon</t>
  </si>
  <si>
    <t>Pw Rare</t>
  </si>
  <si>
    <t>Pw Legendary</t>
  </si>
  <si>
    <t>Eff Knight</t>
  </si>
  <si>
    <t>Eff Mage</t>
  </si>
  <si>
    <t>Eff Rogue</t>
  </si>
  <si>
    <t>Exp Plot</t>
  </si>
  <si>
    <t>Pw Idea</t>
  </si>
  <si>
    <t>Eff Cleric</t>
  </si>
  <si>
    <t>Partial</t>
  </si>
  <si>
    <t>BloodmoonTotem [Chebyshev 0-2]: Strength 2 aura</t>
  </si>
  <si>
    <t>ThornwoodTotem [Chebyshev 0-2]: Damage 3 on trigger</t>
  </si>
  <si>
    <t>WhetstoneTotem [Chebyshev 0-2]: Unknown(22) 1 aura</t>
  </si>
  <si>
    <t>Unknown(22) aura</t>
  </si>
  <si>
    <t>AnvilTotem [Chebyshev 0-2]: TurnTick 1 aura</t>
  </si>
  <si>
    <t>TurnTick aura</t>
  </si>
  <si>
    <t>FuryTotem [Chebyshev 0-2]: Strength 1 aura</t>
  </si>
  <si>
    <t>LodestoneTotem [Chebyshev 0-2]: Taunt 1 aura</t>
  </si>
  <si>
    <t>Taunt aura</t>
  </si>
  <si>
    <t>MomentumTotem [Chebyshev 0-2]: Strength 1 on trigger</t>
  </si>
  <si>
    <t>RallyTotem [Chebyshev 0-2]: TurnTick 1 aura</t>
  </si>
  <si>
    <t>Totem [Chebyshev 0-2]: Shield 3 on trigger</t>
  </si>
  <si>
    <t>TowerTotem [Chebyshev 0-2]: Unknown(24) 1 aura</t>
  </si>
  <si>
    <t>Unknown(24) aura</t>
  </si>
  <si>
    <t>TwinTotem [Chebyshev 0-1]: DoubleNextAttack 1 aura</t>
  </si>
  <si>
    <t>DoubleNextAttack aura</t>
  </si>
  <si>
    <t>WarhornTotem [Chebyshev 0-2]: Draw 1 on trigger</t>
  </si>
  <si>
    <t>ChaosTotem [Chebyshev 0-2]: Vulnerable 2 aura</t>
  </si>
  <si>
    <t>Vulnerable aura</t>
  </si>
  <si>
    <t>BindingTotem [Chebyshev 0-2]: GainMultiplier 1 aura</t>
  </si>
  <si>
    <t>GainMultiplier aura</t>
  </si>
  <si>
    <t>ConduitTotem [Chebyshev 0-2]: Draw 1 on trigger</t>
  </si>
  <si>
    <t>CurseTotem [Chebyshev 0-2]: GainMultiplier 1 aura</t>
  </si>
  <si>
    <t>EnfeebleTotem [Chebyshev 0-2]: Potency 1 aura</t>
  </si>
  <si>
    <t>Potency aura</t>
  </si>
  <si>
    <t>FractureTotem [Chebyshev 0-2]: Vulnerable 2 aura</t>
  </si>
  <si>
    <t>HexTotem [Chebyshev 0-2]: GainMultiplier 1 aura</t>
  </si>
  <si>
    <t>RuinTotem [Chebyshev 0-2]: Potency 1 aura</t>
  </si>
  <si>
    <t>SapTotem [Chebyshev 0-2]: Weaken 2 aura</t>
  </si>
  <si>
    <t>ScholarTotem [Chebyshev 0-2]: Energy 1 on trigger</t>
  </si>
  <si>
    <t>EnergyEffect</t>
  </si>
  <si>
    <t>ShackleTotem [Chebyshev 0-2]: TurnTick 1 aura</t>
  </si>
  <si>
    <t>DrawTotem [Chebyshev 0-2]: Draw 1 on trigger</t>
  </si>
  <si>
    <t>class 'Any' does not match Rogue/ folder</t>
  </si>
  <si>
    <t>DecoyTotem [Chebyshev 0-3]: Taunt 1 aura</t>
  </si>
  <si>
    <t>ContagionTotem [Chebyshev 0-2]: GainMultiplier 1 aura</t>
  </si>
  <si>
    <t>FortuneTotem [Chebyshev 0-2]: GainMultiplier 1 aura</t>
  </si>
  <si>
    <t>GhoststepTotem [Chebyshev 0-2]: TurnTick 1 aura</t>
  </si>
  <si>
    <t>LeechTotem [Chebyshev 0-2]: Lifesteal 1 aura</t>
  </si>
  <si>
    <t>Lifesteal aura</t>
  </si>
  <si>
    <t>RotTotem [Chebyshev 0-2]: TurnTick 1 aura</t>
  </si>
  <si>
    <t>SpikeTotem [Chebyshev 0-2]: Damage 2 on trigger</t>
  </si>
  <si>
    <t>VeilTotem [Chebyshev 0-2]: Stealth 1 aura</t>
  </si>
  <si>
    <t>Stealth aura</t>
  </si>
  <si>
    <t>VenomTotem [Chebyshev 0-2]: TurnTick 1 aura</t>
  </si>
  <si>
    <t>VenombladeTotem [Chebyshev 0-2]: PoisonBlade 1 aura</t>
  </si>
  <si>
    <t>PoisonBlade aura</t>
  </si>
  <si>
    <t>AegisTotem [Chebyshev 0-2]: Potency 1 aura</t>
  </si>
  <si>
    <t>BastionTotem [Chebyshev 0-2]: TurnTick 1 aura</t>
  </si>
  <si>
    <t>BeaconTotem [Chebyshev 0-2]: Taunt 1 aura</t>
  </si>
  <si>
    <t>BloodpactTotem [Chebyshev 0-2]: Heal 3 on trigger</t>
  </si>
  <si>
    <t>EchoTotem [Chebyshev 0-2]: Shield 5 on trigger</t>
  </si>
  <si>
    <t>RampartTotem [Chebyshev 0-2]: Unknown(23) 1 aura</t>
  </si>
  <si>
    <t>Unknown(23) aura</t>
  </si>
  <si>
    <t>SpringTotem [Chebyshev 0-2]: Regeneration 5 aura</t>
  </si>
  <si>
    <t>Regeneration aura</t>
  </si>
  <si>
    <t>WarcryTotem [Chebyshev 0-2]: GainMultiplier 1 aura</t>
  </si>
  <si>
    <t>BloomTotem [Chebyshev 0-2]: GainMultiplier 1 aura</t>
  </si>
  <si>
    <t>BulwarkTotem [Chebyshev 0-2]: GainMultiplier 1 aura</t>
  </si>
  <si>
    <t>ChapelTotem [Chebyshev 0-2]: Energy 1 on trigger</t>
  </si>
  <si>
    <t>HealTotem [Chebyshev 0-2]: Regeneration 5 aura</t>
  </si>
  <si>
    <t>ReinforceTotem [Chebyshev 0-1]: DoubleShield 1 aura</t>
  </si>
  <si>
    <t>DoubleShield aura</t>
  </si>
  <si>
    <t>SanctuaryTotem [Chebyshev 0-2]: Draw 1 on trigger</t>
  </si>
  <si>
    <t>SentinelTotem [Chebyshev 0-2]: Taunt 1 aura</t>
  </si>
  <si>
    <t>WarlordTotem [Chebyshev 0-2]: Potency 1 aura</t>
  </si>
  <si>
    <t>WellheadTotem [Chebyshev 0-2]: GainMultiplier 1 aura</t>
  </si>
  <si>
    <t>WellspringTotem [Chebyshev 0-2]: TurnTick 1 aura</t>
  </si>
  <si>
    <t>Neutral</t>
  </si>
  <si>
    <t>blank card name</t>
  </si>
  <si>
    <t>Knight Ideas</t>
  </si>
  <si>
    <t>Mage Ideas</t>
  </si>
  <si>
    <t>Rogue Ideas</t>
  </si>
  <si>
    <t>Term</t>
  </si>
  <si>
    <t>Value</t>
  </si>
  <si>
    <t>Why this number</t>
  </si>
  <si>
    <t>w_Damage</t>
  </si>
  <si>
    <t>The numeraire. One point of damage to an enemy = 1 power.</t>
  </si>
  <si>
    <t>w_Heal</t>
  </si>
  <si>
    <t>Only useful when already damaged, so worth less than the same damage.</t>
  </si>
  <si>
    <t>w_Shield</t>
  </si>
  <si>
    <t>ShieldStatus is wiped on OnTurnStart - it must be spent this round.</t>
  </si>
  <si>
    <t>w_Block</t>
  </si>
  <si>
    <t>Charges survive turn start, so a point prevented is worth more than shield.</t>
  </si>
  <si>
    <t>w_Parry</t>
  </si>
  <si>
    <t>Per charge. Negates the hit AND reflects it: prevention plus damage.</t>
  </si>
  <si>
    <t>w_Poison</t>
  </si>
  <si>
    <t>Per point of lifetime DoT. Unblockable, but arrives slowly.</t>
  </si>
  <si>
    <t>w_Strength</t>
  </si>
  <si>
    <t>Per stack per future attack. Multiplied by w_Horizon.</t>
  </si>
  <si>
    <t>w_Weaken</t>
  </si>
  <si>
    <t>Per stack per future enemy attack. Symmetric with Strength.</t>
  </si>
  <si>
    <t>w_Draw</t>
  </si>
  <si>
    <t>Per card. Standard deckbuilder rate for raw card advantage.</t>
  </si>
  <si>
    <t>w_Move</t>
  </si>
  <si>
    <t>Repositioning on a grid where range gates every card - worth more than it looks.</t>
  </si>
  <si>
    <t>w_Combo</t>
  </si>
  <si>
    <t>Per stack of Double Next Attack / Double Shield - roughly one extra average payload.</t>
  </si>
  <si>
    <t>w_OccEnemy</t>
  </si>
  <si>
    <t>Share of extra AoE tiles expected to actually hold an enemy.</t>
  </si>
  <si>
    <t>w_OccAlly</t>
  </si>
  <si>
    <t>Same for allies - a party is smaller and clumps less than a wave.</t>
  </si>
  <si>
    <t>w_MaxEnemies</t>
  </si>
  <si>
    <t>Hard cap on how many enemies an area can realistically catch. Without it a 25-tile blast scores 13x and every AoE card reads OVER.</t>
  </si>
  <si>
    <t>w_MaxAllies</t>
  </si>
  <si>
    <t>Same cap for friendly areas - the party is small.</t>
  </si>
  <si>
    <t>w_Horizon</t>
  </si>
  <si>
    <t>How many future attacks a Strength/Weaken stack is assumed to affect.</t>
  </si>
  <si>
    <t>curve_Base</t>
  </si>
  <si>
    <t>Power a 0-cost card is expected to deliver. Fitted to the cards as authored today, not chosen a priori.</t>
  </si>
  <si>
    <t>curve_Slope</t>
  </si>
  <si>
    <t>Extra expected power per point of energy. Slash (1 energy, 9 damage) sits on the line by construction.</t>
  </si>
  <si>
    <t>tol_Pct</t>
  </si>
  <si>
    <t>How far off the curve a card may sit before it is flagged OVER/UNDER.</t>
  </si>
  <si>
    <t>board_Tiles</t>
  </si>
  <si>
    <t>Tile count used when an area is RangeShape.Anywhere.</t>
  </si>
  <si>
    <t>Rarity multiplier</t>
  </si>
  <si>
    <t>Multiplier</t>
  </si>
  <si>
    <t>Edit the Value column and every figure on Balance recalculates. Nothing here is baked into the export script.</t>
  </si>
  <si>
    <t>One exception: a summoned totem's output is pre-multiplied by 3 expected activations in Export-CardSheet.ps1 ($TotemActivations) before it reaches these columns. Change it there, not here.</t>
  </si>
  <si>
    <t>Shape</t>
  </si>
  <si>
    <t>Aim</t>
  </si>
  <si>
    <t>Bool</t>
  </si>
  <si>
    <t>Tag</t>
  </si>
  <si>
    <t>Effect</t>
  </si>
  <si>
    <t>Condition</t>
  </si>
  <si>
    <t>CostCond</t>
  </si>
  <si>
    <t>These lists drive the dropdowns on the card tabs. Regenerated on every export - edit the C# enum, not this sheet.</t>
  </si>
  <si>
    <t>NextToTotem only</t>
  </si>
  <si>
    <t>HasShield only</t>
  </si>
  <si>
    <t>HasBlock only</t>
  </si>
  <si>
    <t>Knight+Mage</t>
  </si>
  <si>
    <t>Mage+Rogue</t>
  </si>
  <si>
    <t>Knight+Cleric</t>
  </si>
  <si>
    <t>Mage+Cleric</t>
  </si>
  <si>
    <t>Rogue+Cleric</t>
  </si>
  <si>
    <t>Knight+Mage+Rogue</t>
  </si>
  <si>
    <t>Card Design Workbook</t>
  </si>
  <si>
    <t>One button does everything: in Unity, Tools &gt; Sync With Sheet.</t>
  </si>
  <si>
    <t>It applies your sheet edits to the assets, then rebuilds this workbook so anything you authored in the Inspector appears here. Safe to press whatever you changed and wherever - it works out per column which side moved, and stops rather than guessing when both did.</t>
  </si>
  <si>
    <t>The tabs</t>
  </si>
  <si>
    <t>Knight / Mage / Rogue / Cleric / Neutral</t>
  </si>
  <si>
    <t>THE REAL CARDS. These mirror the .asset files. Everything here syncs to Unity - add a row, change a Description, and it lands in the game.</t>
  </si>
  <si>
    <t>* Ideas</t>
  </si>
  <si>
    <t>DESIGN SPACE ONLY. Never imported, whatever the Buildable column says. To build an idea, copy its row onto the matching class tab - the leading columns are identical, so it pastes straight across.</t>
  </si>
  <si>
    <t>Glossary</t>
  </si>
  <si>
    <t>Tooltip wording for every status and keyword. Edit Title/Body/Terms and sync to reword what the player reads. Also syncs.</t>
  </si>
  <si>
    <t>Effects</t>
  </si>
  <si>
    <t>The shared CardEffect assets under Assets/Data/EffectData. Used By shows how many cards reference each one.</t>
  </si>
  <si>
    <t>Decks</t>
  </si>
  <si>
    <t>DeckData contents, one row per (deck, card) with a count.</t>
  </si>
  <si>
    <t>Model</t>
  </si>
  <si>
    <t>The balance weights. EDIT THESE - every figure on Balance is a live formula reading this tab.</t>
  </si>
  <si>
    <t>Balance</t>
  </si>
  <si>
    <t>One row per card with the derived stats. Never hand-edit; it is rebuilt on every export.</t>
  </si>
  <si>
    <t>Charts</t>
  </si>
  <si>
    <t>The four balance charts and their source tables. Also rebuilt every export.</t>
  </si>
  <si>
    <t>Enums</t>
  </si>
  <si>
    <t>Sources for the dropdowns. Mirrors the C# enums - change the enum, not this sheet.</t>
  </si>
  <si>
    <t>Adding a card</t>
  </si>
  <si>
    <t>1.</t>
  </si>
  <si>
    <t>Add a row on a CLASS tab (Knight/Mage/Rogue/Cleric/Neutral) and leave GUID blank. Sync will read NEW. Rows on an Ideas tab are never built.</t>
  </si>
  <si>
    <t>2.</t>
  </si>
  <si>
    <t>Key is the asset filename. Folder decides which sub-folder it lands in.</t>
  </si>
  <si>
    <t>3.</t>
  </si>
  <si>
    <t>Effect 1..3 take the NAME of an effect asset - see the Effects tab. "Damage 7" is fine even if it does not exist yet; the importer creates it.</t>
  </si>
  <si>
    <t>4.</t>
  </si>
  <si>
    <t>Aim is Tile (the clicked tile) or Self (the caster). Area is Single, a radius like "Manhattan 0-2", or "Pattern:Cone3".</t>
  </si>
  <si>
    <t>5.</t>
  </si>
  <si>
    <t>Save and CLOSE the workbook - the sync rewrites this file, so it cannot be open in Excel.</t>
  </si>
  <si>
    <t>6.</t>
  </si>
  <si>
    <t>In Unity: Tools &gt; Sync With Sheet (top of the menu).</t>
  </si>
  <si>
    <t>Authoring in Unity instead</t>
  </si>
  <si>
    <t>Just make the asset</t>
  </si>
  <si>
    <t>Create the CardData in the Inspector as normal. The next sync adds a row for it here - you never add it by hand.</t>
  </si>
  <si>
    <t>Renaming / refiling</t>
  </si>
  <si>
    <t>Change Key to rename the .asset, or Folder to move it. Both go through AssetDatabase.MoveAsset, so the GUID survives and decks keep pointing at the card.</t>
  </si>
  <si>
    <t>Deleting</t>
  </si>
  <si>
    <t>Deleting a row here does NOT delete the card - it is reported and the asset kept. Delete it in Unity if you mean it.</t>
  </si>
  <si>
    <t>What the columns mean</t>
  </si>
  <si>
    <t>Asset filename without extension. The join key - stable even when Card Name changes.</t>
  </si>
  <si>
    <t>The display name shown in game. Often differs from Key.</t>
  </si>
  <si>
    <t>Which character may hold it. A mask, so Knight+Rogue is legal. Any means everyone.</t>
  </si>
  <si>
    <t>Energy. The X axis of the power curve.</t>
  </si>
  <si>
    <t>How good it is as a reward. NotOffered keeps it out of every reward pool.</t>
  </si>
  <si>
    <t>Range Shape/Min/Max</t>
  </si>
  <si>
    <t>Which tiles may be clicked, measured from the caster. Chebyshev is a square, Manhattan a diamond.</t>
  </si>
  <si>
    <t>Area N</t>
  </si>
  <si>
    <t>The footprint each effect covers around its aim tile. Single is one tile.</t>
  </si>
  <si>
    <t>TRUE lets the player turn the card's area a quarter turn while aiming (E). Only meaningful with a Pattern area - a Radius area already reads the same after any turn.</t>
  </si>
  <si>
    <t>Cond N</t>
  </si>
  <si>
    <t>A board condition on effect N, checked on the caster as the card resolves. "Alone +6" adds 6 to the effect while it holds (Damage 7 with "NextToHero +3" deals 10 next to a hero). "Alone only" makes the effect fire only while it holds. Blank = always. Conditions: NextToTotem, HasShield, HasBlock, NextToHero, Alone (no other hero within 2 tiles).</t>
  </si>
  <si>
    <t>A board condition that lowers the whole card's cost while it holds. "NextToHero -1" = costs 1 less next to another hero. Never below 0. Blank = the printed cost always applies.</t>
  </si>
  <si>
    <t>Unity asset id. Blank means the card does not exist yet - this is what the importer diffs on.</t>
  </si>
  <si>
    <t>Ideas tabs only, and purely informational now: Yes means the current engine could build it, anything else names what is missing. It does NOT gate anything - Ideas rows are never imported at all.</t>
  </si>
  <si>
    <t>Balance tab. Yes = fully scored. Partial = has a numeric core plus an unscored rider (Ice Shard damages AND freezes) - plotted, but Flag reads RIDER because the number is a floor. No = nothing numeric at all, kept off the curve entirely.</t>
  </si>
  <si>
    <t>Rewording cards and tooltips</t>
  </si>
  <si>
    <t>Card text</t>
  </si>
  <si>
    <t>Edit Description on a class tab and sync. The change is written straight to the .asset.</t>
  </si>
  <si>
    <t>Tooltips</t>
  </si>
  <si>
    <t>Edit Title/Body/Terms on the Glossary tab the same way. Keep the {stacks} / {amount} / {magnitude} placeholders - they are filled from the live status, so removing one freezes the number at whatever you typed.</t>
  </si>
  <si>
    <t>If both sides changed</t>
  </si>
  <si>
    <t>That card is left alone on BOTH sides and named in the Unity console, showing what it was, what Unity says and what the sheet says. Make them agree, or change only one, then sync again. Nothing is overwritten behind your back.</t>
  </si>
  <si>
    <t>Rules that are easy to trip over</t>
  </si>
  <si>
    <t>Never reorder an enum</t>
  </si>
  <si>
    <t>Enum ints are written into .asset files. Appending is safe; reordering silently rewrites every card that used the old value.</t>
  </si>
  <si>
    <t>AllCards.asset is automatic</t>
  </si>
  <si>
    <t>CardLibraryEditor rescans on every CardData import. Never add cards to it by hand.</t>
  </si>
  <si>
    <t>The importer never deletes</t>
  </si>
  <si>
    <t>A card present as an asset but missing from the sheet is reported, not removed.</t>
  </si>
  <si>
    <t>Source tables for the charts below. Rebuilt on every export - do not hand-edit.</t>
  </si>
</sst>
</file>

<file path=xl/styles.xml><?xml version="1.0" encoding="utf-8"?>
<styleSheet xmlns="http://schemas.openxmlformats.org/spreadsheetml/2006/main">
  <numFmts count="0"/>
  <fonts count="6">
    <font>
      <sz val="11"/>
      <name val="Calibri"/>
    </font>
    <font>
      <u/>
      <sz val="11"/>
      <color rgb="FF0000FF" tint="0"/>
      <name val="Calibri"/>
    </font>
    <font>
      <b/>
      <sz val="11"/>
      <name val="Calibri"/>
    </font>
    <font>
      <i/>
      <sz val="11"/>
      <name val="Calibri"/>
    </font>
    <font>
      <b/>
      <sz val="16"/>
      <name val="Calibri"/>
    </font>
    <font>
      <b/>
      <sz val="12"/>
      <name val="Calibri"/>
    </font>
  </fonts>
  <fills count="2">
    <fill>
      <patternFill patternType="none"/>
    </fill>
    <fill>
      <patternFill patternType="gray125"/>
    </fill>
  </fills>
  <borders count="1">
    <border>
      <left/>
      <right/>
      <top/>
      <bottom/>
      <diagonal/>
    </border>
  </borders>
  <cellStyleXfs count="1">
    <xf numFmtId="0" fontId="0"/>
  </cellStyleXfs>
  <cellXfs count="16">
    <xf numFmtId="0" applyNumberFormat="1" fontId="0"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2" applyFont="1" xfId="0" applyProtection="1"/>
    <xf numFmtId="0" applyNumberFormat="1" fontId="0" applyFont="1" xfId="0" applyProtection="1">
      <alignment wrapText="1"/>
    </xf>
    <xf numFmtId="0" applyNumberFormat="1" fontId="2" applyFont="1" xfId="0" applyProtection="1">
      <alignment wrapText="1"/>
    </xf>
    <xf numFmtId="0" applyNumberFormat="1" fontId="3" applyFont="1" xfId="0" applyProtection="1">
      <alignment wrapText="1"/>
    </xf>
    <xf numFmtId="2" applyNumberFormat="1" fontId="0" applyFont="1" xfId="0" applyProtection="1"/>
    <xf numFmtId="2" applyNumberFormat="1" fontId="2" applyFont="1" xfId="0" applyProtection="1"/>
    <xf numFmtId="0" applyNumberFormat="1" fontId="3" applyFont="1" xfId="0" applyProtection="1"/>
    <xf numFmtId="0" applyNumberFormat="1" fontId="4" applyFont="1" xfId="0" applyProtection="1"/>
    <xf numFmtId="0" applyNumberFormat="1" fontId="5" applyFont="1" xfId="0" applyProtection="1"/>
  </cellXfs>
  <cellStyles count="1">
    <cellStyle name="Normal" xfId="0" builtinId="0"/>
  </cellStyles>
  <dxfs count="8">
    <d:dxf xmlns:d="http://schemas.openxmlformats.org/spreadsheetml/2006/main">
      <fill>
        <patternFill>
          <bgColor rgb="ffbdd7ee"/>
        </patternFill>
      </fill>
    </d:dxf>
    <d:dxf xmlns:d="http://schemas.openxmlformats.org/spreadsheetml/2006/main">
      <fill>
        <patternFill>
          <bgColor rgb="fffff2cc"/>
        </patternFill>
      </fill>
    </d:dxf>
    <d:dxf xmlns:d="http://schemas.openxmlformats.org/spreadsheetml/2006/main">
      <font>
        <color rgb="ff9c0006"/>
      </font>
      <fill>
        <patternFill>
          <bgColor rgb="ffffc7ce"/>
        </patternFill>
      </fill>
    </d:dxf>
    <d:dxf xmlns:d="http://schemas.openxmlformats.org/spreadsheetml/2006/main">
      <font>
        <color rgb="ff9c6500"/>
      </font>
      <fill>
        <patternFill>
          <bgColor rgb="ffffeb9c"/>
        </patternFill>
      </fill>
    </d:dxf>
    <d:dxf xmlns:d="http://schemas.openxmlformats.org/spreadsheetml/2006/main">
      <font>
        <color rgb="ff006100"/>
      </font>
      <fill>
        <patternFill>
          <bgColor rgb="ffc6efce"/>
        </patternFill>
      </fill>
    </d:dxf>
    <d:dxf xmlns:d="http://schemas.openxmlformats.org/spreadsheetml/2006/main">
      <font>
        <color rgb="ff1f4e79"/>
      </font>
      <fill>
        <patternFill>
          <bgColor rgb="ffddebf7"/>
        </patternFill>
      </fill>
    </d:dxf>
    <d:dxf xmlns:d="http://schemas.openxmlformats.org/spreadsheetml/2006/main">
      <fill>
        <patternFill>
          <bgColor rgb="ffffeb9c"/>
        </patternFill>
      </fill>
    </d:dxf>
    <d:dxf xmlns:d="http://schemas.openxmlformats.org/spreadsheetml/2006/main">
      <fill>
        <patternFill>
          <bgColor rgb="ffffc7ce"/>
        </patternFill>
      </fill>
    </d: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worksheet" Target="worksheets/sheet17.xml"/><Relationship Id="rId1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chart>
    <c:title>
      <c:tx>
        <c:rich>
          <a:bodyPr/>
          <a:lstStyle/>
          <a:p>
            <a:pPr>
              <a:defRPr sz="1800" b="0"/>
            </a:pPr>
            <a:r>
              <a:rPr/>
              <a:t>Power curve - cost vs delivered power, by rarity (Proposed = Ideas tabs)</a:t>
            </a:r>
          </a:p>
        </c:rich>
      </c:tx>
      <c:layout/>
      <c:overlay val="0"/>
    </c:title>
    <c:plotArea>
      <c:layout/>
      <c:scatterChart>
        <c:scatterStyle val="lineMarker"/>
        <c:varyColors val="0"/>
        <ser xmlns="http://schemas.openxmlformats.org/drawingml/2006/chart">
          <c:idx val="0"/>
          <c:order val="0"/>
          <c:tx>
            <c:v>Common</c:v>
          </c:tx>
          <c:spPr>
            <a:ln w="28575">
              <a:noFill/>
            </a:ln>
          </c:spPr>
          <c:xVal>
            <c:numRef>
              <c:f>'Balance'!$D$2:$D$306</c:f>
            </c:numRef>
          </c:xVal>
          <c:yVal>
            <c:numRef>
              <c:f>'Balance'!$AC$2:$AC$306</c:f>
            </c:numRef>
          </c:yVal>
          <c:smooth val="0"/>
        </ser>
        <ser xmlns="http://schemas.openxmlformats.org/drawingml/2006/chart">
          <c:idx val="1"/>
          <c:order val="1"/>
          <c:tx>
            <c:v>Uncommon</c:v>
          </c:tx>
          <c:spPr>
            <a:ln w="28575">
              <a:noFill/>
            </a:ln>
          </c:spPr>
          <c:xVal>
            <c:numRef>
              <c:f>'Balance'!$D$2:$D$306</c:f>
            </c:numRef>
          </c:xVal>
          <c:yVal>
            <c:numRef>
              <c:f>'Balance'!$AD$2:$AD$306</c:f>
            </c:numRef>
          </c:yVal>
          <c:smooth val="0"/>
        </ser>
        <ser xmlns="http://schemas.openxmlformats.org/drawingml/2006/chart">
          <c:idx val="2"/>
          <c:order val="2"/>
          <c:tx>
            <c:v>Rare</c:v>
          </c:tx>
          <c:spPr>
            <a:ln w="28575">
              <a:noFill/>
            </a:ln>
          </c:spPr>
          <c:xVal>
            <c:numRef>
              <c:f>'Balance'!$D$2:$D$306</c:f>
            </c:numRef>
          </c:xVal>
          <c:yVal>
            <c:numRef>
              <c:f>'Balance'!$AE$2:$AE$306</c:f>
            </c:numRef>
          </c:yVal>
          <c:smooth val="0"/>
        </ser>
        <ser xmlns="http://schemas.openxmlformats.org/drawingml/2006/chart">
          <c:idx val="3"/>
          <c:order val="3"/>
          <c:tx>
            <c:v>Legendary</c:v>
          </c:tx>
          <c:spPr>
            <a:ln w="28575">
              <a:noFill/>
            </a:ln>
          </c:spPr>
          <c:xVal>
            <c:numRef>
              <c:f>'Balance'!$D$2:$D$306</c:f>
            </c:numRef>
          </c:xVal>
          <c:yVal>
            <c:numRef>
              <c:f>'Balance'!$AF$2:$AF$306</c:f>
            </c:numRef>
          </c:yVal>
          <c:smooth val="0"/>
        </ser>
        <ser xmlns="http://schemas.openxmlformats.org/drawingml/2006/chart">
          <c:idx val="4"/>
          <c:order val="4"/>
          <c:tx>
            <c:v>Proposed</c:v>
          </c:tx>
          <c:spPr>
            <a:ln w="28575">
              <a:noFill/>
            </a:ln>
          </c:spPr>
          <c:xVal>
            <c:numRef>
              <c:f>'Balance'!$D$2:$D$306</c:f>
            </c:numRef>
          </c:xVal>
          <c:yVal>
            <c:numRef>
              <c:f>'Balance'!$AK$2:$AK$306</c:f>
            </c:numRef>
          </c:yVal>
          <c:smooth val="0"/>
        </ser>
        <ser xmlns="http://schemas.openxmlformats.org/drawingml/2006/chart">
          <c:idx val="5"/>
          <c:order val="5"/>
          <c:tx>
            <c:v>Expected</c:v>
          </c:tx>
          <c:spPr>
            <a:ln w="28575">
              <a:noFill/>
            </a:ln>
          </c:spPr>
          <c:xVal>
            <c:numRef>
              <c:f>'Balance'!$D$2:$D$306</c:f>
            </c:numRef>
          </c:xVal>
          <c:yVal>
            <c:numRef>
              <c:f>'Balance'!$AJ$2:$AJ$306</c:f>
            </c:numRef>
          </c:yVal>
          <c:smooth val="0"/>
        </ser>
        <c:axId val="1"/>
        <c:axId val="2"/>
      </c:scatterChart>
      <c:valAx>
        <c:axId val="1"/>
        <c:scaling>
          <c:orientation val="minMax"/>
        </c:scaling>
        <c:delete val="0"/>
        <c:axPos val="b"/>
        <c:title>
          <c:tx>
            <c:rich>
              <a:bodyPr/>
              <a:lstStyle/>
              <a:p>
                <a:r>
                  <a:rPr/>
                  <a:t>Energy cost</a:t>
                </a:r>
              </a:p>
            </c:rich>
          </c:tx>
          <c:layout/>
          <c:overlay val="0"/>
        </c:title>
        <c:tickLblPos val="nextTo"/>
        <c:crossAx val="2"/>
        <c:crosses val="autoZero"/>
      </c:valAx>
      <c:valAx>
        <c:axId val="2"/>
        <c:scaling>
          <c:orientation val="minMax"/>
        </c:scaling>
        <c:delete val="0"/>
        <c:axPos val="l"/>
        <c:majorGridlines/>
        <c:title>
          <c:tx>
            <c:rich>
              <a:bodyPr/>
              <a:lstStyle/>
              <a:p>
                <a:r>
                  <a:rPr/>
                  <a:t>Power</a:t>
                </a:r>
              </a:p>
            </c:rich>
          </c:tx>
          <c:layout/>
          <c:overlay val="0"/>
        </c:title>
        <c:tickLblPos val="nextTo"/>
        <c:crossAx val="1"/>
        <c:crosses val="autoZero"/>
        <c:crossBetween val="between"/>
      </c:valAx>
    </c:plotArea>
    <c:legend>
      <c:legendPos val="r"/>
      <c:layout/>
      <c:overlay val="0"/>
    </c:legend>
    <c:plotVisOnly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chart>
    <c:title>
      <c:tx>
        <c:rich>
          <a:bodyPr/>
          <a:lstStyle/>
          <a:p>
            <a:pPr>
              <a:defRPr sz="1800" b="0"/>
            </a:pPr>
            <a:r>
              <a:rPr/>
              <a:t>Efficiency - power per energy, by class</a:t>
            </a:r>
          </a:p>
        </c:rich>
      </c:tx>
      <c:layout/>
      <c:overlay val="0"/>
    </c:title>
    <c:plotArea>
      <c:layout/>
      <c:scatterChart>
        <c:scatterStyle val="lineMarker"/>
        <c:varyColors val="0"/>
        <ser xmlns="http://schemas.openxmlformats.org/drawingml/2006/chart">
          <c:idx val="0"/>
          <c:order val="0"/>
          <c:tx>
            <c:v>Knight</c:v>
          </c:tx>
          <c:spPr>
            <a:ln w="28575">
              <a:noFill/>
            </a:ln>
          </c:spPr>
          <c:xVal>
            <c:numRef>
              <c:f>'Balance'!$D$2:$D$306</c:f>
            </c:numRef>
          </c:xVal>
          <c:yVal>
            <c:numRef>
              <c:f>'Balance'!$AG$2:$AG$306</c:f>
            </c:numRef>
          </c:yVal>
          <c:smooth val="0"/>
        </ser>
        <ser xmlns="http://schemas.openxmlformats.org/drawingml/2006/chart">
          <c:idx val="1"/>
          <c:order val="1"/>
          <c:tx>
            <c:v>Mage</c:v>
          </c:tx>
          <c:spPr>
            <a:ln w="28575">
              <a:noFill/>
            </a:ln>
          </c:spPr>
          <c:xVal>
            <c:numRef>
              <c:f>'Balance'!$D$2:$D$306</c:f>
            </c:numRef>
          </c:xVal>
          <c:yVal>
            <c:numRef>
              <c:f>'Balance'!$AH$2:$AH$306</c:f>
            </c:numRef>
          </c:yVal>
          <c:smooth val="0"/>
        </ser>
        <ser xmlns="http://schemas.openxmlformats.org/drawingml/2006/chart">
          <c:idx val="2"/>
          <c:order val="2"/>
          <c:tx>
            <c:v>Rogue</c:v>
          </c:tx>
          <c:spPr>
            <a:ln w="28575">
              <a:noFill/>
            </a:ln>
          </c:spPr>
          <c:xVal>
            <c:numRef>
              <c:f>'Balance'!$D$2:$D$306</c:f>
            </c:numRef>
          </c:xVal>
          <c:yVal>
            <c:numRef>
              <c:f>'Balance'!$AI$2:$AI$306</c:f>
            </c:numRef>
          </c:yVal>
          <c:smooth val="0"/>
        </ser>
        <ser xmlns="http://schemas.openxmlformats.org/drawingml/2006/chart">
          <c:idx val="3"/>
          <c:order val="3"/>
          <c:tx>
            <c:v>Cleric</c:v>
          </c:tx>
          <c:spPr>
            <a:ln w="28575">
              <a:noFill/>
            </a:ln>
          </c:spPr>
          <c:xVal>
            <c:numRef>
              <c:f>'Balance'!$D$2:$D$306</c:f>
            </c:numRef>
          </c:xVal>
          <c:yVal>
            <c:numRef>
              <c:f>'Balance'!$AL$2:$AL$306</c:f>
            </c:numRef>
          </c:yVal>
          <c:smooth val="0"/>
        </ser>
        <c:axId val="1"/>
        <c:axId val="2"/>
      </c:scatterChart>
      <c:valAx>
        <c:axId val="1"/>
        <c:scaling>
          <c:orientation val="minMax"/>
        </c:scaling>
        <c:delete val="0"/>
        <c:axPos val="b"/>
        <c:title>
          <c:tx>
            <c:rich>
              <a:bodyPr/>
              <a:lstStyle/>
              <a:p>
                <a:r>
                  <a:rPr/>
                  <a:t>Energy cost</a:t>
                </a:r>
              </a:p>
            </c:rich>
          </c:tx>
          <c:layout/>
          <c:overlay val="0"/>
        </c:title>
        <c:tickLblPos val="nextTo"/>
        <c:crossAx val="2"/>
        <c:crosses val="autoZero"/>
      </c:valAx>
      <c:valAx>
        <c:axId val="2"/>
        <c:scaling>
          <c:orientation val="minMax"/>
        </c:scaling>
        <c:delete val="0"/>
        <c:axPos val="l"/>
        <c:majorGridlines/>
        <c:title>
          <c:tx>
            <c:rich>
              <a:bodyPr/>
              <a:lstStyle/>
              <a:p>
                <a:r>
                  <a:rPr/>
                  <a:t>Power per energy</a:t>
                </a:r>
              </a:p>
            </c:rich>
          </c:tx>
          <c:layout/>
          <c:overlay val="0"/>
        </c:title>
        <c:tickLblPos val="nextTo"/>
        <c:crossAx val="1"/>
        <c:crosses val="autoZero"/>
        <c:crossBetween val="between"/>
      </c:valAx>
    </c:plotArea>
    <c:legend>
      <c:legendPos val="r"/>
      <c:layout/>
      <c:overlay val="0"/>
    </c:legend>
    <c:plotVisOnly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chart>
    <c:title>
      <c:tx>
        <c:rich>
          <a:bodyPr/>
          <a:lstStyle/>
          <a:p>
            <a:pPr>
              <a:defRPr sz="1800" b="0"/>
            </a:pPr>
            <a:r>
              <a:rPr/>
              <a:t>Cost distribution - how many cards at each price, per class</a:t>
            </a:r>
          </a:p>
        </c:rich>
      </c:tx>
      <c:layout/>
      <c:overlay val="0"/>
    </c:title>
    <c:plotArea>
      <c:layout/>
      <c:barChart>
        <c:barDir val="col"/>
        <c:grouping val="clustered"/>
        <c:varyColors val="0"/>
        <ser xmlns="http://schemas.openxmlformats.org/drawingml/2006/chart">
          <c:idx val="0"/>
          <c:order val="0"/>
          <c:tx>
            <c:v>Knight</c:v>
          </c:tx>
          <c:invertIfNegative val="0"/>
          <c:cat>
            <c:numRef>
              <c:f>'Charts'!$A$2:$A$7</c:f>
            </c:numRef>
          </c:cat>
          <c:val>
            <c:numRef>
              <c:f>'Charts'!$B$2:$B$7</c:f>
            </c:numRef>
          </c:val>
        </ser>
        <ser xmlns="http://schemas.openxmlformats.org/drawingml/2006/chart">
          <c:idx val="1"/>
          <c:order val="1"/>
          <c:tx>
            <c:v>Mage</c:v>
          </c:tx>
          <c:invertIfNegative val="0"/>
          <c:cat>
            <c:numRef>
              <c:f>'Charts'!$A$2:$A$7</c:f>
            </c:numRef>
          </c:cat>
          <c:val>
            <c:numRef>
              <c:f>'Charts'!$C$2:$C$7</c:f>
            </c:numRef>
          </c:val>
        </ser>
        <ser xmlns="http://schemas.openxmlformats.org/drawingml/2006/chart">
          <c:idx val="2"/>
          <c:order val="2"/>
          <c:tx>
            <c:v>Rogue</c:v>
          </c:tx>
          <c:invertIfNegative val="0"/>
          <c:cat>
            <c:numRef>
              <c:f>'Charts'!$A$2:$A$7</c:f>
            </c:numRef>
          </c:cat>
          <c:val>
            <c:numRef>
              <c:f>'Charts'!$D$2:$D$7</c:f>
            </c:numRef>
          </c:val>
        </ser>
        <ser xmlns="http://schemas.openxmlformats.org/drawingml/2006/chart">
          <c:idx val="3"/>
          <c:order val="3"/>
          <c:tx>
            <c:v>Cleric</c:v>
          </c:tx>
          <c:invertIfNegative val="0"/>
          <c:cat>
            <c:numRef>
              <c:f>'Charts'!$A$2:$A$7</c:f>
            </c:numRef>
          </c:cat>
          <c:val>
            <c:numRef>
              <c:f>'Charts'!$E$2:$E$7</c:f>
            </c:numRef>
          </c:val>
        </ser>
        <c:axId val="1"/>
        <c:axId val="2"/>
      </c:barChart>
      <c:catAx>
        <c:axId val="1"/>
        <c:scaling>
          <c:orientation val="minMax"/>
        </c:scaling>
        <c:delete val="0"/>
        <c:axPos val="b"/>
        <c:title>
          <c:tx>
            <c:rich>
              <a:bodyPr/>
              <a:lstStyle/>
              <a:p>
                <a:r>
                  <a:rPr/>
                  <a:t>Energy cost</a:t>
                </a:r>
              </a:p>
            </c:rich>
          </c:tx>
          <c:layout/>
          <c:overlay val="0"/>
        </c:title>
        <c:tickLblPos val="nextTo"/>
        <c:crossAx val="2"/>
        <c:crosses val="autoZero"/>
        <c:auto val="1"/>
        <c:lblAlgn val="ctr"/>
        <c:lblOffset val="100"/>
      </c:catAx>
      <c:valAx>
        <c:axId val="2"/>
        <c:scaling>
          <c:orientation val="minMax"/>
        </c:scaling>
        <c:delete val="0"/>
        <c:axPos val="l"/>
        <c:majorGridlines/>
        <c:title>
          <c:tx>
            <c:rich>
              <a:bodyPr/>
              <a:lstStyle/>
              <a:p>
                <a:r>
                  <a:rPr/>
                  <a:t>Cards</a:t>
                </a:r>
              </a:p>
            </c:rich>
          </c:tx>
          <c:layout/>
          <c:overlay val="0"/>
        </c:title>
        <c:tickLblPos val="nextTo"/>
        <c:crossAx val="1"/>
        <c:crosses val="autoZero"/>
        <c:crossBetween val="between"/>
      </c:valAx>
    </c:plotArea>
    <c:legend>
      <c:legendPos val="r"/>
      <c:layout/>
      <c:overlay val="0"/>
    </c:legend>
    <c:plotVisOnly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chart>
    <c:title>
      <c:tx>
        <c:rich>
          <a:bodyPr/>
          <a:lstStyle/>
          <a:p>
            <a:pPr>
              <a:defRPr sz="1800" b="0"/>
            </a:pPr>
            <a:r>
              <a:rPr/>
              <a:t>Coverage - which effects each class actually has</a:t>
            </a:r>
          </a:p>
        </c:rich>
      </c:tx>
      <c:layout/>
      <c:overlay val="0"/>
    </c:title>
    <c:plotArea>
      <c:layout/>
      <c:barChart>
        <c:barDir val="col"/>
        <c:grouping val="clustered"/>
        <c:varyColors val="0"/>
        <ser xmlns="http://schemas.openxmlformats.org/drawingml/2006/chart">
          <c:idx val="0"/>
          <c:order val="0"/>
          <c:tx>
            <c:v>Knight</c:v>
          </c:tx>
          <c:invertIfNegative val="0"/>
          <c:cat>
            <c:numRef>
              <c:f>'Charts'!$F$2:$F$14</c:f>
            </c:numRef>
          </c:cat>
          <c:val>
            <c:numRef>
              <c:f>'Charts'!$G$2:$G$14</c:f>
            </c:numRef>
          </c:val>
        </ser>
        <ser xmlns="http://schemas.openxmlformats.org/drawingml/2006/chart">
          <c:idx val="1"/>
          <c:order val="1"/>
          <c:tx>
            <c:v>Mage</c:v>
          </c:tx>
          <c:invertIfNegative val="0"/>
          <c:cat>
            <c:numRef>
              <c:f>'Charts'!$F$2:$F$14</c:f>
            </c:numRef>
          </c:cat>
          <c:val>
            <c:numRef>
              <c:f>'Charts'!$H$2:$H$14</c:f>
            </c:numRef>
          </c:val>
        </ser>
        <ser xmlns="http://schemas.openxmlformats.org/drawingml/2006/chart">
          <c:idx val="2"/>
          <c:order val="2"/>
          <c:tx>
            <c:v>Rogue</c:v>
          </c:tx>
          <c:invertIfNegative val="0"/>
          <c:cat>
            <c:numRef>
              <c:f>'Charts'!$F$2:$F$14</c:f>
            </c:numRef>
          </c:cat>
          <c:val>
            <c:numRef>
              <c:f>'Charts'!$I$2:$I$14</c:f>
            </c:numRef>
          </c:val>
        </ser>
        <ser xmlns="http://schemas.openxmlformats.org/drawingml/2006/chart">
          <c:idx val="3"/>
          <c:order val="3"/>
          <c:tx>
            <c:v>Cleric</c:v>
          </c:tx>
          <c:invertIfNegative val="0"/>
          <c:cat>
            <c:numRef>
              <c:f>'Charts'!$F$2:$F$14</c:f>
            </c:numRef>
          </c:cat>
          <c:val>
            <c:numRef>
              <c:f>'Charts'!$J$2:$J$14</c:f>
            </c:numRef>
          </c:val>
        </ser>
        <c:axId val="1"/>
        <c:axId val="2"/>
      </c:barChart>
      <c:catAx>
        <c:axId val="1"/>
        <c:scaling>
          <c:orientation val="minMax"/>
        </c:scaling>
        <c:delete val="0"/>
        <c:axPos val="b"/>
        <c:title>
          <c:tx>
            <c:rich>
              <a:bodyPr/>
              <a:lstStyle/>
              <a:p>
                <a:r>
                  <a:rPr/>
                  <a:t>Effect kind</a:t>
                </a:r>
              </a:p>
            </c:rich>
          </c:tx>
          <c:layout/>
          <c:overlay val="0"/>
        </c:title>
        <c:tickLblPos val="nextTo"/>
        <c:crossAx val="2"/>
        <c:crosses val="autoZero"/>
        <c:auto val="1"/>
        <c:lblAlgn val="ctr"/>
        <c:lblOffset val="100"/>
      </c:catAx>
      <c:valAx>
        <c:axId val="2"/>
        <c:scaling>
          <c:orientation val="minMax"/>
        </c:scaling>
        <c:delete val="0"/>
        <c:axPos val="l"/>
        <c:majorGridlines/>
        <c:title>
          <c:tx>
            <c:rich>
              <a:bodyPr/>
              <a:lstStyle/>
              <a:p>
                <a:r>
                  <a:rPr/>
                  <a:t>Cards</a:t>
                </a:r>
              </a:p>
            </c:rich>
          </c:tx>
          <c:layout/>
          <c:overlay val="0"/>
        </c:title>
        <c:tickLblPos val="nextTo"/>
        <c:crossAx val="1"/>
        <c:crosses val="autoZero"/>
        <c:crossBetween val="between"/>
      </c:valAx>
    </c:plotArea>
    <c:legend>
      <c:legendPos val="r"/>
      <c:layout/>
      <c:overlay val="0"/>
    </c:legend>
    <c:plotVisOnly val="1"/>
  </c:chart>
  <c:printSettings>
    <c:headerFooter/>
    <c:pageMargins b="0.75" l="0.7" r="0.7" t="0.75" header="0.3" footer="0.3"/>
    <c:pageSetup/>
  </c:printSettings>
</c:chartSpace>
</file>

<file path=xl/drawings/_rels/drawing17.xml.rels><?xml version="1.0" encoding="UTF-8" standalone="yes"?><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drawing17.xml><?xml version="1.0" encoding="utf-8"?>
<xdr:wsDr xmlns:xdr="http://schemas.openxmlformats.org/drawingml/2006/spreadsheetDrawing" xmlns:a="http://schemas.openxmlformats.org/drawingml/2006/main">
  <xdr:twoCellAnchor>
    <xdr:from>
      <xdr:col>0</xdr:col>
      <xdr:colOff>0</xdr:colOff>
      <xdr:row>15</xdr:row>
      <xdr:rowOff>0</xdr:rowOff>
    </xdr:from>
    <xdr:to>
      <xdr:col>10</xdr:col>
      <xdr:colOff>381000</xdr:colOff>
      <xdr:row>36</xdr:row>
      <xdr:rowOff>0</xdr:rowOff>
    </xdr:to>
    <graphicFrame xmlns="http://schemas.openxmlformats.org/drawingml/2006/spreadsheetDrawing" macro="">
      <xdr:nvGraphicFramePr>
        <xdr:cNvPr id="0" name="PowerCurve"/>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graphicFrame>
    <clientData xmlns="http://schemas.openxmlformats.org/drawingml/2006/spreadsheetDrawing"/>
  </xdr:twoCellAnchor>
  <xdr:twoCellAnchor>
    <xdr:from>
      <xdr:col>12</xdr:col>
      <xdr:colOff>0</xdr:colOff>
      <xdr:row>15</xdr:row>
      <xdr:rowOff>0</xdr:rowOff>
    </xdr:from>
    <xdr:to>
      <xdr:col>22</xdr:col>
      <xdr:colOff>381000</xdr:colOff>
      <xdr:row>36</xdr:row>
      <xdr:rowOff>0</xdr:rowOff>
    </xdr:to>
    <graphicFrame xmlns="http://schemas.openxmlformats.org/drawingml/2006/spreadsheetDrawing" macro="">
      <xdr:nvGraphicFramePr>
        <xdr:cNvPr id="1" name="Efficiency"/>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graphicFrame>
    <clientData xmlns="http://schemas.openxmlformats.org/drawingml/2006/spreadsheetDrawing"/>
  </xdr:twoCellAnchor>
  <xdr:twoCellAnchor>
    <xdr:from>
      <xdr:col>0</xdr:col>
      <xdr:colOff>0</xdr:colOff>
      <xdr:row>37</xdr:row>
      <xdr:rowOff>0</xdr:rowOff>
    </xdr:from>
    <xdr:to>
      <xdr:col>10</xdr:col>
      <xdr:colOff>381000</xdr:colOff>
      <xdr:row>58</xdr:row>
      <xdr:rowOff>0</xdr:rowOff>
    </xdr:to>
    <graphicFrame xmlns="http://schemas.openxmlformats.org/drawingml/2006/spreadsheetDrawing" macro="">
      <xdr:nvGraphicFramePr>
        <xdr:cNvPr id="2" name="CostCurve"/>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graphicFrame>
    <clientData xmlns="http://schemas.openxmlformats.org/drawingml/2006/spreadsheetDrawing"/>
  </xdr:twoCellAnchor>
  <xdr:twoCellAnchor>
    <xdr:from>
      <xdr:col>12</xdr:col>
      <xdr:colOff>0</xdr:colOff>
      <xdr:row>37</xdr:row>
      <xdr:rowOff>0</xdr:rowOff>
    </xdr:from>
    <xdr:to>
      <xdr:col>22</xdr:col>
      <xdr:colOff>381000</xdr:colOff>
      <xdr:row>58</xdr:row>
      <xdr:rowOff>0</xdr:rowOff>
    </xdr:to>
    <graphicFrame xmlns="http://schemas.openxmlformats.org/drawingml/2006/spreadsheetDrawing" macro="">
      <xdr:nvGraphicFramePr>
        <xdr:cNvPr id="3" name="Coverage"/>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graphicFrame>
    <clientData xmlns="http://schemas.openxmlformats.org/drawingml/2006/spreadsheetDrawing"/>
  </xdr:twoCellAnchor>
</xdr:wsDr>
</file>

<file path=xl/worksheets/_rels/sheet1.xml.rels><?xml version="1.0" encoding="UTF-8" standalone="yes"?><Relationships xmlns="http://schemas.openxmlformats.org/package/2006/relationships"><Relationship Id="rId13" Type="http://schemas.openxmlformats.org/officeDocument/2006/relationships/hyperlink" Target="pattern:Wall3" TargetMode="External"/><Relationship Id="rId12" Type="http://schemas.openxmlformats.org/officeDocument/2006/relationships/hyperlink" Target="pattern:Wall3" TargetMode="External"/></Relationships>
</file>

<file path=xl/worksheets/_rels/sheet2.xml.rels><?xml version="1.0" encoding="UTF-8" standalone="yes"?><Relationships xmlns="http://schemas.openxmlformats.org/package/2006/relationships"><Relationship Id="rId41" Type="http://schemas.openxmlformats.org/officeDocument/2006/relationships/hyperlink" Target="pattern:Cone3" TargetMode="External"/><Relationship Id="rId42" Type="http://schemas.openxmlformats.org/officeDocument/2006/relationships/hyperlink" Target="pattern:X-Pattern" TargetMode="External"/><Relationship Id="rId43" Type="http://schemas.openxmlformats.org/officeDocument/2006/relationships/hyperlink" Target="pattern:Wall3" TargetMode="External"/><Relationship Id="rId44" Type="http://schemas.openxmlformats.org/officeDocument/2006/relationships/hyperlink" Target="pattern:Wall3" TargetMode="External"/><Relationship Id="rId45" Type="http://schemas.openxmlformats.org/officeDocument/2006/relationships/hyperlink" Target="pattern:Wall3" TargetMode="External"/></Relationships>
</file>

<file path=xl/worksheets/_rels/sheet5.xml.rels><?xml version="1.0" encoding="UTF-8" standalone="yes"?><Relationships xmlns="http://schemas.openxmlformats.org/package/2006/relationships"><Relationship Id="rId1" Type="http://schemas.openxmlformats.org/officeDocument/2006/relationships/hyperlink" Target="pattern:Wall3" TargetMode="External"/></Relationships>
</file>

<file path=xl/worksheets/_rels/sheet7.xml.rels><?xml version="1.0" encoding="UTF-8" standalone="yes"?><Relationships xmlns="http://schemas.openxmlformats.org/package/2006/relationships"><Relationship Id="rId13" Type="http://schemas.openxmlformats.org/officeDocument/2006/relationships/hyperlink" Target="pattern:Cone3" TargetMode="External"/><Relationship Id="rId12" Type="http://schemas.openxmlformats.org/officeDocument/2006/relationships/hyperlink" Target="pattern:Cone3" TargetMode="External"/><Relationship Id="rId11" Type="http://schemas.openxmlformats.org/officeDocument/2006/relationships/hyperlink" Target="pattern:Cone3" TargetMode="External"/></Relationships>
</file>

<file path=xl/worksheets/_rels/sheet10.xml.rels><?xml version="1.0" encoding="UTF-8" standalone="yes"?><Relationships xmlns="http://schemas.openxmlformats.org/package/2006/relationships"><Relationship Id="rId89" Type="http://schemas.openxmlformats.org/officeDocument/2006/relationships/hyperlink" Target="status:Weaken" TargetMode="External"/><Relationship Id="rId88" Type="http://schemas.openxmlformats.org/officeDocument/2006/relationships/hyperlink" Target="status:Weaken" TargetMode="External"/><Relationship Id="rId87" Type="http://schemas.openxmlformats.org/officeDocument/2006/relationships/hyperlink" Target="status:Vulnerable" TargetMode="External"/><Relationship Id="rId86" Type="http://schemas.openxmlformats.org/officeDocument/2006/relationships/hyperlink" Target="status:Vulnerable" TargetMode="External"/><Relationship Id="rId85" Type="http://schemas.openxmlformats.org/officeDocument/2006/relationships/hyperlink" Target="status:Unknown(26)" TargetMode="External"/><Relationship Id="rId84" Type="http://schemas.openxmlformats.org/officeDocument/2006/relationships/hyperlink" Target="status:Strength" TargetMode="External"/><Relationship Id="rId83" Type="http://schemas.openxmlformats.org/officeDocument/2006/relationships/hyperlink" Target="status:Strength" TargetMode="External"/><Relationship Id="rId82" Type="http://schemas.openxmlformats.org/officeDocument/2006/relationships/hyperlink" Target="status:Stealth" TargetMode="External"/><Relationship Id="rId81" Type="http://schemas.openxmlformats.org/officeDocument/2006/relationships/hyperlink" Target="status:Unknown(30)" TargetMode="External"/><Relationship Id="rId80" Type="http://schemas.openxmlformats.org/officeDocument/2006/relationships/hyperlink" Target="status:Rooted" TargetMode="External"/><Relationship Id="rId79" Type="http://schemas.openxmlformats.org/officeDocument/2006/relationships/hyperlink" Target="status:Regeneration" TargetMode="External"/><Relationship Id="rId78" Type="http://schemas.openxmlformats.org/officeDocument/2006/relationships/hyperlink" Target="status:PoisonBlade" TargetMode="External"/><Relationship Id="rId77" Type="http://schemas.openxmlformats.org/officeDocument/2006/relationships/hyperlink" Target="status:Poison" TargetMode="External"/><Relationship Id="rId76" Type="http://schemas.openxmlformats.org/officeDocument/2006/relationships/hyperlink" Target="status:Poison" TargetMode="External"/><Relationship Id="rId75" Type="http://schemas.openxmlformats.org/officeDocument/2006/relationships/hyperlink" Target="status:Poison" TargetMode="External"/><Relationship Id="rId74" Type="http://schemas.openxmlformats.org/officeDocument/2006/relationships/hyperlink" Target="status:Poison" TargetMode="External"/><Relationship Id="rId73" Type="http://schemas.openxmlformats.org/officeDocument/2006/relationships/hyperlink" Target="status:Unknown(29)" TargetMode="External"/><Relationship Id="rId72" Type="http://schemas.openxmlformats.org/officeDocument/2006/relationships/hyperlink" Target="status:Lifesteal" TargetMode="External"/><Relationship Id="rId71" Type="http://schemas.openxmlformats.org/officeDocument/2006/relationships/hyperlink" Target="status:Lifesteal" TargetMode="External"/><Relationship Id="rId70" Type="http://schemas.openxmlformats.org/officeDocument/2006/relationships/hyperlink" Target="status:Frozen" TargetMode="External"/><Relationship Id="rId69" Type="http://schemas.openxmlformats.org/officeDocument/2006/relationships/hyperlink" Target="status:DoubleShield" TargetMode="External"/><Relationship Id="rId68" Type="http://schemas.openxmlformats.org/officeDocument/2006/relationships/hyperlink" Target="status:DoubleNextAttack" TargetMode="External"/><Relationship Id="rId67" Type="http://schemas.openxmlformats.org/officeDocument/2006/relationships/hyperlink" Target="status:Dodge" TargetMode="External"/></Relationships>
</file>

<file path=xl/worksheets/_rels/sheet13.xml.rels><?xml version="1.0" encoding="UTF-8" standalone="yes"?><Relationships xmlns="http://schemas.openxmlformats.org/package/2006/relationships"><Relationship Id="rId1" Type="http://schemas.openxmlformats.org/officeDocument/2006/relationships/hyperlink" Target="Status:Strength" TargetMode="External"/></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7.xml"/></Relationships>
</file>

<file path=xl/worksheets/sheet1.xml><?xml version="1.0" encoding="utf-8"?>
<worksheet xmlns:r="http://schemas.openxmlformats.org/officeDocument/2006/relationships" xmlns="http://schemas.openxmlformats.org/spreadsheetml/2006/main">
  <dimension ref="A1:AE51"/>
  <sheetViews>
    <sheetView workbookViewId="0" tabSelected="0">
      <pane xSplit="2" ySplit="1" topLeftCell="C2" state="frozen" activePane="bottomRight"/>
      <selection pane="topRight" activeCell="C1" sqref="C1"/>
      <selection pane="bottomLeft" activeCell="A2" sqref="A2"/>
      <selection pane="bottomRight" activeCell="A1" sqref="A1"/>
    </sheetView>
  </sheetViews>
  <sheetFormatPr defaultRowHeight="15"/>
  <cols>
    <col min="1" max="1" width="19.9516639709473" customWidth="1"/>
    <col min="2" max="2" width="9.140625" customWidth="1"/>
    <col min="3" max="3" width="11.6996202468872" customWidth="1"/>
    <col min="4" max="4" width="25.4629173278809" customWidth="1"/>
    <col min="5" max="5" width="13.9104633331299" customWidth="1"/>
    <col min="6" max="6" width="9.140625" customWidth="1"/>
    <col min="7" max="7" width="52" customWidth="1" style="8"/>
    <col min="8" max="8" width="12.6950616836548" customWidth="1"/>
    <col min="9" max="9" width="10.8034143447876" customWidth="1"/>
    <col min="10" max="10" width="11.1430721282959" customWidth="1"/>
    <col min="11" max="11" width="19.9516639709473" customWidth="1"/>
    <col min="12" max="12" width="13.643443107605" customWidth="1"/>
    <col min="13" max="13" width="15.4921236038208" customWidth="1"/>
    <col min="14" max="14" width="9.140625" customWidth="1"/>
    <col min="15" max="15" width="9.140625" customWidth="1"/>
    <col min="16" max="16" width="14.5416955947876" customWidth="1"/>
    <col min="17" max="17" width="14.6931085586548" customWidth="1"/>
    <col min="18" max="18" width="9.140625" customWidth="1"/>
    <col min="19" max="19" width="14.245005607605" customWidth="1"/>
    <col min="20" max="20" width="9.159348487854" customWidth="1"/>
    <col min="21" max="21" width="9.140625" customWidth="1"/>
    <col min="22" max="22" width="9.140625" customWidth="1"/>
    <col min="23" max="23" width="10.7338466644287" customWidth="1"/>
    <col min="24" max="24" width="15.6813898086548" customWidth="1"/>
    <col min="25" max="25" width="9.995192527771" customWidth="1"/>
    <col min="26" max="26" width="11.1389799118042" customWidth="1"/>
    <col min="27" max="27" width="9.93790149688721" customWidth="1"/>
    <col min="28" max="28" width="10.5374174118042" customWidth="1"/>
    <col min="29" max="29" width="36.6695747375488" customWidth="1"/>
    <col min="30" max="30" width="9.140625" customWidth="1"/>
    <col min="31" max="31" width="46" customWidth="1" style="8"/>
  </cols>
  <sheetData>
    <row r="1">
      <c r="A1" s="7" t="s">
        <v>0</v>
      </c>
      <c r="B1" s="7" t="s">
        <v>1</v>
      </c>
      <c r="C1" s="7" t="s">
        <v>2</v>
      </c>
      <c r="D1" s="7" t="s">
        <v>3</v>
      </c>
      <c r="E1" s="7" t="s">
        <v>4</v>
      </c>
      <c r="F1" s="7" t="s">
        <v>5</v>
      </c>
      <c r="G1" s="9"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c r="Y1" s="7" t="s">
        <v>24</v>
      </c>
      <c r="Z1" s="7" t="s">
        <v>25</v>
      </c>
      <c r="AA1" s="7" t="s">
        <v>26</v>
      </c>
      <c r="AB1" s="7" t="s">
        <v>27</v>
      </c>
      <c r="AC1" s="7" t="s">
        <v>28</v>
      </c>
      <c r="AD1" s="7" t="s">
        <v>29</v>
      </c>
      <c r="AE1" s="9" t="s">
        <v>30</v>
      </c>
    </row>
    <row r="2">
      <c r="A2" s="0" t="s">
        <v>31</v>
      </c>
      <c r="B2" s="0">
        <v>1</v>
      </c>
      <c r="C2" s="0" t="s">
        <v>32</v>
      </c>
      <c r="D2" s="0" t="s">
        <v>33</v>
      </c>
      <c r="E2" s="0" t="s">
        <v>34</v>
      </c>
      <c r="F2" s="0" t="s">
        <v>34</v>
      </c>
      <c r="G2" s="8" t="s">
        <v>35</v>
      </c>
      <c r="H2" s="0" t="s">
        <v>36</v>
      </c>
      <c r="I2" s="0">
        <v>0</v>
      </c>
      <c r="J2" s="0">
        <v>0</v>
      </c>
      <c r="K2" s="0" t="s">
        <v>31</v>
      </c>
      <c r="L2" s="0" t="s">
        <v>37</v>
      </c>
      <c r="M2" s="0" t="s">
        <v>38</v>
      </c>
      <c r="N2" s="0" t="s">
        <v>39</v>
      </c>
      <c r="O2" s="0" t="s">
        <v>40</v>
      </c>
      <c r="P2" s="0" t="s">
        <v>41</v>
      </c>
      <c r="Q2" s="0" t="s">
        <v>34</v>
      </c>
      <c r="R2" s="0" t="s">
        <v>34</v>
      </c>
      <c r="S2" s="0" t="s">
        <v>34</v>
      </c>
      <c r="T2" s="0" t="s">
        <v>34</v>
      </c>
      <c r="U2" s="0" t="s">
        <v>34</v>
      </c>
      <c r="V2" s="0" t="s">
        <v>34</v>
      </c>
      <c r="W2" s="0" t="s">
        <v>34</v>
      </c>
      <c r="X2" s="0" t="s">
        <v>34</v>
      </c>
      <c r="Y2" s="0" t="s">
        <v>34</v>
      </c>
      <c r="Z2" s="0" t="s">
        <v>42</v>
      </c>
      <c r="AA2" s="0" t="s">
        <v>43</v>
      </c>
      <c r="AB2" s="0" t="s">
        <v>34</v>
      </c>
      <c r="AC2" s="0" t="s">
        <v>44</v>
      </c>
      <c r="AD2" s="0">
        <f>IF($AC2="","NEW","Live")</f>
      </c>
      <c r="AE2" s="8" t="s">
        <v>34</v>
      </c>
    </row>
    <row r="3">
      <c r="A3" s="0" t="s">
        <v>45</v>
      </c>
      <c r="B3" s="0">
        <v>1</v>
      </c>
      <c r="C3" s="0" t="s">
        <v>32</v>
      </c>
      <c r="D3" s="0" t="s">
        <v>46</v>
      </c>
      <c r="E3" s="0" t="s">
        <v>47</v>
      </c>
      <c r="F3" s="0" t="s">
        <v>34</v>
      </c>
      <c r="G3" s="8" t="s">
        <v>48</v>
      </c>
      <c r="H3" s="0" t="s">
        <v>36</v>
      </c>
      <c r="I3" s="0">
        <v>0</v>
      </c>
      <c r="J3" s="0">
        <v>0</v>
      </c>
      <c r="K3" s="0" t="s">
        <v>45</v>
      </c>
      <c r="L3" s="0" t="s">
        <v>49</v>
      </c>
      <c r="M3" s="0" t="s">
        <v>38</v>
      </c>
      <c r="N3" s="0" t="s">
        <v>39</v>
      </c>
      <c r="O3" s="0" t="s">
        <v>40</v>
      </c>
      <c r="P3" s="0" t="s">
        <v>41</v>
      </c>
      <c r="Q3" s="0" t="s">
        <v>34</v>
      </c>
      <c r="R3" s="0" t="s">
        <v>40</v>
      </c>
      <c r="S3" s="0" t="s">
        <v>41</v>
      </c>
      <c r="T3" s="0" t="s">
        <v>34</v>
      </c>
      <c r="U3" s="0" t="s">
        <v>34</v>
      </c>
      <c r="V3" s="0" t="s">
        <v>34</v>
      </c>
      <c r="W3" s="0" t="s">
        <v>34</v>
      </c>
      <c r="X3" s="0" t="s">
        <v>50</v>
      </c>
      <c r="Y3" s="0" t="s">
        <v>34</v>
      </c>
      <c r="Z3" s="0" t="s">
        <v>43</v>
      </c>
      <c r="AA3" s="0" t="s">
        <v>43</v>
      </c>
      <c r="AB3" s="0" t="s">
        <v>34</v>
      </c>
      <c r="AC3" s="0" t="s">
        <v>51</v>
      </c>
      <c r="AD3" s="0">
        <f>IF($AC3="","NEW","Live")</f>
      </c>
      <c r="AE3" s="8" t="s">
        <v>34</v>
      </c>
    </row>
    <row r="4">
      <c r="A4" s="0" t="s">
        <v>52</v>
      </c>
      <c r="B4" s="0">
        <v>1</v>
      </c>
      <c r="C4" s="0" t="s">
        <v>32</v>
      </c>
      <c r="D4" s="0" t="s">
        <v>53</v>
      </c>
      <c r="E4" s="0" t="s">
        <v>47</v>
      </c>
      <c r="F4" s="0" t="s">
        <v>34</v>
      </c>
      <c r="G4" s="8" t="s">
        <v>54</v>
      </c>
      <c r="H4" s="0" t="s">
        <v>36</v>
      </c>
      <c r="I4" s="0">
        <v>0</v>
      </c>
      <c r="J4" s="0">
        <v>0</v>
      </c>
      <c r="K4" s="0" t="s">
        <v>52</v>
      </c>
      <c r="L4" s="0" t="s">
        <v>49</v>
      </c>
      <c r="M4" s="0" t="s">
        <v>38</v>
      </c>
      <c r="N4" s="0" t="s">
        <v>39</v>
      </c>
      <c r="O4" s="0" t="s">
        <v>40</v>
      </c>
      <c r="P4" s="0" t="s">
        <v>41</v>
      </c>
      <c r="Q4" s="0" t="s">
        <v>34</v>
      </c>
      <c r="R4" s="0" t="s">
        <v>40</v>
      </c>
      <c r="S4" s="0" t="s">
        <v>41</v>
      </c>
      <c r="T4" s="0" t="s">
        <v>34</v>
      </c>
      <c r="U4" s="0" t="s">
        <v>34</v>
      </c>
      <c r="V4" s="0" t="s">
        <v>34</v>
      </c>
      <c r="W4" s="0" t="s">
        <v>34</v>
      </c>
      <c r="X4" s="0" t="s">
        <v>55</v>
      </c>
      <c r="Y4" s="0" t="s">
        <v>34</v>
      </c>
      <c r="Z4" s="0" t="s">
        <v>43</v>
      </c>
      <c r="AA4" s="0" t="s">
        <v>43</v>
      </c>
      <c r="AB4" s="0" t="s">
        <v>34</v>
      </c>
      <c r="AC4" s="0" t="s">
        <v>56</v>
      </c>
      <c r="AD4" s="0">
        <f>IF($AC4="","NEW","Live")</f>
      </c>
      <c r="AE4" s="8" t="s">
        <v>34</v>
      </c>
    </row>
    <row r="5">
      <c r="A5" s="0" t="s">
        <v>57</v>
      </c>
      <c r="B5" s="0">
        <v>1</v>
      </c>
      <c r="C5" s="0" t="s">
        <v>32</v>
      </c>
      <c r="D5" s="0" t="s">
        <v>53</v>
      </c>
      <c r="E5" s="0" t="s">
        <v>34</v>
      </c>
      <c r="F5" s="0" t="s">
        <v>34</v>
      </c>
      <c r="G5" s="8" t="s">
        <v>58</v>
      </c>
      <c r="H5" s="0" t="s">
        <v>36</v>
      </c>
      <c r="I5" s="0">
        <v>0</v>
      </c>
      <c r="J5" s="0">
        <v>0</v>
      </c>
      <c r="K5" s="0" t="s">
        <v>57</v>
      </c>
      <c r="L5" s="0" t="s">
        <v>49</v>
      </c>
      <c r="M5" s="0" t="s">
        <v>38</v>
      </c>
      <c r="N5" s="0" t="s">
        <v>39</v>
      </c>
      <c r="O5" s="0" t="s">
        <v>40</v>
      </c>
      <c r="P5" s="0" t="s">
        <v>41</v>
      </c>
      <c r="Q5" s="0" t="s">
        <v>34</v>
      </c>
      <c r="R5" s="0" t="s">
        <v>34</v>
      </c>
      <c r="S5" s="0" t="s">
        <v>34</v>
      </c>
      <c r="T5" s="0" t="s">
        <v>34</v>
      </c>
      <c r="U5" s="0" t="s">
        <v>34</v>
      </c>
      <c r="V5" s="0" t="s">
        <v>34</v>
      </c>
      <c r="W5" s="0" t="s">
        <v>34</v>
      </c>
      <c r="X5" s="0" t="s">
        <v>59</v>
      </c>
      <c r="Y5" s="0" t="s">
        <v>34</v>
      </c>
      <c r="Z5" s="0" t="s">
        <v>43</v>
      </c>
      <c r="AA5" s="0" t="s">
        <v>43</v>
      </c>
      <c r="AB5" s="0" t="s">
        <v>34</v>
      </c>
      <c r="AC5" s="0" t="s">
        <v>60</v>
      </c>
      <c r="AD5" s="0">
        <f>IF($AC5="","NEW","Live")</f>
      </c>
      <c r="AE5" s="8" t="s">
        <v>34</v>
      </c>
    </row>
    <row r="6">
      <c r="A6" s="0" t="s">
        <v>61</v>
      </c>
      <c r="B6" s="0">
        <v>1</v>
      </c>
      <c r="C6" s="0" t="s">
        <v>62</v>
      </c>
      <c r="D6" s="0" t="s">
        <v>63</v>
      </c>
      <c r="E6" s="0" t="s">
        <v>53</v>
      </c>
      <c r="F6" s="0" t="s">
        <v>47</v>
      </c>
      <c r="G6" s="8" t="s">
        <v>64</v>
      </c>
      <c r="H6" s="0" t="s">
        <v>36</v>
      </c>
      <c r="I6" s="0">
        <v>0</v>
      </c>
      <c r="J6" s="0">
        <v>0</v>
      </c>
      <c r="K6" s="0" t="s">
        <v>61</v>
      </c>
      <c r="L6" s="0" t="s">
        <v>49</v>
      </c>
      <c r="M6" s="0" t="s">
        <v>38</v>
      </c>
      <c r="N6" s="0" t="s">
        <v>34</v>
      </c>
      <c r="O6" s="0" t="s">
        <v>40</v>
      </c>
      <c r="P6" s="0" t="s">
        <v>65</v>
      </c>
      <c r="Q6" s="0" t="s">
        <v>34</v>
      </c>
      <c r="R6" s="0" t="s">
        <v>40</v>
      </c>
      <c r="S6" s="0" t="s">
        <v>41</v>
      </c>
      <c r="T6" s="0" t="s">
        <v>66</v>
      </c>
      <c r="U6" s="0" t="s">
        <v>40</v>
      </c>
      <c r="V6" s="0" t="s">
        <v>41</v>
      </c>
      <c r="W6" s="0" t="s">
        <v>67</v>
      </c>
      <c r="X6" s="0" t="s">
        <v>34</v>
      </c>
      <c r="Y6" s="0" t="s">
        <v>34</v>
      </c>
      <c r="Z6" s="0" t="s">
        <v>43</v>
      </c>
      <c r="AA6" s="0" t="s">
        <v>43</v>
      </c>
      <c r="AB6" s="0" t="s">
        <v>34</v>
      </c>
      <c r="AC6" s="0" t="s">
        <v>68</v>
      </c>
      <c r="AD6" s="0">
        <f>IF($AC6="","NEW","Live")</f>
      </c>
      <c r="AE6" s="8" t="s">
        <v>34</v>
      </c>
    </row>
    <row r="7">
      <c r="A7" s="0" t="s">
        <v>69</v>
      </c>
      <c r="B7" s="0">
        <v>1</v>
      </c>
      <c r="C7" s="0" t="s">
        <v>32</v>
      </c>
      <c r="D7" s="0" t="s">
        <v>53</v>
      </c>
      <c r="E7" s="0" t="s">
        <v>34</v>
      </c>
      <c r="F7" s="0" t="s">
        <v>34</v>
      </c>
      <c r="G7" s="8" t="s">
        <v>70</v>
      </c>
      <c r="H7" s="0" t="s">
        <v>36</v>
      </c>
      <c r="I7" s="0">
        <v>0</v>
      </c>
      <c r="J7" s="0">
        <v>0</v>
      </c>
      <c r="K7" s="0" t="s">
        <v>69</v>
      </c>
      <c r="L7" s="0" t="s">
        <v>49</v>
      </c>
      <c r="M7" s="0" t="s">
        <v>38</v>
      </c>
      <c r="N7" s="0" t="s">
        <v>39</v>
      </c>
      <c r="O7" s="0" t="s">
        <v>40</v>
      </c>
      <c r="P7" s="0" t="s">
        <v>41</v>
      </c>
      <c r="Q7" s="0" t="s">
        <v>66</v>
      </c>
      <c r="R7" s="0" t="s">
        <v>34</v>
      </c>
      <c r="S7" s="0" t="s">
        <v>34</v>
      </c>
      <c r="T7" s="0" t="s">
        <v>34</v>
      </c>
      <c r="U7" s="0" t="s">
        <v>34</v>
      </c>
      <c r="V7" s="0" t="s">
        <v>34</v>
      </c>
      <c r="W7" s="0" t="s">
        <v>34</v>
      </c>
      <c r="X7" s="0" t="s">
        <v>34</v>
      </c>
      <c r="Y7" s="0" t="s">
        <v>34</v>
      </c>
      <c r="Z7" s="0" t="s">
        <v>43</v>
      </c>
      <c r="AA7" s="0" t="s">
        <v>43</v>
      </c>
      <c r="AB7" s="0" t="s">
        <v>34</v>
      </c>
      <c r="AC7" s="0" t="s">
        <v>71</v>
      </c>
      <c r="AD7" s="0">
        <f>IF($AC7="","NEW","Live")</f>
      </c>
      <c r="AE7" s="8" t="s">
        <v>34</v>
      </c>
    </row>
    <row r="8">
      <c r="A8" s="0" t="s">
        <v>72</v>
      </c>
      <c r="B8" s="0">
        <v>1</v>
      </c>
      <c r="C8" s="0" t="s">
        <v>32</v>
      </c>
      <c r="D8" s="0" t="s">
        <v>73</v>
      </c>
      <c r="E8" s="0" t="s">
        <v>34</v>
      </c>
      <c r="F8" s="0" t="s">
        <v>34</v>
      </c>
      <c r="G8" s="8" t="s">
        <v>74</v>
      </c>
      <c r="H8" s="0" t="s">
        <v>36</v>
      </c>
      <c r="I8" s="0">
        <v>0</v>
      </c>
      <c r="J8" s="0">
        <v>0</v>
      </c>
      <c r="K8" s="0" t="s">
        <v>72</v>
      </c>
      <c r="L8" s="0" t="s">
        <v>49</v>
      </c>
      <c r="M8" s="0" t="s">
        <v>38</v>
      </c>
      <c r="N8" s="0" t="s">
        <v>39</v>
      </c>
      <c r="O8" s="0" t="s">
        <v>40</v>
      </c>
      <c r="P8" s="0" t="s">
        <v>41</v>
      </c>
      <c r="Q8" s="0" t="s">
        <v>34</v>
      </c>
      <c r="R8" s="0" t="s">
        <v>34</v>
      </c>
      <c r="S8" s="0" t="s">
        <v>34</v>
      </c>
      <c r="T8" s="0" t="s">
        <v>34</v>
      </c>
      <c r="U8" s="0" t="s">
        <v>34</v>
      </c>
      <c r="V8" s="0" t="s">
        <v>34</v>
      </c>
      <c r="W8" s="0" t="s">
        <v>34</v>
      </c>
      <c r="X8" s="0" t="s">
        <v>34</v>
      </c>
      <c r="Y8" s="0" t="s">
        <v>34</v>
      </c>
      <c r="Z8" s="0" t="s">
        <v>43</v>
      </c>
      <c r="AA8" s="0" t="s">
        <v>43</v>
      </c>
      <c r="AB8" s="0" t="s">
        <v>34</v>
      </c>
      <c r="AC8" s="0" t="s">
        <v>75</v>
      </c>
      <c r="AD8" s="0">
        <f>IF($AC8="","NEW","Live")</f>
      </c>
      <c r="AE8" s="8" t="s">
        <v>34</v>
      </c>
    </row>
    <row r="9">
      <c r="A9" s="0" t="s">
        <v>76</v>
      </c>
      <c r="B9" s="0">
        <v>1</v>
      </c>
      <c r="C9" s="0" t="s">
        <v>32</v>
      </c>
      <c r="D9" s="0" t="s">
        <v>33</v>
      </c>
      <c r="E9" s="0" t="s">
        <v>34</v>
      </c>
      <c r="F9" s="0" t="s">
        <v>34</v>
      </c>
      <c r="G9" s="8" t="s">
        <v>77</v>
      </c>
      <c r="H9" s="0" t="s">
        <v>36</v>
      </c>
      <c r="I9" s="0">
        <v>0</v>
      </c>
      <c r="J9" s="0">
        <v>0</v>
      </c>
      <c r="K9" s="0" t="s">
        <v>76</v>
      </c>
      <c r="L9" s="0" t="s">
        <v>49</v>
      </c>
      <c r="M9" s="0" t="s">
        <v>38</v>
      </c>
      <c r="N9" s="0" t="s">
        <v>39</v>
      </c>
      <c r="O9" s="0" t="s">
        <v>40</v>
      </c>
      <c r="P9" s="0" t="s">
        <v>78</v>
      </c>
      <c r="Q9" s="0" t="s">
        <v>34</v>
      </c>
      <c r="R9" s="0" t="s">
        <v>34</v>
      </c>
      <c r="S9" s="0" t="s">
        <v>34</v>
      </c>
      <c r="T9" s="0" t="s">
        <v>34</v>
      </c>
      <c r="U9" s="0" t="s">
        <v>34</v>
      </c>
      <c r="V9" s="0" t="s">
        <v>34</v>
      </c>
      <c r="W9" s="0" t="s">
        <v>34</v>
      </c>
      <c r="X9" s="0" t="s">
        <v>34</v>
      </c>
      <c r="Y9" s="0" t="s">
        <v>34</v>
      </c>
      <c r="Z9" s="0" t="s">
        <v>43</v>
      </c>
      <c r="AA9" s="0" t="s">
        <v>43</v>
      </c>
      <c r="AB9" s="0" t="s">
        <v>34</v>
      </c>
      <c r="AC9" s="0" t="s">
        <v>79</v>
      </c>
      <c r="AD9" s="0">
        <f>IF($AC9="","NEW","Live")</f>
      </c>
      <c r="AE9" s="8" t="s">
        <v>34</v>
      </c>
    </row>
    <row r="10">
      <c r="A10" s="0" t="s">
        <v>80</v>
      </c>
      <c r="B10" s="0">
        <v>1</v>
      </c>
      <c r="C10" s="0" t="s">
        <v>81</v>
      </c>
      <c r="D10" s="0" t="s">
        <v>82</v>
      </c>
      <c r="E10" s="0" t="s">
        <v>34</v>
      </c>
      <c r="F10" s="0" t="s">
        <v>34</v>
      </c>
      <c r="G10" s="8" t="s">
        <v>83</v>
      </c>
      <c r="H10" s="0" t="s">
        <v>36</v>
      </c>
      <c r="I10" s="0">
        <v>0</v>
      </c>
      <c r="J10" s="0">
        <v>0</v>
      </c>
      <c r="K10" s="0" t="s">
        <v>80</v>
      </c>
      <c r="L10" s="0" t="s">
        <v>49</v>
      </c>
      <c r="M10" s="0" t="s">
        <v>38</v>
      </c>
      <c r="N10" s="0" t="s">
        <v>39</v>
      </c>
      <c r="O10" s="0" t="s">
        <v>40</v>
      </c>
      <c r="P10" s="0" t="s">
        <v>41</v>
      </c>
      <c r="Q10" s="0" t="s">
        <v>34</v>
      </c>
      <c r="R10" s="0" t="s">
        <v>34</v>
      </c>
      <c r="S10" s="0" t="s">
        <v>34</v>
      </c>
      <c r="T10" s="0" t="s">
        <v>34</v>
      </c>
      <c r="U10" s="0" t="s">
        <v>34</v>
      </c>
      <c r="V10" s="0" t="s">
        <v>34</v>
      </c>
      <c r="W10" s="0" t="s">
        <v>34</v>
      </c>
      <c r="X10" s="0" t="s">
        <v>34</v>
      </c>
      <c r="Y10" s="0" t="s">
        <v>34</v>
      </c>
      <c r="Z10" s="0" t="s">
        <v>42</v>
      </c>
      <c r="AA10" s="0" t="s">
        <v>43</v>
      </c>
      <c r="AB10" s="0" t="s">
        <v>34</v>
      </c>
      <c r="AC10" s="0" t="s">
        <v>84</v>
      </c>
      <c r="AD10" s="0">
        <f>IF($AC10="","NEW","Live")</f>
      </c>
      <c r="AE10" s="8" t="s">
        <v>34</v>
      </c>
    </row>
    <row r="11">
      <c r="A11" s="0" t="s">
        <v>85</v>
      </c>
      <c r="B11" s="0">
        <v>1</v>
      </c>
      <c r="C11" s="0" t="s">
        <v>62</v>
      </c>
      <c r="D11" s="0" t="s">
        <v>53</v>
      </c>
      <c r="E11" s="0" t="s">
        <v>34</v>
      </c>
      <c r="F11" s="0" t="s">
        <v>34</v>
      </c>
      <c r="G11" s="8" t="s">
        <v>86</v>
      </c>
      <c r="H11" s="0" t="s">
        <v>36</v>
      </c>
      <c r="I11" s="0">
        <v>0</v>
      </c>
      <c r="J11" s="0">
        <v>0</v>
      </c>
      <c r="K11" s="0" t="s">
        <v>85</v>
      </c>
      <c r="L11" s="0" t="s">
        <v>49</v>
      </c>
      <c r="M11" s="0" t="s">
        <v>38</v>
      </c>
      <c r="N11" s="0" t="s">
        <v>39</v>
      </c>
      <c r="O11" s="0" t="s">
        <v>40</v>
      </c>
      <c r="P11" s="0" t="s">
        <v>87</v>
      </c>
      <c r="Q11" s="0" t="s">
        <v>34</v>
      </c>
      <c r="R11" s="0" t="s">
        <v>34</v>
      </c>
      <c r="S11" s="0" t="s">
        <v>34</v>
      </c>
      <c r="T11" s="0" t="s">
        <v>34</v>
      </c>
      <c r="U11" s="0" t="s">
        <v>34</v>
      </c>
      <c r="V11" s="0" t="s">
        <v>34</v>
      </c>
      <c r="W11" s="0" t="s">
        <v>34</v>
      </c>
      <c r="X11" s="0" t="s">
        <v>34</v>
      </c>
      <c r="Y11" s="0" t="s">
        <v>34</v>
      </c>
      <c r="Z11" s="0" t="s">
        <v>43</v>
      </c>
      <c r="AA11" s="0" t="s">
        <v>43</v>
      </c>
      <c r="AB11" s="0" t="s">
        <v>34</v>
      </c>
      <c r="AC11" s="0" t="s">
        <v>88</v>
      </c>
      <c r="AD11" s="0">
        <f>IF($AC11="","NEW","Live")</f>
      </c>
      <c r="AE11" s="8" t="s">
        <v>34</v>
      </c>
    </row>
    <row r="12">
      <c r="A12" s="0" t="s">
        <v>89</v>
      </c>
      <c r="B12" s="0">
        <v>1</v>
      </c>
      <c r="C12" s="0" t="s">
        <v>32</v>
      </c>
      <c r="D12" s="0" t="s">
        <v>46</v>
      </c>
      <c r="E12" s="0" t="s">
        <v>34</v>
      </c>
      <c r="F12" s="0" t="s">
        <v>34</v>
      </c>
      <c r="G12" s="8" t="s">
        <v>90</v>
      </c>
      <c r="H12" s="0" t="s">
        <v>36</v>
      </c>
      <c r="I12" s="0">
        <v>0</v>
      </c>
      <c r="J12" s="0">
        <v>0</v>
      </c>
      <c r="K12" s="0" t="s">
        <v>89</v>
      </c>
      <c r="L12" s="0" t="s">
        <v>49</v>
      </c>
      <c r="M12" s="0" t="s">
        <v>38</v>
      </c>
      <c r="N12" s="0" t="s">
        <v>39</v>
      </c>
      <c r="O12" s="0" t="s">
        <v>40</v>
      </c>
      <c r="P12" s="0" t="s">
        <v>78</v>
      </c>
      <c r="Q12" s="0" t="s">
        <v>34</v>
      </c>
      <c r="R12" s="0" t="s">
        <v>34</v>
      </c>
      <c r="S12" s="0" t="s">
        <v>34</v>
      </c>
      <c r="T12" s="0" t="s">
        <v>34</v>
      </c>
      <c r="U12" s="0" t="s">
        <v>34</v>
      </c>
      <c r="V12" s="0" t="s">
        <v>34</v>
      </c>
      <c r="W12" s="0" t="s">
        <v>34</v>
      </c>
      <c r="X12" s="0" t="s">
        <v>34</v>
      </c>
      <c r="Y12" s="0" t="s">
        <v>34</v>
      </c>
      <c r="Z12" s="0" t="s">
        <v>43</v>
      </c>
      <c r="AA12" s="0" t="s">
        <v>43</v>
      </c>
      <c r="AB12" s="0" t="s">
        <v>34</v>
      </c>
      <c r="AC12" s="0" t="s">
        <v>91</v>
      </c>
      <c r="AD12" s="0">
        <f>IF($AC12="","NEW","Live")</f>
      </c>
      <c r="AE12" s="8" t="s">
        <v>34</v>
      </c>
    </row>
    <row r="13">
      <c r="A13" s="0" t="s">
        <v>92</v>
      </c>
      <c r="B13" s="0">
        <v>1</v>
      </c>
      <c r="C13" s="0" t="s">
        <v>32</v>
      </c>
      <c r="D13" s="0" t="s">
        <v>33</v>
      </c>
      <c r="E13" s="0" t="s">
        <v>34</v>
      </c>
      <c r="F13" s="0" t="s">
        <v>34</v>
      </c>
      <c r="G13" s="8" t="s">
        <v>93</v>
      </c>
      <c r="H13" s="0" t="s">
        <v>36</v>
      </c>
      <c r="I13" s="0">
        <v>0</v>
      </c>
      <c r="J13" s="0">
        <v>0</v>
      </c>
      <c r="K13" s="0" t="s">
        <v>92</v>
      </c>
      <c r="L13" s="0" t="s">
        <v>49</v>
      </c>
      <c r="M13" s="0" t="s">
        <v>38</v>
      </c>
      <c r="N13" s="0" t="s">
        <v>39</v>
      </c>
      <c r="O13" s="0" t="s">
        <v>40</v>
      </c>
      <c r="P13" s="0" t="s">
        <v>41</v>
      </c>
      <c r="Q13" s="0" t="s">
        <v>94</v>
      </c>
      <c r="R13" s="0" t="s">
        <v>34</v>
      </c>
      <c r="S13" s="0" t="s">
        <v>34</v>
      </c>
      <c r="T13" s="0" t="s">
        <v>34</v>
      </c>
      <c r="U13" s="0" t="s">
        <v>34</v>
      </c>
      <c r="V13" s="0" t="s">
        <v>34</v>
      </c>
      <c r="W13" s="0" t="s">
        <v>34</v>
      </c>
      <c r="X13" s="0" t="s">
        <v>34</v>
      </c>
      <c r="Y13" s="0" t="s">
        <v>34</v>
      </c>
      <c r="Z13" s="0" t="s">
        <v>43</v>
      </c>
      <c r="AA13" s="0" t="s">
        <v>43</v>
      </c>
      <c r="AB13" s="0" t="s">
        <v>34</v>
      </c>
      <c r="AC13" s="0" t="s">
        <v>95</v>
      </c>
      <c r="AD13" s="0">
        <f>IF($AC13="","NEW","Live")</f>
      </c>
      <c r="AE13" s="8" t="s">
        <v>34</v>
      </c>
    </row>
    <row r="14">
      <c r="A14" s="0" t="s">
        <v>96</v>
      </c>
      <c r="B14" s="0">
        <v>1</v>
      </c>
      <c r="C14" s="0" t="s">
        <v>32</v>
      </c>
      <c r="D14" s="0" t="s">
        <v>97</v>
      </c>
      <c r="E14" s="0" t="s">
        <v>47</v>
      </c>
      <c r="F14" s="0" t="s">
        <v>34</v>
      </c>
      <c r="G14" s="8" t="s">
        <v>98</v>
      </c>
      <c r="H14" s="0" t="s">
        <v>36</v>
      </c>
      <c r="I14" s="0">
        <v>0</v>
      </c>
      <c r="J14" s="0">
        <v>0</v>
      </c>
      <c r="K14" s="0" t="s">
        <v>96</v>
      </c>
      <c r="L14" s="0" t="s">
        <v>49</v>
      </c>
      <c r="M14" s="0" t="s">
        <v>38</v>
      </c>
      <c r="N14" s="0" t="s">
        <v>39</v>
      </c>
      <c r="O14" s="0" t="s">
        <v>40</v>
      </c>
      <c r="P14" s="0" t="s">
        <v>41</v>
      </c>
      <c r="Q14" s="0" t="s">
        <v>34</v>
      </c>
      <c r="R14" s="0" t="s">
        <v>40</v>
      </c>
      <c r="S14" s="0" t="s">
        <v>41</v>
      </c>
      <c r="T14" s="0" t="s">
        <v>34</v>
      </c>
      <c r="U14" s="0" t="s">
        <v>34</v>
      </c>
      <c r="V14" s="0" t="s">
        <v>34</v>
      </c>
      <c r="W14" s="0" t="s">
        <v>34</v>
      </c>
      <c r="X14" s="0" t="s">
        <v>34</v>
      </c>
      <c r="Y14" s="0" t="s">
        <v>34</v>
      </c>
      <c r="Z14" s="0" t="s">
        <v>43</v>
      </c>
      <c r="AA14" s="0" t="s">
        <v>43</v>
      </c>
      <c r="AB14" s="0" t="s">
        <v>34</v>
      </c>
      <c r="AC14" s="0" t="s">
        <v>99</v>
      </c>
      <c r="AD14" s="0">
        <f>IF($AC14="","NEW","Live")</f>
      </c>
      <c r="AE14" s="8" t="s">
        <v>34</v>
      </c>
    </row>
    <row r="15">
      <c r="A15" s="0" t="s">
        <v>63</v>
      </c>
      <c r="B15" s="0">
        <v>1</v>
      </c>
      <c r="C15" s="0" t="s">
        <v>32</v>
      </c>
      <c r="D15" s="0" t="s">
        <v>63</v>
      </c>
      <c r="E15" s="0" t="s">
        <v>34</v>
      </c>
      <c r="F15" s="0" t="s">
        <v>34</v>
      </c>
      <c r="G15" s="8" t="s">
        <v>100</v>
      </c>
      <c r="H15" s="0" t="s">
        <v>101</v>
      </c>
      <c r="I15" s="0">
        <v>1</v>
      </c>
      <c r="J15" s="0">
        <v>3</v>
      </c>
      <c r="K15" s="0" t="s">
        <v>63</v>
      </c>
      <c r="L15" s="0" t="s">
        <v>49</v>
      </c>
      <c r="M15" s="0" t="s">
        <v>38</v>
      </c>
      <c r="N15" s="0" t="s">
        <v>34</v>
      </c>
      <c r="O15" s="0" t="s">
        <v>102</v>
      </c>
      <c r="P15" s="0" t="s">
        <v>41</v>
      </c>
      <c r="Q15" s="0" t="s">
        <v>34</v>
      </c>
      <c r="R15" s="0" t="s">
        <v>34</v>
      </c>
      <c r="S15" s="0" t="s">
        <v>34</v>
      </c>
      <c r="T15" s="0" t="s">
        <v>34</v>
      </c>
      <c r="U15" s="0" t="s">
        <v>34</v>
      </c>
      <c r="V15" s="0" t="s">
        <v>34</v>
      </c>
      <c r="W15" s="0" t="s">
        <v>34</v>
      </c>
      <c r="X15" s="0" t="s">
        <v>34</v>
      </c>
      <c r="Y15" s="0" t="s">
        <v>34</v>
      </c>
      <c r="Z15" s="0" t="s">
        <v>43</v>
      </c>
      <c r="AA15" s="0" t="s">
        <v>43</v>
      </c>
      <c r="AB15" s="0" t="s">
        <v>34</v>
      </c>
      <c r="AC15" s="0" t="s">
        <v>103</v>
      </c>
      <c r="AD15" s="0">
        <f>IF($AC15="","NEW","Live")</f>
      </c>
      <c r="AE15" s="8" t="s">
        <v>34</v>
      </c>
    </row>
    <row r="16">
      <c r="A16" s="0" t="s">
        <v>104</v>
      </c>
      <c r="B16" s="0">
        <v>1</v>
      </c>
      <c r="C16" s="0" t="s">
        <v>32</v>
      </c>
      <c r="D16" s="0" t="s">
        <v>33</v>
      </c>
      <c r="E16" s="0" t="s">
        <v>47</v>
      </c>
      <c r="F16" s="0" t="s">
        <v>34</v>
      </c>
      <c r="G16" s="8" t="s">
        <v>105</v>
      </c>
      <c r="H16" s="0" t="s">
        <v>36</v>
      </c>
      <c r="I16" s="0">
        <v>0</v>
      </c>
      <c r="J16" s="0">
        <v>0</v>
      </c>
      <c r="K16" s="0" t="s">
        <v>104</v>
      </c>
      <c r="L16" s="0" t="s">
        <v>49</v>
      </c>
      <c r="M16" s="0" t="s">
        <v>38</v>
      </c>
      <c r="N16" s="0" t="s">
        <v>39</v>
      </c>
      <c r="O16" s="0" t="s">
        <v>40</v>
      </c>
      <c r="P16" s="0" t="s">
        <v>41</v>
      </c>
      <c r="Q16" s="0" t="s">
        <v>34</v>
      </c>
      <c r="R16" s="0" t="s">
        <v>40</v>
      </c>
      <c r="S16" s="0" t="s">
        <v>41</v>
      </c>
      <c r="T16" s="0" t="s">
        <v>34</v>
      </c>
      <c r="U16" s="0" t="s">
        <v>34</v>
      </c>
      <c r="V16" s="0" t="s">
        <v>34</v>
      </c>
      <c r="W16" s="0" t="s">
        <v>34</v>
      </c>
      <c r="X16" s="0" t="s">
        <v>59</v>
      </c>
      <c r="Y16" s="0" t="s">
        <v>34</v>
      </c>
      <c r="Z16" s="0" t="s">
        <v>43</v>
      </c>
      <c r="AA16" s="0" t="s">
        <v>43</v>
      </c>
      <c r="AB16" s="0" t="s">
        <v>34</v>
      </c>
      <c r="AC16" s="0" t="s">
        <v>106</v>
      </c>
      <c r="AD16" s="0">
        <f>IF($AC16="","NEW","Live")</f>
      </c>
      <c r="AE16" s="8" t="s">
        <v>34</v>
      </c>
    </row>
    <row r="17">
      <c r="A17" s="0" t="s">
        <v>107</v>
      </c>
      <c r="B17" s="0">
        <v>1</v>
      </c>
      <c r="C17" s="0" t="s">
        <v>32</v>
      </c>
      <c r="D17" s="0" t="s">
        <v>108</v>
      </c>
      <c r="E17" s="0" t="s">
        <v>34</v>
      </c>
      <c r="F17" s="0" t="s">
        <v>34</v>
      </c>
      <c r="G17" s="8" t="s">
        <v>109</v>
      </c>
      <c r="H17" s="0" t="s">
        <v>36</v>
      </c>
      <c r="I17" s="0">
        <v>0</v>
      </c>
      <c r="J17" s="0">
        <v>0</v>
      </c>
      <c r="K17" s="0" t="s">
        <v>107</v>
      </c>
      <c r="L17" s="0" t="s">
        <v>49</v>
      </c>
      <c r="M17" s="0" t="s">
        <v>38</v>
      </c>
      <c r="N17" s="0" t="s">
        <v>39</v>
      </c>
      <c r="O17" s="0" t="s">
        <v>40</v>
      </c>
      <c r="P17" s="0" t="s">
        <v>41</v>
      </c>
      <c r="Q17" s="0" t="s">
        <v>34</v>
      </c>
      <c r="R17" s="0" t="s">
        <v>34</v>
      </c>
      <c r="S17" s="0" t="s">
        <v>34</v>
      </c>
      <c r="T17" s="0" t="s">
        <v>34</v>
      </c>
      <c r="U17" s="0" t="s">
        <v>34</v>
      </c>
      <c r="V17" s="0" t="s">
        <v>34</v>
      </c>
      <c r="W17" s="0" t="s">
        <v>34</v>
      </c>
      <c r="X17" s="0" t="s">
        <v>34</v>
      </c>
      <c r="Y17" s="0" t="s">
        <v>34</v>
      </c>
      <c r="Z17" s="0" t="s">
        <v>43</v>
      </c>
      <c r="AA17" s="0" t="s">
        <v>43</v>
      </c>
      <c r="AB17" s="0" t="s">
        <v>34</v>
      </c>
      <c r="AC17" s="0" t="s">
        <v>110</v>
      </c>
      <c r="AD17" s="0">
        <f>IF($AC17="","NEW","Live")</f>
      </c>
      <c r="AE17" s="8" t="s">
        <v>34</v>
      </c>
    </row>
    <row r="18">
      <c r="A18" s="0" t="s">
        <v>111</v>
      </c>
      <c r="B18" s="0">
        <v>2</v>
      </c>
      <c r="C18" s="0" t="s">
        <v>32</v>
      </c>
      <c r="D18" s="0" t="s">
        <v>97</v>
      </c>
      <c r="E18" s="0" t="s">
        <v>34</v>
      </c>
      <c r="F18" s="0" t="s">
        <v>34</v>
      </c>
      <c r="G18" s="8" t="s">
        <v>112</v>
      </c>
      <c r="H18" s="0" t="s">
        <v>36</v>
      </c>
      <c r="I18" s="0">
        <v>0</v>
      </c>
      <c r="J18" s="0">
        <v>0</v>
      </c>
      <c r="K18" s="0" t="s">
        <v>111</v>
      </c>
      <c r="L18" s="0" t="s">
        <v>49</v>
      </c>
      <c r="M18" s="0" t="s">
        <v>38</v>
      </c>
      <c r="N18" s="0" t="s">
        <v>39</v>
      </c>
      <c r="O18" s="0" t="s">
        <v>40</v>
      </c>
      <c r="P18" s="0" t="s">
        <v>87</v>
      </c>
      <c r="Q18" s="0" t="s">
        <v>34</v>
      </c>
      <c r="R18" s="0" t="s">
        <v>34</v>
      </c>
      <c r="S18" s="0" t="s">
        <v>34</v>
      </c>
      <c r="T18" s="0" t="s">
        <v>34</v>
      </c>
      <c r="U18" s="0" t="s">
        <v>34</v>
      </c>
      <c r="V18" s="0" t="s">
        <v>34</v>
      </c>
      <c r="W18" s="0" t="s">
        <v>34</v>
      </c>
      <c r="X18" s="0" t="s">
        <v>34</v>
      </c>
      <c r="Y18" s="0" t="s">
        <v>34</v>
      </c>
      <c r="Z18" s="0" t="s">
        <v>42</v>
      </c>
      <c r="AA18" s="0" t="s">
        <v>43</v>
      </c>
      <c r="AB18" s="0" t="s">
        <v>34</v>
      </c>
      <c r="AC18" s="0" t="s">
        <v>113</v>
      </c>
      <c r="AD18" s="0">
        <f>IF($AC18="","NEW","Live")</f>
      </c>
      <c r="AE18" s="8" t="s">
        <v>34</v>
      </c>
    </row>
    <row r="19">
      <c r="A19" s="0" t="s">
        <v>114</v>
      </c>
      <c r="B19" s="0">
        <v>2</v>
      </c>
      <c r="C19" s="0" t="s">
        <v>62</v>
      </c>
      <c r="D19" s="0" t="s">
        <v>115</v>
      </c>
      <c r="E19" s="0" t="s">
        <v>47</v>
      </c>
      <c r="F19" s="0" t="s">
        <v>34</v>
      </c>
      <c r="G19" s="8" t="s">
        <v>116</v>
      </c>
      <c r="H19" s="0" t="s">
        <v>36</v>
      </c>
      <c r="I19" s="0">
        <v>0</v>
      </c>
      <c r="J19" s="0">
        <v>0</v>
      </c>
      <c r="K19" s="0" t="s">
        <v>114</v>
      </c>
      <c r="L19" s="0" t="s">
        <v>49</v>
      </c>
      <c r="M19" s="0" t="s">
        <v>38</v>
      </c>
      <c r="N19" s="0" t="s">
        <v>39</v>
      </c>
      <c r="O19" s="0" t="s">
        <v>40</v>
      </c>
      <c r="P19" s="0" t="s">
        <v>78</v>
      </c>
      <c r="Q19" s="0" t="s">
        <v>34</v>
      </c>
      <c r="R19" s="0" t="s">
        <v>40</v>
      </c>
      <c r="S19" s="0" t="s">
        <v>41</v>
      </c>
      <c r="T19" s="0" t="s">
        <v>34</v>
      </c>
      <c r="U19" s="0" t="s">
        <v>34</v>
      </c>
      <c r="V19" s="0" t="s">
        <v>34</v>
      </c>
      <c r="W19" s="0" t="s">
        <v>34</v>
      </c>
      <c r="X19" s="0" t="s">
        <v>34</v>
      </c>
      <c r="Y19" s="0" t="s">
        <v>34</v>
      </c>
      <c r="Z19" s="0" t="s">
        <v>43</v>
      </c>
      <c r="AA19" s="0" t="s">
        <v>43</v>
      </c>
      <c r="AB19" s="0" t="s">
        <v>34</v>
      </c>
      <c r="AC19" s="0" t="s">
        <v>117</v>
      </c>
      <c r="AD19" s="0">
        <f>IF($AC19="","NEW","Live")</f>
      </c>
      <c r="AE19" s="8" t="s">
        <v>34</v>
      </c>
    </row>
    <row r="20">
      <c r="A20" s="0" t="s">
        <v>118</v>
      </c>
      <c r="B20" s="0">
        <v>2</v>
      </c>
      <c r="C20" s="0" t="s">
        <v>62</v>
      </c>
      <c r="D20" s="0" t="s">
        <v>53</v>
      </c>
      <c r="E20" s="0" t="s">
        <v>47</v>
      </c>
      <c r="F20" s="0" t="s">
        <v>34</v>
      </c>
      <c r="G20" s="8" t="s">
        <v>119</v>
      </c>
      <c r="H20" s="0" t="s">
        <v>36</v>
      </c>
      <c r="I20" s="0">
        <v>0</v>
      </c>
      <c r="J20" s="0">
        <v>0</v>
      </c>
      <c r="K20" s="0" t="s">
        <v>118</v>
      </c>
      <c r="L20" s="0" t="s">
        <v>49</v>
      </c>
      <c r="M20" s="0" t="s">
        <v>38</v>
      </c>
      <c r="N20" s="0" t="s">
        <v>39</v>
      </c>
      <c r="O20" s="0" t="s">
        <v>40</v>
      </c>
      <c r="P20" s="0" t="s">
        <v>87</v>
      </c>
      <c r="Q20" s="0" t="s">
        <v>34</v>
      </c>
      <c r="R20" s="0" t="s">
        <v>40</v>
      </c>
      <c r="S20" s="0" t="s">
        <v>41</v>
      </c>
      <c r="T20" s="0" t="s">
        <v>34</v>
      </c>
      <c r="U20" s="0" t="s">
        <v>34</v>
      </c>
      <c r="V20" s="0" t="s">
        <v>34</v>
      </c>
      <c r="W20" s="0" t="s">
        <v>34</v>
      </c>
      <c r="X20" s="0" t="s">
        <v>50</v>
      </c>
      <c r="Y20" s="0" t="s">
        <v>34</v>
      </c>
      <c r="Z20" s="0" t="s">
        <v>43</v>
      </c>
      <c r="AA20" s="0" t="s">
        <v>43</v>
      </c>
      <c r="AB20" s="0" t="s">
        <v>34</v>
      </c>
      <c r="AC20" s="0" t="s">
        <v>120</v>
      </c>
      <c r="AD20" s="0">
        <f>IF($AC20="","NEW","Live")</f>
      </c>
      <c r="AE20" s="8" t="s">
        <v>34</v>
      </c>
    </row>
    <row r="21">
      <c r="A21" s="0" t="s">
        <v>121</v>
      </c>
      <c r="B21" s="0">
        <v>1</v>
      </c>
      <c r="C21" s="0" t="s">
        <v>32</v>
      </c>
      <c r="D21" s="0" t="s">
        <v>122</v>
      </c>
      <c r="E21" s="0" t="s">
        <v>34</v>
      </c>
      <c r="F21" s="0" t="s">
        <v>34</v>
      </c>
      <c r="G21" s="8" t="s">
        <v>123</v>
      </c>
      <c r="H21" s="0" t="s">
        <v>36</v>
      </c>
      <c r="I21" s="0">
        <v>0</v>
      </c>
      <c r="J21" s="0">
        <v>0</v>
      </c>
      <c r="K21" s="0" t="s">
        <v>121</v>
      </c>
      <c r="L21" s="0" t="s">
        <v>49</v>
      </c>
      <c r="M21" s="0" t="s">
        <v>124</v>
      </c>
      <c r="N21" s="0" t="s">
        <v>34</v>
      </c>
      <c r="O21" s="0" t="s">
        <v>102</v>
      </c>
      <c r="P21" s="0" t="s">
        <v>41</v>
      </c>
      <c r="Q21" s="0" t="s">
        <v>34</v>
      </c>
      <c r="R21" s="0" t="s">
        <v>34</v>
      </c>
      <c r="S21" s="0" t="s">
        <v>34</v>
      </c>
      <c r="T21" s="0" t="s">
        <v>34</v>
      </c>
      <c r="U21" s="0" t="s">
        <v>34</v>
      </c>
      <c r="V21" s="0" t="s">
        <v>34</v>
      </c>
      <c r="W21" s="0" t="s">
        <v>34</v>
      </c>
      <c r="X21" s="0" t="s">
        <v>34</v>
      </c>
      <c r="Y21" s="0" t="s">
        <v>34</v>
      </c>
      <c r="Z21" s="0" t="s">
        <v>43</v>
      </c>
      <c r="AA21" s="0" t="s">
        <v>43</v>
      </c>
      <c r="AB21" s="0" t="s">
        <v>34</v>
      </c>
      <c r="AC21" s="0" t="s">
        <v>125</v>
      </c>
      <c r="AD21" s="0">
        <f>IF($AC21="","NEW","Live")</f>
      </c>
      <c r="AE21" s="8" t="s">
        <v>34</v>
      </c>
    </row>
    <row r="22">
      <c r="A22" s="0" t="s">
        <v>126</v>
      </c>
      <c r="B22" s="0">
        <v>2</v>
      </c>
      <c r="C22" s="0" t="s">
        <v>32</v>
      </c>
      <c r="D22" s="0" t="s">
        <v>127</v>
      </c>
      <c r="E22" s="0" t="s">
        <v>34</v>
      </c>
      <c r="F22" s="0" t="s">
        <v>34</v>
      </c>
      <c r="G22" s="8" t="s">
        <v>128</v>
      </c>
      <c r="H22" s="0" t="s">
        <v>36</v>
      </c>
      <c r="I22" s="0">
        <v>0</v>
      </c>
      <c r="J22" s="0">
        <v>0</v>
      </c>
      <c r="K22" s="0" t="s">
        <v>126</v>
      </c>
      <c r="L22" s="0" t="s">
        <v>49</v>
      </c>
      <c r="M22" s="0" t="s">
        <v>124</v>
      </c>
      <c r="N22" s="0" t="s">
        <v>34</v>
      </c>
      <c r="O22" s="0" t="s">
        <v>102</v>
      </c>
      <c r="P22" s="0" t="s">
        <v>41</v>
      </c>
      <c r="Q22" s="0" t="s">
        <v>34</v>
      </c>
      <c r="R22" s="0" t="s">
        <v>34</v>
      </c>
      <c r="S22" s="0" t="s">
        <v>34</v>
      </c>
      <c r="T22" s="0" t="s">
        <v>34</v>
      </c>
      <c r="U22" s="0" t="s">
        <v>34</v>
      </c>
      <c r="V22" s="0" t="s">
        <v>34</v>
      </c>
      <c r="W22" s="0" t="s">
        <v>34</v>
      </c>
      <c r="X22" s="0" t="s">
        <v>34</v>
      </c>
      <c r="Y22" s="0" t="s">
        <v>34</v>
      </c>
      <c r="Z22" s="0" t="s">
        <v>43</v>
      </c>
      <c r="AA22" s="0" t="s">
        <v>43</v>
      </c>
      <c r="AB22" s="0" t="s">
        <v>34</v>
      </c>
      <c r="AC22" s="0" t="s">
        <v>129</v>
      </c>
      <c r="AD22" s="0">
        <f>IF($AC22="","NEW","Live")</f>
      </c>
      <c r="AE22" s="8" t="s">
        <v>34</v>
      </c>
    </row>
    <row r="23">
      <c r="A23" s="0" t="s">
        <v>130</v>
      </c>
      <c r="B23" s="0">
        <v>1</v>
      </c>
      <c r="C23" s="0" t="s">
        <v>32</v>
      </c>
      <c r="D23" s="0" t="s">
        <v>131</v>
      </c>
      <c r="E23" s="0" t="s">
        <v>34</v>
      </c>
      <c r="F23" s="0" t="s">
        <v>34</v>
      </c>
      <c r="G23" s="8" t="s">
        <v>132</v>
      </c>
      <c r="H23" s="0" t="s">
        <v>36</v>
      </c>
      <c r="I23" s="0">
        <v>0</v>
      </c>
      <c r="J23" s="0">
        <v>0</v>
      </c>
      <c r="K23" s="0" t="s">
        <v>130</v>
      </c>
      <c r="L23" s="0" t="s">
        <v>49</v>
      </c>
      <c r="M23" s="0" t="s">
        <v>133</v>
      </c>
      <c r="N23" s="0" t="s">
        <v>34</v>
      </c>
      <c r="O23" s="0" t="s">
        <v>40</v>
      </c>
      <c r="P23" s="0" t="s">
        <v>41</v>
      </c>
      <c r="Q23" s="0" t="s">
        <v>34</v>
      </c>
      <c r="R23" s="0" t="s">
        <v>34</v>
      </c>
      <c r="S23" s="0" t="s">
        <v>34</v>
      </c>
      <c r="T23" s="0" t="s">
        <v>34</v>
      </c>
      <c r="U23" s="0" t="s">
        <v>34</v>
      </c>
      <c r="V23" s="0" t="s">
        <v>34</v>
      </c>
      <c r="W23" s="0" t="s">
        <v>34</v>
      </c>
      <c r="X23" s="0" t="s">
        <v>34</v>
      </c>
      <c r="Y23" s="0" t="s">
        <v>34</v>
      </c>
      <c r="Z23" s="0" t="s">
        <v>42</v>
      </c>
      <c r="AA23" s="0" t="s">
        <v>43</v>
      </c>
      <c r="AB23" s="0" t="s">
        <v>34</v>
      </c>
      <c r="AC23" s="0" t="s">
        <v>134</v>
      </c>
      <c r="AD23" s="0">
        <f>IF($AC23="","NEW","Live")</f>
      </c>
      <c r="AE23" s="8" t="s">
        <v>34</v>
      </c>
    </row>
    <row r="24">
      <c r="A24" s="0" t="s">
        <v>135</v>
      </c>
      <c r="B24" s="0">
        <v>1</v>
      </c>
      <c r="C24" s="0" t="s">
        <v>32</v>
      </c>
      <c r="D24" s="0" t="s">
        <v>136</v>
      </c>
      <c r="E24" s="0" t="s">
        <v>97</v>
      </c>
      <c r="F24" s="0" t="s">
        <v>34</v>
      </c>
      <c r="G24" s="8" t="s">
        <v>137</v>
      </c>
      <c r="H24" s="0" t="s">
        <v>101</v>
      </c>
      <c r="I24" s="0">
        <v>1</v>
      </c>
      <c r="J24" s="0">
        <v>1</v>
      </c>
      <c r="K24" s="0" t="s">
        <v>135</v>
      </c>
      <c r="L24" s="0" t="s">
        <v>49</v>
      </c>
      <c r="M24" s="0" t="s">
        <v>138</v>
      </c>
      <c r="N24" s="0" t="s">
        <v>139</v>
      </c>
      <c r="O24" s="0" t="s">
        <v>102</v>
      </c>
      <c r="P24" s="0" t="s">
        <v>41</v>
      </c>
      <c r="Q24" s="0" t="s">
        <v>34</v>
      </c>
      <c r="R24" s="0" t="s">
        <v>40</v>
      </c>
      <c r="S24" s="0" t="s">
        <v>41</v>
      </c>
      <c r="T24" s="0" t="s">
        <v>34</v>
      </c>
      <c r="U24" s="0" t="s">
        <v>34</v>
      </c>
      <c r="V24" s="0" t="s">
        <v>34</v>
      </c>
      <c r="W24" s="0" t="s">
        <v>34</v>
      </c>
      <c r="X24" s="0" t="s">
        <v>34</v>
      </c>
      <c r="Y24" s="0" t="s">
        <v>34</v>
      </c>
      <c r="Z24" s="0" t="s">
        <v>42</v>
      </c>
      <c r="AA24" s="0" t="s">
        <v>43</v>
      </c>
      <c r="AB24" s="0" t="s">
        <v>34</v>
      </c>
      <c r="AC24" s="0" t="s">
        <v>140</v>
      </c>
      <c r="AD24" s="0">
        <f>IF($AC24="","NEW","Live")</f>
      </c>
      <c r="AE24" s="8" t="s">
        <v>34</v>
      </c>
    </row>
    <row r="25">
      <c r="A25" s="0" t="s">
        <v>141</v>
      </c>
      <c r="B25" s="0">
        <v>1</v>
      </c>
      <c r="C25" s="0" t="s">
        <v>32</v>
      </c>
      <c r="D25" s="0" t="s">
        <v>136</v>
      </c>
      <c r="E25" s="0" t="s">
        <v>34</v>
      </c>
      <c r="F25" s="0" t="s">
        <v>34</v>
      </c>
      <c r="G25" s="8" t="s">
        <v>142</v>
      </c>
      <c r="H25" s="0" t="s">
        <v>143</v>
      </c>
      <c r="I25" s="0">
        <v>1</v>
      </c>
      <c r="J25" s="0">
        <v>1</v>
      </c>
      <c r="K25" s="0" t="s">
        <v>141</v>
      </c>
      <c r="L25" s="0" t="s">
        <v>49</v>
      </c>
      <c r="M25" s="0" t="s">
        <v>138</v>
      </c>
      <c r="N25" s="0" t="s">
        <v>139</v>
      </c>
      <c r="O25" s="0" t="s">
        <v>102</v>
      </c>
      <c r="P25" s="1" t="s">
        <v>144</v>
      </c>
      <c r="Q25" s="0" t="s">
        <v>34</v>
      </c>
      <c r="R25" s="0" t="s">
        <v>34</v>
      </c>
      <c r="S25" s="0" t="s">
        <v>34</v>
      </c>
      <c r="T25" s="0" t="s">
        <v>34</v>
      </c>
      <c r="U25" s="0" t="s">
        <v>34</v>
      </c>
      <c r="V25" s="0" t="s">
        <v>34</v>
      </c>
      <c r="W25" s="0" t="s">
        <v>34</v>
      </c>
      <c r="X25" s="0" t="s">
        <v>34</v>
      </c>
      <c r="Y25" s="0" t="s">
        <v>34</v>
      </c>
      <c r="Z25" s="0" t="s">
        <v>42</v>
      </c>
      <c r="AA25" s="0" t="s">
        <v>43</v>
      </c>
      <c r="AB25" s="0" t="s">
        <v>34</v>
      </c>
      <c r="AC25" s="0" t="s">
        <v>145</v>
      </c>
      <c r="AD25" s="0">
        <f>IF($AC25="","NEW","Live")</f>
      </c>
      <c r="AE25" s="8" t="s">
        <v>34</v>
      </c>
    </row>
    <row r="26">
      <c r="A26" s="0" t="s">
        <v>146</v>
      </c>
      <c r="B26" s="0">
        <v>1</v>
      </c>
      <c r="C26" s="0" t="s">
        <v>32</v>
      </c>
      <c r="D26" s="0" t="s">
        <v>147</v>
      </c>
      <c r="E26" s="0" t="s">
        <v>97</v>
      </c>
      <c r="F26" s="0" t="s">
        <v>34</v>
      </c>
      <c r="G26" s="8" t="s">
        <v>148</v>
      </c>
      <c r="H26" s="0" t="s">
        <v>101</v>
      </c>
      <c r="I26" s="0">
        <v>1</v>
      </c>
      <c r="J26" s="0">
        <v>1</v>
      </c>
      <c r="K26" s="0" t="s">
        <v>146</v>
      </c>
      <c r="L26" s="0" t="s">
        <v>49</v>
      </c>
      <c r="M26" s="0" t="s">
        <v>138</v>
      </c>
      <c r="N26" s="0" t="s">
        <v>139</v>
      </c>
      <c r="O26" s="0" t="s">
        <v>102</v>
      </c>
      <c r="P26" s="0" t="s">
        <v>41</v>
      </c>
      <c r="Q26" s="0" t="s">
        <v>34</v>
      </c>
      <c r="R26" s="0" t="s">
        <v>40</v>
      </c>
      <c r="S26" s="0" t="s">
        <v>149</v>
      </c>
      <c r="T26" s="0" t="s">
        <v>34</v>
      </c>
      <c r="U26" s="0" t="s">
        <v>34</v>
      </c>
      <c r="V26" s="0" t="s">
        <v>34</v>
      </c>
      <c r="W26" s="0" t="s">
        <v>34</v>
      </c>
      <c r="X26" s="0" t="s">
        <v>34</v>
      </c>
      <c r="Y26" s="0" t="s">
        <v>34</v>
      </c>
      <c r="Z26" s="0" t="s">
        <v>43</v>
      </c>
      <c r="AA26" s="0" t="s">
        <v>43</v>
      </c>
      <c r="AB26" s="0" t="s">
        <v>34</v>
      </c>
      <c r="AC26" s="0" t="s">
        <v>150</v>
      </c>
      <c r="AD26" s="0">
        <f>IF($AC26="","NEW","Live")</f>
      </c>
      <c r="AE26" s="8" t="s">
        <v>34</v>
      </c>
    </row>
    <row r="27">
      <c r="A27" s="0" t="s">
        <v>151</v>
      </c>
      <c r="B27" s="0">
        <v>1</v>
      </c>
      <c r="C27" s="0" t="s">
        <v>32</v>
      </c>
      <c r="D27" s="0" t="s">
        <v>152</v>
      </c>
      <c r="E27" s="0" t="s">
        <v>153</v>
      </c>
      <c r="F27" s="0" t="s">
        <v>34</v>
      </c>
      <c r="G27" s="8" t="s">
        <v>154</v>
      </c>
      <c r="H27" s="0" t="s">
        <v>101</v>
      </c>
      <c r="I27" s="0">
        <v>1</v>
      </c>
      <c r="J27" s="0">
        <v>1</v>
      </c>
      <c r="K27" s="0" t="s">
        <v>151</v>
      </c>
      <c r="L27" s="0" t="s">
        <v>49</v>
      </c>
      <c r="M27" s="0" t="s">
        <v>138</v>
      </c>
      <c r="N27" s="0" t="s">
        <v>139</v>
      </c>
      <c r="O27" s="0" t="s">
        <v>102</v>
      </c>
      <c r="P27" s="0" t="s">
        <v>41</v>
      </c>
      <c r="Q27" s="0" t="s">
        <v>155</v>
      </c>
      <c r="R27" s="0" t="s">
        <v>40</v>
      </c>
      <c r="S27" s="0" t="s">
        <v>41</v>
      </c>
      <c r="T27" s="0" t="s">
        <v>34</v>
      </c>
      <c r="U27" s="0" t="s">
        <v>34</v>
      </c>
      <c r="V27" s="0" t="s">
        <v>34</v>
      </c>
      <c r="W27" s="0" t="s">
        <v>34</v>
      </c>
      <c r="X27" s="0" t="s">
        <v>34</v>
      </c>
      <c r="Y27" s="0" t="s">
        <v>34</v>
      </c>
      <c r="Z27" s="0" t="s">
        <v>43</v>
      </c>
      <c r="AA27" s="0" t="s">
        <v>43</v>
      </c>
      <c r="AB27" s="0" t="s">
        <v>34</v>
      </c>
      <c r="AC27" s="0" t="s">
        <v>156</v>
      </c>
      <c r="AD27" s="0">
        <f>IF($AC27="","NEW","Live")</f>
      </c>
      <c r="AE27" s="8" t="s">
        <v>34</v>
      </c>
    </row>
    <row r="28">
      <c r="A28" s="0" t="s">
        <v>157</v>
      </c>
      <c r="B28" s="0">
        <v>1</v>
      </c>
      <c r="C28" s="0" t="s">
        <v>32</v>
      </c>
      <c r="D28" s="0" t="s">
        <v>152</v>
      </c>
      <c r="E28" s="0" t="s">
        <v>82</v>
      </c>
      <c r="F28" s="0" t="s">
        <v>34</v>
      </c>
      <c r="G28" s="8" t="s">
        <v>158</v>
      </c>
      <c r="H28" s="0" t="s">
        <v>101</v>
      </c>
      <c r="I28" s="0">
        <v>1</v>
      </c>
      <c r="J28" s="0">
        <v>1</v>
      </c>
      <c r="K28" s="0" t="s">
        <v>157</v>
      </c>
      <c r="L28" s="0" t="s">
        <v>49</v>
      </c>
      <c r="M28" s="0" t="s">
        <v>138</v>
      </c>
      <c r="N28" s="0" t="s">
        <v>139</v>
      </c>
      <c r="O28" s="0" t="s">
        <v>102</v>
      </c>
      <c r="P28" s="0" t="s">
        <v>41</v>
      </c>
      <c r="Q28" s="0" t="s">
        <v>34</v>
      </c>
      <c r="R28" s="0" t="s">
        <v>40</v>
      </c>
      <c r="S28" s="0" t="s">
        <v>41</v>
      </c>
      <c r="T28" s="0" t="s">
        <v>34</v>
      </c>
      <c r="U28" s="0" t="s">
        <v>34</v>
      </c>
      <c r="V28" s="0" t="s">
        <v>34</v>
      </c>
      <c r="W28" s="0" t="s">
        <v>34</v>
      </c>
      <c r="X28" s="0" t="s">
        <v>34</v>
      </c>
      <c r="Y28" s="0" t="s">
        <v>34</v>
      </c>
      <c r="Z28" s="0" t="s">
        <v>43</v>
      </c>
      <c r="AA28" s="0" t="s">
        <v>43</v>
      </c>
      <c r="AB28" s="0" t="s">
        <v>34</v>
      </c>
      <c r="AC28" s="0" t="s">
        <v>159</v>
      </c>
      <c r="AD28" s="0">
        <f>IF($AC28="","NEW","Live")</f>
      </c>
      <c r="AE28" s="8" t="s">
        <v>34</v>
      </c>
    </row>
    <row r="29">
      <c r="A29" s="0" t="s">
        <v>160</v>
      </c>
      <c r="B29" s="0">
        <v>1</v>
      </c>
      <c r="C29" s="0" t="s">
        <v>32</v>
      </c>
      <c r="D29" s="0" t="s">
        <v>161</v>
      </c>
      <c r="E29" s="0" t="s">
        <v>162</v>
      </c>
      <c r="F29" s="0" t="s">
        <v>34</v>
      </c>
      <c r="G29" s="8" t="s">
        <v>163</v>
      </c>
      <c r="H29" s="0" t="s">
        <v>101</v>
      </c>
      <c r="I29" s="0">
        <v>1</v>
      </c>
      <c r="J29" s="0">
        <v>1</v>
      </c>
      <c r="K29" s="0" t="s">
        <v>160</v>
      </c>
      <c r="L29" s="0" t="s">
        <v>49</v>
      </c>
      <c r="M29" s="0" t="s">
        <v>138</v>
      </c>
      <c r="N29" s="0" t="s">
        <v>139</v>
      </c>
      <c r="O29" s="0" t="s">
        <v>102</v>
      </c>
      <c r="P29" s="0" t="s">
        <v>41</v>
      </c>
      <c r="Q29" s="0" t="s">
        <v>34</v>
      </c>
      <c r="R29" s="0" t="s">
        <v>40</v>
      </c>
      <c r="S29" s="0" t="s">
        <v>41</v>
      </c>
      <c r="T29" s="0" t="s">
        <v>34</v>
      </c>
      <c r="U29" s="0" t="s">
        <v>34</v>
      </c>
      <c r="V29" s="0" t="s">
        <v>34</v>
      </c>
      <c r="W29" s="0" t="s">
        <v>34</v>
      </c>
      <c r="X29" s="0" t="s">
        <v>164</v>
      </c>
      <c r="Y29" s="0" t="s">
        <v>34</v>
      </c>
      <c r="Z29" s="0" t="s">
        <v>43</v>
      </c>
      <c r="AA29" s="0" t="s">
        <v>43</v>
      </c>
      <c r="AB29" s="0" t="s">
        <v>34</v>
      </c>
      <c r="AC29" s="0" t="s">
        <v>165</v>
      </c>
      <c r="AD29" s="0">
        <f>IF($AC29="","NEW","Live")</f>
      </c>
      <c r="AE29" s="8" t="s">
        <v>34</v>
      </c>
    </row>
    <row r="30">
      <c r="A30" s="0" t="s">
        <v>166</v>
      </c>
      <c r="B30" s="0">
        <v>1</v>
      </c>
      <c r="C30" s="0" t="s">
        <v>32</v>
      </c>
      <c r="D30" s="0" t="s">
        <v>167</v>
      </c>
      <c r="E30" s="0" t="s">
        <v>47</v>
      </c>
      <c r="F30" s="0" t="s">
        <v>34</v>
      </c>
      <c r="G30" s="8" t="s">
        <v>168</v>
      </c>
      <c r="H30" s="0" t="s">
        <v>101</v>
      </c>
      <c r="I30" s="0">
        <v>1</v>
      </c>
      <c r="J30" s="0">
        <v>1</v>
      </c>
      <c r="K30" s="0" t="s">
        <v>166</v>
      </c>
      <c r="L30" s="0" t="s">
        <v>49</v>
      </c>
      <c r="M30" s="0" t="s">
        <v>138</v>
      </c>
      <c r="N30" s="0" t="s">
        <v>139</v>
      </c>
      <c r="O30" s="0" t="s">
        <v>102</v>
      </c>
      <c r="P30" s="0" t="s">
        <v>41</v>
      </c>
      <c r="Q30" s="0" t="s">
        <v>34</v>
      </c>
      <c r="R30" s="0" t="s">
        <v>40</v>
      </c>
      <c r="S30" s="0" t="s">
        <v>41</v>
      </c>
      <c r="T30" s="0" t="s">
        <v>34</v>
      </c>
      <c r="U30" s="0" t="s">
        <v>34</v>
      </c>
      <c r="V30" s="0" t="s">
        <v>34</v>
      </c>
      <c r="W30" s="0" t="s">
        <v>34</v>
      </c>
      <c r="X30" s="0" t="s">
        <v>164</v>
      </c>
      <c r="Y30" s="0" t="s">
        <v>34</v>
      </c>
      <c r="Z30" s="0" t="s">
        <v>43</v>
      </c>
      <c r="AA30" s="0" t="s">
        <v>43</v>
      </c>
      <c r="AB30" s="0" t="s">
        <v>34</v>
      </c>
      <c r="AC30" s="0" t="s">
        <v>169</v>
      </c>
      <c r="AD30" s="0">
        <f>IF($AC30="","NEW","Live")</f>
      </c>
      <c r="AE30" s="8" t="s">
        <v>34</v>
      </c>
    </row>
    <row r="31">
      <c r="A31" s="0" t="s">
        <v>170</v>
      </c>
      <c r="B31" s="0">
        <v>1</v>
      </c>
      <c r="C31" s="0" t="s">
        <v>81</v>
      </c>
      <c r="D31" s="0" t="s">
        <v>147</v>
      </c>
      <c r="E31" s="0" t="s">
        <v>34</v>
      </c>
      <c r="F31" s="0" t="s">
        <v>34</v>
      </c>
      <c r="G31" s="8" t="s">
        <v>171</v>
      </c>
      <c r="H31" s="0" t="s">
        <v>101</v>
      </c>
      <c r="I31" s="0">
        <v>1</v>
      </c>
      <c r="J31" s="0">
        <v>1</v>
      </c>
      <c r="K31" s="0" t="s">
        <v>170</v>
      </c>
      <c r="L31" s="0" t="s">
        <v>49</v>
      </c>
      <c r="M31" s="0" t="s">
        <v>138</v>
      </c>
      <c r="N31" s="0" t="s">
        <v>139</v>
      </c>
      <c r="O31" s="0" t="s">
        <v>102</v>
      </c>
      <c r="P31" s="0" t="s">
        <v>41</v>
      </c>
      <c r="Q31" s="0" t="s">
        <v>34</v>
      </c>
      <c r="R31" s="0" t="s">
        <v>34</v>
      </c>
      <c r="S31" s="0" t="s">
        <v>34</v>
      </c>
      <c r="T31" s="0" t="s">
        <v>34</v>
      </c>
      <c r="U31" s="0" t="s">
        <v>34</v>
      </c>
      <c r="V31" s="0" t="s">
        <v>34</v>
      </c>
      <c r="W31" s="0" t="s">
        <v>34</v>
      </c>
      <c r="X31" s="0" t="s">
        <v>34</v>
      </c>
      <c r="Y31" s="0" t="s">
        <v>34</v>
      </c>
      <c r="Z31" s="0" t="s">
        <v>42</v>
      </c>
      <c r="AA31" s="0" t="s">
        <v>43</v>
      </c>
      <c r="AB31" s="0" t="s">
        <v>34</v>
      </c>
      <c r="AC31" s="0" t="s">
        <v>172</v>
      </c>
      <c r="AD31" s="0">
        <f>IF($AC31="","NEW","Live")</f>
      </c>
      <c r="AE31" s="8" t="s">
        <v>34</v>
      </c>
    </row>
    <row r="32">
      <c r="A32" s="0" t="s">
        <v>173</v>
      </c>
      <c r="B32" s="0">
        <v>1</v>
      </c>
      <c r="C32" s="0" t="s">
        <v>174</v>
      </c>
      <c r="D32" s="0" t="s">
        <v>147</v>
      </c>
      <c r="E32" s="0" t="s">
        <v>34</v>
      </c>
      <c r="F32" s="0" t="s">
        <v>34</v>
      </c>
      <c r="G32" s="8" t="s">
        <v>175</v>
      </c>
      <c r="H32" s="0" t="s">
        <v>101</v>
      </c>
      <c r="I32" s="0">
        <v>1</v>
      </c>
      <c r="J32" s="0">
        <v>1</v>
      </c>
      <c r="K32" s="0" t="s">
        <v>173</v>
      </c>
      <c r="L32" s="0" t="s">
        <v>49</v>
      </c>
      <c r="M32" s="0" t="s">
        <v>138</v>
      </c>
      <c r="N32" s="0" t="s">
        <v>139</v>
      </c>
      <c r="O32" s="0" t="s">
        <v>102</v>
      </c>
      <c r="P32" s="0" t="s">
        <v>41</v>
      </c>
      <c r="Q32" s="0" t="s">
        <v>34</v>
      </c>
      <c r="R32" s="0" t="s">
        <v>34</v>
      </c>
      <c r="S32" s="0" t="s">
        <v>34</v>
      </c>
      <c r="T32" s="0" t="s">
        <v>34</v>
      </c>
      <c r="U32" s="0" t="s">
        <v>34</v>
      </c>
      <c r="V32" s="0" t="s">
        <v>34</v>
      </c>
      <c r="W32" s="0" t="s">
        <v>34</v>
      </c>
      <c r="X32" s="0" t="s">
        <v>34</v>
      </c>
      <c r="Y32" s="0" t="s">
        <v>34</v>
      </c>
      <c r="Z32" s="0" t="s">
        <v>43</v>
      </c>
      <c r="AA32" s="0" t="s">
        <v>43</v>
      </c>
      <c r="AB32" s="0" t="s">
        <v>34</v>
      </c>
      <c r="AC32" s="0" t="s">
        <v>176</v>
      </c>
      <c r="AD32" s="0">
        <f>IF($AC32="","NEW","Live")</f>
      </c>
      <c r="AE32" s="8" t="s">
        <v>34</v>
      </c>
    </row>
    <row r="33">
      <c r="A33" s="0" t="s">
        <v>177</v>
      </c>
      <c r="B33" s="0">
        <v>1</v>
      </c>
      <c r="C33" s="0" t="s">
        <v>32</v>
      </c>
      <c r="D33" s="0" t="s">
        <v>136</v>
      </c>
      <c r="E33" s="0" t="s">
        <v>178</v>
      </c>
      <c r="F33" s="0" t="s">
        <v>34</v>
      </c>
      <c r="G33" s="8" t="s">
        <v>179</v>
      </c>
      <c r="H33" s="0" t="s">
        <v>101</v>
      </c>
      <c r="I33" s="0">
        <v>1</v>
      </c>
      <c r="J33" s="0">
        <v>1</v>
      </c>
      <c r="K33" s="0" t="s">
        <v>177</v>
      </c>
      <c r="L33" s="0" t="s">
        <v>49</v>
      </c>
      <c r="M33" s="0" t="s">
        <v>138</v>
      </c>
      <c r="N33" s="0" t="s">
        <v>139</v>
      </c>
      <c r="O33" s="0" t="s">
        <v>102</v>
      </c>
      <c r="P33" s="0" t="s">
        <v>41</v>
      </c>
      <c r="Q33" s="0" t="s">
        <v>34</v>
      </c>
      <c r="R33" s="0" t="s">
        <v>102</v>
      </c>
      <c r="S33" s="0" t="s">
        <v>41</v>
      </c>
      <c r="T33" s="0" t="s">
        <v>34</v>
      </c>
      <c r="U33" s="0" t="s">
        <v>34</v>
      </c>
      <c r="V33" s="0" t="s">
        <v>34</v>
      </c>
      <c r="W33" s="0" t="s">
        <v>34</v>
      </c>
      <c r="X33" s="0" t="s">
        <v>34</v>
      </c>
      <c r="Y33" s="0" t="s">
        <v>34</v>
      </c>
      <c r="Z33" s="0" t="s">
        <v>43</v>
      </c>
      <c r="AA33" s="0" t="s">
        <v>43</v>
      </c>
      <c r="AB33" s="0" t="s">
        <v>34</v>
      </c>
      <c r="AC33" s="0" t="s">
        <v>180</v>
      </c>
      <c r="AD33" s="0">
        <f>IF($AC33="","NEW","Live")</f>
      </c>
      <c r="AE33" s="8" t="s">
        <v>34</v>
      </c>
    </row>
    <row r="34">
      <c r="A34" s="0" t="s">
        <v>181</v>
      </c>
      <c r="B34" s="0">
        <v>1</v>
      </c>
      <c r="C34" s="0" t="s">
        <v>32</v>
      </c>
      <c r="D34" s="0" t="s">
        <v>152</v>
      </c>
      <c r="E34" s="0" t="s">
        <v>34</v>
      </c>
      <c r="F34" s="0" t="s">
        <v>34</v>
      </c>
      <c r="G34" s="8" t="s">
        <v>182</v>
      </c>
      <c r="H34" s="0" t="s">
        <v>143</v>
      </c>
      <c r="I34" s="0">
        <v>1</v>
      </c>
      <c r="J34" s="0">
        <v>1</v>
      </c>
      <c r="K34" s="0" t="s">
        <v>181</v>
      </c>
      <c r="L34" s="0" t="s">
        <v>49</v>
      </c>
      <c r="M34" s="0" t="s">
        <v>138</v>
      </c>
      <c r="N34" s="0" t="s">
        <v>139</v>
      </c>
      <c r="O34" s="0" t="s">
        <v>102</v>
      </c>
      <c r="P34" s="1" t="s">
        <v>144</v>
      </c>
      <c r="Q34" s="0" t="s">
        <v>34</v>
      </c>
      <c r="R34" s="0" t="s">
        <v>34</v>
      </c>
      <c r="S34" s="0" t="s">
        <v>34</v>
      </c>
      <c r="T34" s="0" t="s">
        <v>34</v>
      </c>
      <c r="U34" s="0" t="s">
        <v>34</v>
      </c>
      <c r="V34" s="0" t="s">
        <v>34</v>
      </c>
      <c r="W34" s="0" t="s">
        <v>34</v>
      </c>
      <c r="X34" s="0" t="s">
        <v>34</v>
      </c>
      <c r="Y34" s="0" t="s">
        <v>34</v>
      </c>
      <c r="Z34" s="0" t="s">
        <v>43</v>
      </c>
      <c r="AA34" s="0" t="s">
        <v>43</v>
      </c>
      <c r="AB34" s="0" t="s">
        <v>34</v>
      </c>
      <c r="AC34" s="0" t="s">
        <v>183</v>
      </c>
      <c r="AD34" s="0">
        <f>IF($AC34="","NEW","Live")</f>
      </c>
      <c r="AE34" s="8" t="s">
        <v>34</v>
      </c>
    </row>
    <row r="35">
      <c r="A35" s="0" t="s">
        <v>184</v>
      </c>
      <c r="B35" s="0">
        <v>1</v>
      </c>
      <c r="C35" s="0" t="s">
        <v>32</v>
      </c>
      <c r="D35" s="0" t="s">
        <v>185</v>
      </c>
      <c r="E35" s="0" t="s">
        <v>47</v>
      </c>
      <c r="F35" s="0" t="s">
        <v>34</v>
      </c>
      <c r="G35" s="8" t="s">
        <v>186</v>
      </c>
      <c r="H35" s="0" t="s">
        <v>101</v>
      </c>
      <c r="I35" s="0">
        <v>1</v>
      </c>
      <c r="J35" s="0">
        <v>1</v>
      </c>
      <c r="K35" s="0" t="s">
        <v>184</v>
      </c>
      <c r="L35" s="0" t="s">
        <v>49</v>
      </c>
      <c r="M35" s="0" t="s">
        <v>138</v>
      </c>
      <c r="N35" s="0" t="s">
        <v>139</v>
      </c>
      <c r="O35" s="0" t="s">
        <v>102</v>
      </c>
      <c r="P35" s="0" t="s">
        <v>41</v>
      </c>
      <c r="Q35" s="0" t="s">
        <v>34</v>
      </c>
      <c r="R35" s="0" t="s">
        <v>40</v>
      </c>
      <c r="S35" s="0" t="s">
        <v>41</v>
      </c>
      <c r="T35" s="0" t="s">
        <v>34</v>
      </c>
      <c r="U35" s="0" t="s">
        <v>34</v>
      </c>
      <c r="V35" s="0" t="s">
        <v>34</v>
      </c>
      <c r="W35" s="0" t="s">
        <v>34</v>
      </c>
      <c r="X35" s="0" t="s">
        <v>59</v>
      </c>
      <c r="Y35" s="0" t="s">
        <v>34</v>
      </c>
      <c r="Z35" s="0" t="s">
        <v>43</v>
      </c>
      <c r="AA35" s="0" t="s">
        <v>43</v>
      </c>
      <c r="AB35" s="0" t="s">
        <v>34</v>
      </c>
      <c r="AC35" s="0" t="s">
        <v>187</v>
      </c>
      <c r="AD35" s="0">
        <f>IF($AC35="","NEW","Live")</f>
      </c>
      <c r="AE35" s="8" t="s">
        <v>34</v>
      </c>
    </row>
    <row r="36">
      <c r="A36" s="0" t="s">
        <v>188</v>
      </c>
      <c r="B36" s="0">
        <v>1</v>
      </c>
      <c r="C36" s="0" t="s">
        <v>62</v>
      </c>
      <c r="D36" s="0" t="s">
        <v>189</v>
      </c>
      <c r="E36" s="0" t="s">
        <v>47</v>
      </c>
      <c r="F36" s="0" t="s">
        <v>34</v>
      </c>
      <c r="G36" s="8" t="s">
        <v>190</v>
      </c>
      <c r="H36" s="0" t="s">
        <v>101</v>
      </c>
      <c r="I36" s="0">
        <v>1</v>
      </c>
      <c r="J36" s="0">
        <v>1</v>
      </c>
      <c r="K36" s="0" t="s">
        <v>188</v>
      </c>
      <c r="L36" s="0" t="s">
        <v>49</v>
      </c>
      <c r="M36" s="0" t="s">
        <v>138</v>
      </c>
      <c r="N36" s="0" t="s">
        <v>139</v>
      </c>
      <c r="O36" s="0" t="s">
        <v>102</v>
      </c>
      <c r="P36" s="0" t="s">
        <v>41</v>
      </c>
      <c r="Q36" s="0" t="s">
        <v>34</v>
      </c>
      <c r="R36" s="0" t="s">
        <v>40</v>
      </c>
      <c r="S36" s="0" t="s">
        <v>41</v>
      </c>
      <c r="T36" s="0" t="s">
        <v>34</v>
      </c>
      <c r="U36" s="0" t="s">
        <v>34</v>
      </c>
      <c r="V36" s="0" t="s">
        <v>34</v>
      </c>
      <c r="W36" s="0" t="s">
        <v>34</v>
      </c>
      <c r="X36" s="0" t="s">
        <v>50</v>
      </c>
      <c r="Y36" s="0" t="s">
        <v>34</v>
      </c>
      <c r="Z36" s="0" t="s">
        <v>43</v>
      </c>
      <c r="AA36" s="0" t="s">
        <v>43</v>
      </c>
      <c r="AB36" s="0" t="s">
        <v>34</v>
      </c>
      <c r="AC36" s="0" t="s">
        <v>191</v>
      </c>
      <c r="AD36" s="0">
        <f>IF($AC36="","NEW","Live")</f>
      </c>
      <c r="AE36" s="8" t="s">
        <v>34</v>
      </c>
    </row>
    <row r="37">
      <c r="A37" s="0" t="s">
        <v>192</v>
      </c>
      <c r="B37" s="0">
        <v>1</v>
      </c>
      <c r="C37" s="0" t="s">
        <v>62</v>
      </c>
      <c r="D37" s="0" t="s">
        <v>193</v>
      </c>
      <c r="E37" s="0" t="s">
        <v>34</v>
      </c>
      <c r="F37" s="0" t="s">
        <v>34</v>
      </c>
      <c r="G37" s="8" t="s">
        <v>194</v>
      </c>
      <c r="H37" s="0" t="s">
        <v>36</v>
      </c>
      <c r="I37" s="0">
        <v>0</v>
      </c>
      <c r="J37" s="0">
        <v>0</v>
      </c>
      <c r="K37" s="0" t="s">
        <v>192</v>
      </c>
      <c r="L37" s="0" t="s">
        <v>49</v>
      </c>
      <c r="M37" s="0" t="s">
        <v>138</v>
      </c>
      <c r="N37" s="0" t="s">
        <v>139</v>
      </c>
      <c r="O37" s="0" t="s">
        <v>40</v>
      </c>
      <c r="P37" s="0" t="s">
        <v>78</v>
      </c>
      <c r="Q37" s="0" t="s">
        <v>34</v>
      </c>
      <c r="R37" s="0" t="s">
        <v>34</v>
      </c>
      <c r="S37" s="0" t="s">
        <v>34</v>
      </c>
      <c r="T37" s="0" t="s">
        <v>34</v>
      </c>
      <c r="U37" s="0" t="s">
        <v>34</v>
      </c>
      <c r="V37" s="0" t="s">
        <v>34</v>
      </c>
      <c r="W37" s="0" t="s">
        <v>34</v>
      </c>
      <c r="X37" s="0" t="s">
        <v>34</v>
      </c>
      <c r="Y37" s="0" t="s">
        <v>34</v>
      </c>
      <c r="Z37" s="0" t="s">
        <v>43</v>
      </c>
      <c r="AA37" s="0" t="s">
        <v>43</v>
      </c>
      <c r="AB37" s="0" t="s">
        <v>34</v>
      </c>
      <c r="AC37" s="0" t="s">
        <v>195</v>
      </c>
      <c r="AD37" s="0">
        <f>IF($AC37="","NEW","Live")</f>
      </c>
      <c r="AE37" s="8" t="s">
        <v>34</v>
      </c>
    </row>
    <row r="38">
      <c r="A38" s="0" t="s">
        <v>196</v>
      </c>
      <c r="B38" s="0">
        <v>0</v>
      </c>
      <c r="C38" s="0" t="s">
        <v>62</v>
      </c>
      <c r="D38" s="0" t="s">
        <v>197</v>
      </c>
      <c r="E38" s="0" t="s">
        <v>34</v>
      </c>
      <c r="F38" s="0" t="s">
        <v>34</v>
      </c>
      <c r="G38" s="8" t="s">
        <v>198</v>
      </c>
      <c r="H38" s="0" t="s">
        <v>101</v>
      </c>
      <c r="I38" s="0">
        <v>1</v>
      </c>
      <c r="J38" s="0">
        <v>3</v>
      </c>
      <c r="K38" s="0" t="s">
        <v>196</v>
      </c>
      <c r="L38" s="0" t="s">
        <v>49</v>
      </c>
      <c r="M38" s="0" t="s">
        <v>199</v>
      </c>
      <c r="N38" s="0" t="s">
        <v>34</v>
      </c>
      <c r="O38" s="0" t="s">
        <v>102</v>
      </c>
      <c r="P38" s="0" t="s">
        <v>41</v>
      </c>
      <c r="Q38" s="0" t="s">
        <v>34</v>
      </c>
      <c r="R38" s="0" t="s">
        <v>34</v>
      </c>
      <c r="S38" s="0" t="s">
        <v>34</v>
      </c>
      <c r="T38" s="0" t="s">
        <v>34</v>
      </c>
      <c r="U38" s="0" t="s">
        <v>34</v>
      </c>
      <c r="V38" s="0" t="s">
        <v>34</v>
      </c>
      <c r="W38" s="0" t="s">
        <v>34</v>
      </c>
      <c r="X38" s="0" t="s">
        <v>34</v>
      </c>
      <c r="Y38" s="0" t="s">
        <v>34</v>
      </c>
      <c r="Z38" s="0" t="s">
        <v>43</v>
      </c>
      <c r="AA38" s="0" t="s">
        <v>43</v>
      </c>
      <c r="AB38" s="0" t="s">
        <v>34</v>
      </c>
      <c r="AC38" s="0" t="s">
        <v>200</v>
      </c>
      <c r="AD38" s="0">
        <f>IF($AC38="","NEW","Live")</f>
      </c>
      <c r="AE38" s="8" t="s">
        <v>34</v>
      </c>
    </row>
    <row r="39">
      <c r="A39" s="0" t="s">
        <v>201</v>
      </c>
      <c r="B39" s="0">
        <v>1</v>
      </c>
      <c r="C39" s="0" t="s">
        <v>32</v>
      </c>
      <c r="D39" s="0" t="s">
        <v>202</v>
      </c>
      <c r="E39" s="0" t="s">
        <v>34</v>
      </c>
      <c r="F39" s="0" t="s">
        <v>34</v>
      </c>
      <c r="G39" s="8" t="s">
        <v>203</v>
      </c>
      <c r="H39" s="0" t="s">
        <v>101</v>
      </c>
      <c r="I39" s="0">
        <v>1</v>
      </c>
      <c r="J39" s="0">
        <v>3</v>
      </c>
      <c r="K39" s="0" t="s">
        <v>201</v>
      </c>
      <c r="L39" s="0" t="s">
        <v>49</v>
      </c>
      <c r="M39" s="0" t="s">
        <v>199</v>
      </c>
      <c r="N39" s="0" t="s">
        <v>34</v>
      </c>
      <c r="O39" s="0" t="s">
        <v>102</v>
      </c>
      <c r="P39" s="0" t="s">
        <v>41</v>
      </c>
      <c r="Q39" s="0" t="s">
        <v>34</v>
      </c>
      <c r="R39" s="0" t="s">
        <v>34</v>
      </c>
      <c r="S39" s="0" t="s">
        <v>34</v>
      </c>
      <c r="T39" s="0" t="s">
        <v>34</v>
      </c>
      <c r="U39" s="0" t="s">
        <v>34</v>
      </c>
      <c r="V39" s="0" t="s">
        <v>34</v>
      </c>
      <c r="W39" s="0" t="s">
        <v>34</v>
      </c>
      <c r="X39" s="0" t="s">
        <v>34</v>
      </c>
      <c r="Y39" s="0" t="s">
        <v>34</v>
      </c>
      <c r="Z39" s="0" t="s">
        <v>43</v>
      </c>
      <c r="AA39" s="0" t="s">
        <v>43</v>
      </c>
      <c r="AB39" s="0" t="s">
        <v>34</v>
      </c>
      <c r="AC39" s="0" t="s">
        <v>204</v>
      </c>
      <c r="AD39" s="0">
        <f>IF($AC39="","NEW","Live")</f>
      </c>
      <c r="AE39" s="8" t="s">
        <v>34</v>
      </c>
    </row>
    <row r="40">
      <c r="A40" s="0" t="s">
        <v>205</v>
      </c>
      <c r="B40" s="0">
        <v>1</v>
      </c>
      <c r="C40" s="0" t="s">
        <v>32</v>
      </c>
      <c r="D40" s="0" t="s">
        <v>206</v>
      </c>
      <c r="E40" s="0" t="s">
        <v>34</v>
      </c>
      <c r="F40" s="0" t="s">
        <v>34</v>
      </c>
      <c r="G40" s="8" t="s">
        <v>207</v>
      </c>
      <c r="H40" s="0" t="s">
        <v>101</v>
      </c>
      <c r="I40" s="0">
        <v>1</v>
      </c>
      <c r="J40" s="0">
        <v>3</v>
      </c>
      <c r="K40" s="0" t="s">
        <v>205</v>
      </c>
      <c r="L40" s="0" t="s">
        <v>49</v>
      </c>
      <c r="M40" s="0" t="s">
        <v>199</v>
      </c>
      <c r="N40" s="0" t="s">
        <v>34</v>
      </c>
      <c r="O40" s="0" t="s">
        <v>102</v>
      </c>
      <c r="P40" s="0" t="s">
        <v>41</v>
      </c>
      <c r="Q40" s="0" t="s">
        <v>34</v>
      </c>
      <c r="R40" s="0" t="s">
        <v>34</v>
      </c>
      <c r="S40" s="0" t="s">
        <v>34</v>
      </c>
      <c r="T40" s="0" t="s">
        <v>34</v>
      </c>
      <c r="U40" s="0" t="s">
        <v>34</v>
      </c>
      <c r="V40" s="0" t="s">
        <v>34</v>
      </c>
      <c r="W40" s="0" t="s">
        <v>34</v>
      </c>
      <c r="X40" s="0" t="s">
        <v>34</v>
      </c>
      <c r="Y40" s="0" t="s">
        <v>34</v>
      </c>
      <c r="Z40" s="0" t="s">
        <v>43</v>
      </c>
      <c r="AA40" s="0" t="s">
        <v>43</v>
      </c>
      <c r="AB40" s="0" t="s">
        <v>34</v>
      </c>
      <c r="AC40" s="0" t="s">
        <v>208</v>
      </c>
      <c r="AD40" s="0">
        <f>IF($AC40="","NEW","Live")</f>
      </c>
      <c r="AE40" s="8" t="s">
        <v>34</v>
      </c>
    </row>
    <row r="41">
      <c r="A41" s="0" t="s">
        <v>209</v>
      </c>
      <c r="B41" s="0">
        <v>2</v>
      </c>
      <c r="C41" s="0" t="s">
        <v>32</v>
      </c>
      <c r="D41" s="0" t="s">
        <v>210</v>
      </c>
      <c r="E41" s="0" t="s">
        <v>34</v>
      </c>
      <c r="F41" s="0" t="s">
        <v>34</v>
      </c>
      <c r="G41" s="8" t="s">
        <v>211</v>
      </c>
      <c r="H41" s="0" t="s">
        <v>101</v>
      </c>
      <c r="I41" s="0">
        <v>1</v>
      </c>
      <c r="J41" s="0">
        <v>3</v>
      </c>
      <c r="K41" s="0" t="s">
        <v>209</v>
      </c>
      <c r="L41" s="0" t="s">
        <v>49</v>
      </c>
      <c r="M41" s="0" t="s">
        <v>199</v>
      </c>
      <c r="N41" s="0" t="s">
        <v>34</v>
      </c>
      <c r="O41" s="0" t="s">
        <v>102</v>
      </c>
      <c r="P41" s="0" t="s">
        <v>41</v>
      </c>
      <c r="Q41" s="0" t="s">
        <v>34</v>
      </c>
      <c r="R41" s="0" t="s">
        <v>34</v>
      </c>
      <c r="S41" s="0" t="s">
        <v>34</v>
      </c>
      <c r="T41" s="0" t="s">
        <v>34</v>
      </c>
      <c r="U41" s="0" t="s">
        <v>34</v>
      </c>
      <c r="V41" s="0" t="s">
        <v>34</v>
      </c>
      <c r="W41" s="0" t="s">
        <v>34</v>
      </c>
      <c r="X41" s="0" t="s">
        <v>34</v>
      </c>
      <c r="Y41" s="0" t="s">
        <v>34</v>
      </c>
      <c r="Z41" s="0" t="s">
        <v>43</v>
      </c>
      <c r="AA41" s="0" t="s">
        <v>43</v>
      </c>
      <c r="AB41" s="0" t="s">
        <v>34</v>
      </c>
      <c r="AC41" s="0" t="s">
        <v>212</v>
      </c>
      <c r="AD41" s="0">
        <f>IF($AC41="","NEW","Live")</f>
      </c>
      <c r="AE41" s="8" t="s">
        <v>34</v>
      </c>
    </row>
    <row r="42">
      <c r="A42" s="0" t="s">
        <v>213</v>
      </c>
      <c r="B42" s="0">
        <v>2</v>
      </c>
      <c r="C42" s="0" t="s">
        <v>32</v>
      </c>
      <c r="D42" s="0" t="s">
        <v>214</v>
      </c>
      <c r="E42" s="0" t="s">
        <v>34</v>
      </c>
      <c r="F42" s="0" t="s">
        <v>34</v>
      </c>
      <c r="G42" s="8" t="s">
        <v>215</v>
      </c>
      <c r="H42" s="0" t="s">
        <v>101</v>
      </c>
      <c r="I42" s="0">
        <v>1</v>
      </c>
      <c r="J42" s="0">
        <v>3</v>
      </c>
      <c r="K42" s="0" t="s">
        <v>213</v>
      </c>
      <c r="L42" s="0" t="s">
        <v>49</v>
      </c>
      <c r="M42" s="0" t="s">
        <v>199</v>
      </c>
      <c r="N42" s="0" t="s">
        <v>34</v>
      </c>
      <c r="O42" s="0" t="s">
        <v>102</v>
      </c>
      <c r="P42" s="0" t="s">
        <v>41</v>
      </c>
      <c r="Q42" s="0" t="s">
        <v>34</v>
      </c>
      <c r="R42" s="0" t="s">
        <v>34</v>
      </c>
      <c r="S42" s="0" t="s">
        <v>34</v>
      </c>
      <c r="T42" s="0" t="s">
        <v>34</v>
      </c>
      <c r="U42" s="0" t="s">
        <v>34</v>
      </c>
      <c r="V42" s="0" t="s">
        <v>34</v>
      </c>
      <c r="W42" s="0" t="s">
        <v>34</v>
      </c>
      <c r="X42" s="0" t="s">
        <v>34</v>
      </c>
      <c r="Y42" s="0" t="s">
        <v>34</v>
      </c>
      <c r="Z42" s="0" t="s">
        <v>42</v>
      </c>
      <c r="AA42" s="0" t="s">
        <v>43</v>
      </c>
      <c r="AB42" s="0" t="s">
        <v>34</v>
      </c>
      <c r="AC42" s="0" t="s">
        <v>216</v>
      </c>
      <c r="AD42" s="0">
        <f>IF($AC42="","NEW","Live")</f>
      </c>
      <c r="AE42" s="8" t="s">
        <v>34</v>
      </c>
    </row>
    <row r="43">
      <c r="A43" s="0" t="s">
        <v>217</v>
      </c>
      <c r="B43" s="0">
        <v>2</v>
      </c>
      <c r="C43" s="0" t="s">
        <v>62</v>
      </c>
      <c r="D43" s="0" t="s">
        <v>218</v>
      </c>
      <c r="E43" s="0" t="s">
        <v>34</v>
      </c>
      <c r="F43" s="0" t="s">
        <v>34</v>
      </c>
      <c r="G43" s="8" t="s">
        <v>219</v>
      </c>
      <c r="H43" s="0" t="s">
        <v>101</v>
      </c>
      <c r="I43" s="0">
        <v>1</v>
      </c>
      <c r="J43" s="0">
        <v>3</v>
      </c>
      <c r="K43" s="0" t="s">
        <v>217</v>
      </c>
      <c r="L43" s="0" t="s">
        <v>49</v>
      </c>
      <c r="M43" s="0" t="s">
        <v>199</v>
      </c>
      <c r="N43" s="0" t="s">
        <v>34</v>
      </c>
      <c r="O43" s="0" t="s">
        <v>102</v>
      </c>
      <c r="P43" s="0" t="s">
        <v>41</v>
      </c>
      <c r="Q43" s="0" t="s">
        <v>34</v>
      </c>
      <c r="R43" s="0" t="s">
        <v>34</v>
      </c>
      <c r="S43" s="0" t="s">
        <v>34</v>
      </c>
      <c r="T43" s="0" t="s">
        <v>34</v>
      </c>
      <c r="U43" s="0" t="s">
        <v>34</v>
      </c>
      <c r="V43" s="0" t="s">
        <v>34</v>
      </c>
      <c r="W43" s="0" t="s">
        <v>34</v>
      </c>
      <c r="X43" s="0" t="s">
        <v>34</v>
      </c>
      <c r="Y43" s="0" t="s">
        <v>34</v>
      </c>
      <c r="Z43" s="0" t="s">
        <v>43</v>
      </c>
      <c r="AA43" s="0" t="s">
        <v>43</v>
      </c>
      <c r="AB43" s="0" t="s">
        <v>34</v>
      </c>
      <c r="AC43" s="0" t="s">
        <v>220</v>
      </c>
      <c r="AD43" s="0">
        <f>IF($AC43="","NEW","Live")</f>
      </c>
      <c r="AE43" s="8" t="s">
        <v>34</v>
      </c>
    </row>
    <row r="44">
      <c r="A44" s="0" t="s">
        <v>221</v>
      </c>
      <c r="B44" s="0">
        <v>2</v>
      </c>
      <c r="C44" s="0" t="s">
        <v>32</v>
      </c>
      <c r="D44" s="0" t="s">
        <v>222</v>
      </c>
      <c r="E44" s="0" t="s">
        <v>34</v>
      </c>
      <c r="F44" s="0" t="s">
        <v>34</v>
      </c>
      <c r="G44" s="8" t="s">
        <v>223</v>
      </c>
      <c r="H44" s="0" t="s">
        <v>101</v>
      </c>
      <c r="I44" s="0">
        <v>1</v>
      </c>
      <c r="J44" s="0">
        <v>3</v>
      </c>
      <c r="K44" s="0" t="s">
        <v>221</v>
      </c>
      <c r="L44" s="0" t="s">
        <v>49</v>
      </c>
      <c r="M44" s="0" t="s">
        <v>199</v>
      </c>
      <c r="N44" s="0" t="s">
        <v>34</v>
      </c>
      <c r="O44" s="0" t="s">
        <v>102</v>
      </c>
      <c r="P44" s="0" t="s">
        <v>41</v>
      </c>
      <c r="Q44" s="0" t="s">
        <v>34</v>
      </c>
      <c r="R44" s="0" t="s">
        <v>34</v>
      </c>
      <c r="S44" s="0" t="s">
        <v>34</v>
      </c>
      <c r="T44" s="0" t="s">
        <v>34</v>
      </c>
      <c r="U44" s="0" t="s">
        <v>34</v>
      </c>
      <c r="V44" s="0" t="s">
        <v>34</v>
      </c>
      <c r="W44" s="0" t="s">
        <v>34</v>
      </c>
      <c r="X44" s="0" t="s">
        <v>34</v>
      </c>
      <c r="Y44" s="0" t="s">
        <v>34</v>
      </c>
      <c r="Z44" s="0" t="s">
        <v>42</v>
      </c>
      <c r="AA44" s="0" t="s">
        <v>43</v>
      </c>
      <c r="AB44" s="0" t="s">
        <v>34</v>
      </c>
      <c r="AC44" s="0" t="s">
        <v>224</v>
      </c>
      <c r="AD44" s="0">
        <f>IF($AC44="","NEW","Live")</f>
      </c>
      <c r="AE44" s="8" t="s">
        <v>34</v>
      </c>
    </row>
    <row r="45">
      <c r="A45" s="0" t="s">
        <v>225</v>
      </c>
      <c r="B45" s="0">
        <v>2</v>
      </c>
      <c r="C45" s="0" t="s">
        <v>32</v>
      </c>
      <c r="D45" s="0" t="s">
        <v>226</v>
      </c>
      <c r="E45" s="0" t="s">
        <v>34</v>
      </c>
      <c r="F45" s="0" t="s">
        <v>34</v>
      </c>
      <c r="G45" s="8" t="s">
        <v>227</v>
      </c>
      <c r="H45" s="0" t="s">
        <v>101</v>
      </c>
      <c r="I45" s="0">
        <v>1</v>
      </c>
      <c r="J45" s="0">
        <v>3</v>
      </c>
      <c r="K45" s="0" t="s">
        <v>225</v>
      </c>
      <c r="L45" s="0" t="s">
        <v>49</v>
      </c>
      <c r="M45" s="0" t="s">
        <v>199</v>
      </c>
      <c r="N45" s="0" t="s">
        <v>34</v>
      </c>
      <c r="O45" s="0" t="s">
        <v>102</v>
      </c>
      <c r="P45" s="0" t="s">
        <v>41</v>
      </c>
      <c r="Q45" s="0" t="s">
        <v>34</v>
      </c>
      <c r="R45" s="0" t="s">
        <v>34</v>
      </c>
      <c r="S45" s="0" t="s">
        <v>34</v>
      </c>
      <c r="T45" s="0" t="s">
        <v>34</v>
      </c>
      <c r="U45" s="0" t="s">
        <v>34</v>
      </c>
      <c r="V45" s="0" t="s">
        <v>34</v>
      </c>
      <c r="W45" s="0" t="s">
        <v>34</v>
      </c>
      <c r="X45" s="0" t="s">
        <v>34</v>
      </c>
      <c r="Y45" s="0" t="s">
        <v>34</v>
      </c>
      <c r="Z45" s="0" t="s">
        <v>43</v>
      </c>
      <c r="AA45" s="0" t="s">
        <v>43</v>
      </c>
      <c r="AB45" s="0" t="s">
        <v>34</v>
      </c>
      <c r="AC45" s="0" t="s">
        <v>228</v>
      </c>
      <c r="AD45" s="0">
        <f>IF($AC45="","NEW","Live")</f>
      </c>
      <c r="AE45" s="8" t="s">
        <v>34</v>
      </c>
    </row>
    <row r="46">
      <c r="A46" s="0" t="s">
        <v>229</v>
      </c>
      <c r="B46" s="0">
        <v>2</v>
      </c>
      <c r="C46" s="0" t="s">
        <v>62</v>
      </c>
      <c r="D46" s="0" t="s">
        <v>230</v>
      </c>
      <c r="E46" s="0" t="s">
        <v>34</v>
      </c>
      <c r="F46" s="0" t="s">
        <v>34</v>
      </c>
      <c r="G46" s="8" t="s">
        <v>231</v>
      </c>
      <c r="H46" s="0" t="s">
        <v>101</v>
      </c>
      <c r="I46" s="0">
        <v>1</v>
      </c>
      <c r="J46" s="0">
        <v>1</v>
      </c>
      <c r="K46" s="0" t="s">
        <v>229</v>
      </c>
      <c r="L46" s="0" t="s">
        <v>49</v>
      </c>
      <c r="M46" s="0" t="s">
        <v>199</v>
      </c>
      <c r="N46" s="0" t="s">
        <v>34</v>
      </c>
      <c r="O46" s="0" t="s">
        <v>102</v>
      </c>
      <c r="P46" s="0" t="s">
        <v>41</v>
      </c>
      <c r="Q46" s="0" t="s">
        <v>34</v>
      </c>
      <c r="R46" s="0" t="s">
        <v>34</v>
      </c>
      <c r="S46" s="0" t="s">
        <v>34</v>
      </c>
      <c r="T46" s="0" t="s">
        <v>34</v>
      </c>
      <c r="U46" s="0" t="s">
        <v>34</v>
      </c>
      <c r="V46" s="0" t="s">
        <v>34</v>
      </c>
      <c r="W46" s="0" t="s">
        <v>34</v>
      </c>
      <c r="X46" s="0" t="s">
        <v>34</v>
      </c>
      <c r="Y46" s="0" t="s">
        <v>34</v>
      </c>
      <c r="Z46" s="0" t="s">
        <v>43</v>
      </c>
      <c r="AA46" s="0" t="s">
        <v>43</v>
      </c>
      <c r="AB46" s="0" t="s">
        <v>34</v>
      </c>
      <c r="AC46" s="0" t="s">
        <v>232</v>
      </c>
      <c r="AD46" s="0">
        <f>IF($AC46="","NEW","Live")</f>
      </c>
      <c r="AE46" s="8" t="s">
        <v>34</v>
      </c>
    </row>
    <row r="47">
      <c r="A47" s="0" t="s">
        <v>233</v>
      </c>
      <c r="B47" s="0">
        <v>2</v>
      </c>
      <c r="C47" s="0" t="s">
        <v>32</v>
      </c>
      <c r="D47" s="0" t="s">
        <v>234</v>
      </c>
      <c r="E47" s="0" t="s">
        <v>34</v>
      </c>
      <c r="F47" s="0" t="s">
        <v>34</v>
      </c>
      <c r="G47" s="8" t="s">
        <v>235</v>
      </c>
      <c r="H47" s="0" t="s">
        <v>101</v>
      </c>
      <c r="I47" s="0">
        <v>1</v>
      </c>
      <c r="J47" s="0">
        <v>3</v>
      </c>
      <c r="K47" s="0" t="s">
        <v>233</v>
      </c>
      <c r="L47" s="0" t="s">
        <v>49</v>
      </c>
      <c r="M47" s="0" t="s">
        <v>199</v>
      </c>
      <c r="N47" s="0" t="s">
        <v>34</v>
      </c>
      <c r="O47" s="0" t="s">
        <v>102</v>
      </c>
      <c r="P47" s="0" t="s">
        <v>41</v>
      </c>
      <c r="Q47" s="0" t="s">
        <v>34</v>
      </c>
      <c r="R47" s="0" t="s">
        <v>34</v>
      </c>
      <c r="S47" s="0" t="s">
        <v>34</v>
      </c>
      <c r="T47" s="0" t="s">
        <v>34</v>
      </c>
      <c r="U47" s="0" t="s">
        <v>34</v>
      </c>
      <c r="V47" s="0" t="s">
        <v>34</v>
      </c>
      <c r="W47" s="0" t="s">
        <v>34</v>
      </c>
      <c r="X47" s="0" t="s">
        <v>34</v>
      </c>
      <c r="Y47" s="0" t="s">
        <v>34</v>
      </c>
      <c r="Z47" s="0" t="s">
        <v>43</v>
      </c>
      <c r="AA47" s="0" t="s">
        <v>43</v>
      </c>
      <c r="AB47" s="0" t="s">
        <v>34</v>
      </c>
      <c r="AC47" s="0" t="s">
        <v>236</v>
      </c>
      <c r="AD47" s="0">
        <f>IF($AC47="","NEW","Live")</f>
      </c>
      <c r="AE47" s="8" t="s">
        <v>34</v>
      </c>
    </row>
    <row r="48">
      <c r="A48" s="0" t="s">
        <v>237</v>
      </c>
      <c r="B48" s="0">
        <v>2</v>
      </c>
      <c r="C48" s="0" t="s">
        <v>62</v>
      </c>
      <c r="D48" s="0" t="s">
        <v>238</v>
      </c>
      <c r="E48" s="0" t="s">
        <v>34</v>
      </c>
      <c r="F48" s="0" t="s">
        <v>34</v>
      </c>
      <c r="G48" s="8" t="s">
        <v>239</v>
      </c>
      <c r="H48" s="0" t="s">
        <v>101</v>
      </c>
      <c r="I48" s="0">
        <v>1</v>
      </c>
      <c r="J48" s="0">
        <v>3</v>
      </c>
      <c r="K48" s="0" t="s">
        <v>237</v>
      </c>
      <c r="L48" s="0" t="s">
        <v>49</v>
      </c>
      <c r="M48" s="0" t="s">
        <v>199</v>
      </c>
      <c r="N48" s="0" t="s">
        <v>34</v>
      </c>
      <c r="O48" s="0" t="s">
        <v>102</v>
      </c>
      <c r="P48" s="0" t="s">
        <v>41</v>
      </c>
      <c r="Q48" s="0" t="s">
        <v>34</v>
      </c>
      <c r="R48" s="0" t="s">
        <v>34</v>
      </c>
      <c r="S48" s="0" t="s">
        <v>34</v>
      </c>
      <c r="T48" s="0" t="s">
        <v>34</v>
      </c>
      <c r="U48" s="0" t="s">
        <v>34</v>
      </c>
      <c r="V48" s="0" t="s">
        <v>34</v>
      </c>
      <c r="W48" s="0" t="s">
        <v>34</v>
      </c>
      <c r="X48" s="0" t="s">
        <v>34</v>
      </c>
      <c r="Y48" s="0" t="s">
        <v>34</v>
      </c>
      <c r="Z48" s="0" t="s">
        <v>43</v>
      </c>
      <c r="AA48" s="0" t="s">
        <v>43</v>
      </c>
      <c r="AB48" s="0" t="s">
        <v>34</v>
      </c>
      <c r="AC48" s="0" t="s">
        <v>240</v>
      </c>
      <c r="AD48" s="0">
        <f>IF($AC48="","NEW","Live")</f>
      </c>
      <c r="AE48" s="8" t="s">
        <v>34</v>
      </c>
    </row>
    <row r="49">
      <c r="A49" s="0" t="s">
        <v>241</v>
      </c>
      <c r="B49" s="0">
        <v>2</v>
      </c>
      <c r="C49" s="0" t="s">
        <v>62</v>
      </c>
      <c r="D49" s="0" t="s">
        <v>242</v>
      </c>
      <c r="E49" s="0" t="s">
        <v>34</v>
      </c>
      <c r="F49" s="0" t="s">
        <v>34</v>
      </c>
      <c r="G49" s="8" t="s">
        <v>243</v>
      </c>
      <c r="H49" s="0" t="s">
        <v>101</v>
      </c>
      <c r="I49" s="0">
        <v>1</v>
      </c>
      <c r="J49" s="0">
        <v>3</v>
      </c>
      <c r="K49" s="0" t="s">
        <v>241</v>
      </c>
      <c r="L49" s="0" t="s">
        <v>49</v>
      </c>
      <c r="M49" s="0" t="s">
        <v>199</v>
      </c>
      <c r="N49" s="0" t="s">
        <v>34</v>
      </c>
      <c r="O49" s="0" t="s">
        <v>102</v>
      </c>
      <c r="P49" s="0" t="s">
        <v>41</v>
      </c>
      <c r="Q49" s="0" t="s">
        <v>34</v>
      </c>
      <c r="R49" s="0" t="s">
        <v>34</v>
      </c>
      <c r="S49" s="0" t="s">
        <v>34</v>
      </c>
      <c r="T49" s="0" t="s">
        <v>34</v>
      </c>
      <c r="U49" s="0" t="s">
        <v>34</v>
      </c>
      <c r="V49" s="0" t="s">
        <v>34</v>
      </c>
      <c r="W49" s="0" t="s">
        <v>34</v>
      </c>
      <c r="X49" s="0" t="s">
        <v>34</v>
      </c>
      <c r="Y49" s="0" t="s">
        <v>34</v>
      </c>
      <c r="Z49" s="0" t="s">
        <v>43</v>
      </c>
      <c r="AA49" s="0" t="s">
        <v>43</v>
      </c>
      <c r="AB49" s="0" t="s">
        <v>34</v>
      </c>
      <c r="AC49" s="0" t="s">
        <v>244</v>
      </c>
      <c r="AD49" s="0">
        <f>IF($AC49="","NEW","Live")</f>
      </c>
      <c r="AE49" s="8" t="s">
        <v>34</v>
      </c>
    </row>
    <row r="50">
      <c r="A50" s="0" t="s">
        <v>245</v>
      </c>
      <c r="B50" s="0">
        <v>0</v>
      </c>
      <c r="C50" s="0" t="s">
        <v>62</v>
      </c>
      <c r="D50" s="0" t="s">
        <v>246</v>
      </c>
      <c r="E50" s="0" t="s">
        <v>247</v>
      </c>
      <c r="F50" s="0" t="s">
        <v>34</v>
      </c>
      <c r="G50" s="8" t="s">
        <v>248</v>
      </c>
      <c r="H50" s="0" t="s">
        <v>36</v>
      </c>
      <c r="I50" s="0">
        <v>0</v>
      </c>
      <c r="J50" s="0">
        <v>0</v>
      </c>
      <c r="K50" s="0" t="s">
        <v>245</v>
      </c>
      <c r="L50" s="0" t="s">
        <v>49</v>
      </c>
      <c r="M50" s="0" t="s">
        <v>249</v>
      </c>
      <c r="N50" s="0" t="s">
        <v>34</v>
      </c>
      <c r="O50" s="0" t="s">
        <v>40</v>
      </c>
      <c r="P50" s="0" t="s">
        <v>41</v>
      </c>
      <c r="Q50" s="0" t="s">
        <v>34</v>
      </c>
      <c r="R50" s="0" t="s">
        <v>40</v>
      </c>
      <c r="S50" s="0" t="s">
        <v>41</v>
      </c>
      <c r="T50" s="0" t="s">
        <v>34</v>
      </c>
      <c r="U50" s="0" t="s">
        <v>34</v>
      </c>
      <c r="V50" s="0" t="s">
        <v>34</v>
      </c>
      <c r="W50" s="0" t="s">
        <v>34</v>
      </c>
      <c r="X50" s="0" t="s">
        <v>34</v>
      </c>
      <c r="Y50" s="0" t="s">
        <v>34</v>
      </c>
      <c r="Z50" s="0" t="s">
        <v>43</v>
      </c>
      <c r="AA50" s="0" t="s">
        <v>43</v>
      </c>
      <c r="AB50" s="0" t="s">
        <v>34</v>
      </c>
      <c r="AC50" s="0" t="s">
        <v>250</v>
      </c>
      <c r="AD50" s="0">
        <f>IF($AC50="","NEW","Live")</f>
      </c>
      <c r="AE50" s="8" t="s">
        <v>34</v>
      </c>
    </row>
    <row r="51">
      <c r="A51" s="0" t="s">
        <v>251</v>
      </c>
      <c r="B51" s="0">
        <v>0</v>
      </c>
      <c r="C51" s="0" t="s">
        <v>62</v>
      </c>
      <c r="D51" s="0" t="s">
        <v>47</v>
      </c>
      <c r="E51" s="0" t="s">
        <v>247</v>
      </c>
      <c r="F51" s="0" t="s">
        <v>34</v>
      </c>
      <c r="G51" s="8" t="s">
        <v>252</v>
      </c>
      <c r="H51" s="0" t="s">
        <v>36</v>
      </c>
      <c r="I51" s="0">
        <v>0</v>
      </c>
      <c r="J51" s="0">
        <v>0</v>
      </c>
      <c r="K51" s="0" t="s">
        <v>251</v>
      </c>
      <c r="L51" s="0" t="s">
        <v>49</v>
      </c>
      <c r="M51" s="0" t="s">
        <v>249</v>
      </c>
      <c r="N51" s="0" t="s">
        <v>34</v>
      </c>
      <c r="O51" s="0" t="s">
        <v>40</v>
      </c>
      <c r="P51" s="0" t="s">
        <v>41</v>
      </c>
      <c r="Q51" s="0" t="s">
        <v>34</v>
      </c>
      <c r="R51" s="0" t="s">
        <v>40</v>
      </c>
      <c r="S51" s="0" t="s">
        <v>41</v>
      </c>
      <c r="T51" s="0" t="s">
        <v>34</v>
      </c>
      <c r="U51" s="0" t="s">
        <v>34</v>
      </c>
      <c r="V51" s="0" t="s">
        <v>34</v>
      </c>
      <c r="W51" s="0" t="s">
        <v>34</v>
      </c>
      <c r="X51" s="0" t="s">
        <v>34</v>
      </c>
      <c r="Y51" s="0" t="s">
        <v>34</v>
      </c>
      <c r="Z51" s="0" t="s">
        <v>43</v>
      </c>
      <c r="AA51" s="0" t="s">
        <v>43</v>
      </c>
      <c r="AB51" s="0" t="s">
        <v>34</v>
      </c>
      <c r="AC51" s="0" t="s">
        <v>253</v>
      </c>
      <c r="AD51" s="0">
        <f>IF($AC51="","NEW","Live")</f>
      </c>
      <c r="AE51" s="8" t="s">
        <v>34</v>
      </c>
    </row>
  </sheetData>
  <autoFilter ref="A1:AE51"/>
  <conditionalFormatting sqref="AD2:AD51">
    <cfRule priority="1" type="cellIs" operator="equal" dxfId="0">
      <formula>"NEW"</formula>
    </cfRule>
  </conditionalFormatting>
  <dataValidations count="16">
    <dataValidation type="list" sqref="L2:L251" showErrorMessage="0" allowBlank="1">
      <formula1>=list_Class</formula1>
    </dataValidation>
    <dataValidation type="list" sqref="M2:M251" showErrorMessage="0" allowBlank="1">
      <formula1>=list_Folder</formula1>
    </dataValidation>
    <dataValidation type="list" sqref="C2:C251" showErrorMessage="0" allowBlank="1">
      <formula1>=list_Rarity</formula1>
    </dataValidation>
    <dataValidation type="list" sqref="H2:H251" showErrorMessage="0" allowBlank="1">
      <formula1>=list_Shape</formula1>
    </dataValidation>
    <dataValidation type="list" sqref="O2:O251" showErrorMessage="0" allowBlank="1">
      <formula1>=list_Aim</formula1>
    </dataValidation>
    <dataValidation type="list" sqref="R2:R251" showErrorMessage="0" allowBlank="1">
      <formula1>=list_Aim</formula1>
    </dataValidation>
    <dataValidation type="list" sqref="U2:U251" showErrorMessage="0" allowBlank="1">
      <formula1>=list_Aim</formula1>
    </dataValidation>
    <dataValidation type="list" sqref="D2:D251" showErrorMessage="0" allowBlank="1">
      <formula1>=list_Effect</formula1>
    </dataValidation>
    <dataValidation type="list" sqref="E2:E251" showErrorMessage="0" allowBlank="1">
      <formula1>=list_Effect</formula1>
    </dataValidation>
    <dataValidation type="list" sqref="F2:F251" showErrorMessage="0" allowBlank="1">
      <formula1>=list_Effect</formula1>
    </dataValidation>
    <dataValidation type="list" sqref="Q2:Q251" showErrorMessage="0" allowBlank="1">
      <formula1>=list_Condition</formula1>
    </dataValidation>
    <dataValidation type="list" sqref="T2:T251" showErrorMessage="0" allowBlank="1">
      <formula1>=list_Condition</formula1>
    </dataValidation>
    <dataValidation type="list" sqref="W2:W251" showErrorMessage="0" allowBlank="1">
      <formula1>=list_Condition</formula1>
    </dataValidation>
    <dataValidation type="list" sqref="X2:X251" showErrorMessage="0" allowBlank="1">
      <formula1>=list_CostCond</formula1>
    </dataValidation>
    <dataValidation type="list" sqref="Z2:Z251" showErrorMessage="0" allowBlank="1">
      <formula1>=list_Bool</formula1>
    </dataValidation>
    <dataValidation type="list" sqref="AA2:AA251" showErrorMessage="0" allowBlank="1">
      <formula1>=list_Bool</formula1>
    </dataValidation>
  </dataValidations>
  <hyperlinks>
    <hyperlink ref="P25" r:id="rId12"/>
    <hyperlink ref="P34" r:id="rId13"/>
  </hyperlinks>
  <headerFooter/>
</worksheet>
</file>

<file path=xl/worksheets/sheet2.xml><?xml version="1.0" encoding="utf-8"?>
<worksheet xmlns:r="http://schemas.openxmlformats.org/officeDocument/2006/relationships" xmlns="http://schemas.openxmlformats.org/spreadsheetml/2006/main">
  <dimension ref="A1:AE27"/>
  <sheetViews>
    <sheetView workbookViewId="0" tabSelected="0">
      <pane xSplit="2" ySplit="1" topLeftCell="C2" state="frozen" activePane="bottomRight"/>
      <selection pane="topRight" activeCell="C1" sqref="C1"/>
      <selection pane="bottomLeft" activeCell="A2" sqref="A2"/>
      <selection pane="bottomRight" activeCell="A1" sqref="A1"/>
    </sheetView>
  </sheetViews>
  <sheetFormatPr defaultRowHeight="15"/>
  <cols>
    <col min="1" max="1" width="15.3089933395386" customWidth="1"/>
    <col min="2" max="2" width="9.140625" customWidth="1"/>
    <col min="3" max="3" width="11.6996202468872" customWidth="1"/>
    <col min="4" max="4" width="22.6648349761963" customWidth="1"/>
    <col min="5" max="5" width="12.9968662261963" customWidth="1"/>
    <col min="6" max="6" width="9.140625" customWidth="1"/>
    <col min="7" max="7" width="52" customWidth="1" style="8"/>
    <col min="8" max="8" width="12.6950616836548" customWidth="1"/>
    <col min="9" max="9" width="10.8034143447876" customWidth="1"/>
    <col min="10" max="10" width="11.1430721282959" customWidth="1"/>
    <col min="11" max="11" width="19.6232604980469" customWidth="1"/>
    <col min="12" max="12" width="9.140625" customWidth="1"/>
    <col min="13" max="13" width="13.5974054336548" customWidth="1"/>
    <col min="14" max="14" width="14.653208732605" customWidth="1"/>
    <col min="15" max="15" width="9.140625" customWidth="1"/>
    <col min="16" max="16" width="16.8804225921631" customWidth="1"/>
    <col min="17" max="17" width="9.140625" customWidth="1"/>
    <col min="18" max="18" width="9.140625" customWidth="1"/>
    <col min="19" max="19" width="13.5820598602295" customWidth="1"/>
    <col min="20" max="20" width="9.140625" customWidth="1"/>
    <col min="21" max="21" width="9.140625" customWidth="1"/>
    <col min="22" max="22" width="9.140625" customWidth="1"/>
    <col min="23" max="23" width="9.140625" customWidth="1"/>
    <col min="24" max="24" width="10.3123426437378" customWidth="1"/>
    <col min="25" max="25" width="9.995192527771" customWidth="1"/>
    <col min="26" max="26" width="11.1389799118042" customWidth="1"/>
    <col min="27" max="27" width="9.93790149688721" customWidth="1"/>
    <col min="28" max="28" width="10.5374174118042" customWidth="1"/>
    <col min="29" max="29" width="36.0956344604492" customWidth="1"/>
    <col min="30" max="30" width="9.140625" customWidth="1"/>
    <col min="31" max="31" width="46" customWidth="1" style="8"/>
  </cols>
  <sheetData>
    <row r="1">
      <c r="A1" s="7" t="s">
        <v>0</v>
      </c>
      <c r="B1" s="7" t="s">
        <v>1</v>
      </c>
      <c r="C1" s="7" t="s">
        <v>2</v>
      </c>
      <c r="D1" s="7" t="s">
        <v>3</v>
      </c>
      <c r="E1" s="7" t="s">
        <v>4</v>
      </c>
      <c r="F1" s="7" t="s">
        <v>5</v>
      </c>
      <c r="G1" s="9"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c r="Y1" s="7" t="s">
        <v>24</v>
      </c>
      <c r="Z1" s="7" t="s">
        <v>25</v>
      </c>
      <c r="AA1" s="7" t="s">
        <v>26</v>
      </c>
      <c r="AB1" s="7" t="s">
        <v>27</v>
      </c>
      <c r="AC1" s="7" t="s">
        <v>28</v>
      </c>
      <c r="AD1" s="7" t="s">
        <v>29</v>
      </c>
      <c r="AE1" s="9" t="s">
        <v>30</v>
      </c>
    </row>
    <row r="2">
      <c r="A2" s="0" t="s">
        <v>254</v>
      </c>
      <c r="B2" s="0">
        <v>1</v>
      </c>
      <c r="C2" s="0" t="s">
        <v>81</v>
      </c>
      <c r="D2" s="0" t="s">
        <v>255</v>
      </c>
      <c r="E2" s="0" t="s">
        <v>34</v>
      </c>
      <c r="F2" s="0" t="s">
        <v>34</v>
      </c>
      <c r="G2" s="8" t="s">
        <v>256</v>
      </c>
      <c r="H2" s="0" t="s">
        <v>101</v>
      </c>
      <c r="I2" s="0">
        <v>1</v>
      </c>
      <c r="J2" s="0">
        <v>4</v>
      </c>
      <c r="K2" s="0" t="s">
        <v>254</v>
      </c>
      <c r="L2" s="0" t="s">
        <v>257</v>
      </c>
      <c r="M2" s="0" t="s">
        <v>258</v>
      </c>
      <c r="N2" s="0" t="s">
        <v>39</v>
      </c>
      <c r="O2" s="0" t="s">
        <v>102</v>
      </c>
      <c r="P2" s="0" t="s">
        <v>41</v>
      </c>
      <c r="Q2" s="0" t="s">
        <v>34</v>
      </c>
      <c r="R2" s="0" t="s">
        <v>34</v>
      </c>
      <c r="S2" s="0" t="s">
        <v>34</v>
      </c>
      <c r="T2" s="0" t="s">
        <v>34</v>
      </c>
      <c r="U2" s="0" t="s">
        <v>34</v>
      </c>
      <c r="V2" s="0" t="s">
        <v>34</v>
      </c>
      <c r="W2" s="0" t="s">
        <v>34</v>
      </c>
      <c r="X2" s="0" t="s">
        <v>34</v>
      </c>
      <c r="Y2" s="0" t="s">
        <v>34</v>
      </c>
      <c r="Z2" s="0" t="s">
        <v>43</v>
      </c>
      <c r="AA2" s="0" t="s">
        <v>43</v>
      </c>
      <c r="AB2" s="0" t="s">
        <v>259</v>
      </c>
      <c r="AC2" s="0" t="s">
        <v>260</v>
      </c>
      <c r="AD2" s="0">
        <f>IF($AC2="","NEW","Live")</f>
      </c>
      <c r="AE2" s="8" t="s">
        <v>34</v>
      </c>
    </row>
    <row r="3">
      <c r="A3" s="0" t="s">
        <v>261</v>
      </c>
      <c r="B3" s="0">
        <v>1</v>
      </c>
      <c r="C3" s="0" t="s">
        <v>32</v>
      </c>
      <c r="D3" s="0" t="s">
        <v>262</v>
      </c>
      <c r="E3" s="0" t="s">
        <v>34</v>
      </c>
      <c r="F3" s="0" t="s">
        <v>34</v>
      </c>
      <c r="G3" s="8" t="s">
        <v>263</v>
      </c>
      <c r="H3" s="0" t="s">
        <v>101</v>
      </c>
      <c r="I3" s="0">
        <v>1</v>
      </c>
      <c r="J3" s="0">
        <v>4</v>
      </c>
      <c r="K3" s="0" t="s">
        <v>261</v>
      </c>
      <c r="L3" s="0" t="s">
        <v>257</v>
      </c>
      <c r="M3" s="0" t="s">
        <v>258</v>
      </c>
      <c r="N3" s="0" t="s">
        <v>34</v>
      </c>
      <c r="O3" s="0" t="s">
        <v>102</v>
      </c>
      <c r="P3" s="0" t="s">
        <v>41</v>
      </c>
      <c r="Q3" s="0" t="s">
        <v>34</v>
      </c>
      <c r="R3" s="0" t="s">
        <v>34</v>
      </c>
      <c r="S3" s="0" t="s">
        <v>34</v>
      </c>
      <c r="T3" s="0" t="s">
        <v>34</v>
      </c>
      <c r="U3" s="0" t="s">
        <v>34</v>
      </c>
      <c r="V3" s="0" t="s">
        <v>34</v>
      </c>
      <c r="W3" s="0" t="s">
        <v>34</v>
      </c>
      <c r="X3" s="0" t="s">
        <v>34</v>
      </c>
      <c r="Y3" s="0" t="s">
        <v>34</v>
      </c>
      <c r="Z3" s="0" t="s">
        <v>43</v>
      </c>
      <c r="AA3" s="0" t="s">
        <v>43</v>
      </c>
      <c r="AB3" s="0" t="s">
        <v>259</v>
      </c>
      <c r="AC3" s="0" t="s">
        <v>264</v>
      </c>
      <c r="AD3" s="0">
        <f>IF($AC3="","NEW","Live")</f>
      </c>
      <c r="AE3" s="8" t="s">
        <v>34</v>
      </c>
    </row>
    <row r="4">
      <c r="A4" s="0" t="s">
        <v>265</v>
      </c>
      <c r="B4" s="0">
        <v>1</v>
      </c>
      <c r="C4" s="0" t="s">
        <v>62</v>
      </c>
      <c r="D4" s="0" t="s">
        <v>265</v>
      </c>
      <c r="E4" s="0" t="s">
        <v>34</v>
      </c>
      <c r="F4" s="0" t="s">
        <v>34</v>
      </c>
      <c r="G4" s="8" t="s">
        <v>266</v>
      </c>
      <c r="H4" s="0" t="s">
        <v>101</v>
      </c>
      <c r="I4" s="0">
        <v>1</v>
      </c>
      <c r="J4" s="0">
        <v>4</v>
      </c>
      <c r="K4" s="0" t="s">
        <v>265</v>
      </c>
      <c r="L4" s="0" t="s">
        <v>257</v>
      </c>
      <c r="M4" s="0" t="s">
        <v>258</v>
      </c>
      <c r="N4" s="0" t="s">
        <v>34</v>
      </c>
      <c r="O4" s="0" t="s">
        <v>102</v>
      </c>
      <c r="P4" s="0" t="s">
        <v>41</v>
      </c>
      <c r="Q4" s="0" t="s">
        <v>34</v>
      </c>
      <c r="R4" s="0" t="s">
        <v>34</v>
      </c>
      <c r="S4" s="0" t="s">
        <v>34</v>
      </c>
      <c r="T4" s="0" t="s">
        <v>34</v>
      </c>
      <c r="U4" s="0" t="s">
        <v>34</v>
      </c>
      <c r="V4" s="0" t="s">
        <v>34</v>
      </c>
      <c r="W4" s="0" t="s">
        <v>34</v>
      </c>
      <c r="X4" s="0" t="s">
        <v>34</v>
      </c>
      <c r="Y4" s="0" t="s">
        <v>34</v>
      </c>
      <c r="Z4" s="0" t="s">
        <v>43</v>
      </c>
      <c r="AA4" s="0" t="s">
        <v>43</v>
      </c>
      <c r="AB4" s="0" t="s">
        <v>265</v>
      </c>
      <c r="AC4" s="0" t="s">
        <v>267</v>
      </c>
      <c r="AD4" s="0">
        <f>IF($AC4="","NEW","Live")</f>
      </c>
      <c r="AE4" s="8" t="s">
        <v>34</v>
      </c>
    </row>
    <row r="5">
      <c r="A5" s="0" t="s">
        <v>268</v>
      </c>
      <c r="B5" s="0">
        <v>1</v>
      </c>
      <c r="C5" s="0" t="s">
        <v>81</v>
      </c>
      <c r="D5" s="0" t="s">
        <v>178</v>
      </c>
      <c r="E5" s="0" t="s">
        <v>34</v>
      </c>
      <c r="F5" s="0" t="s">
        <v>34</v>
      </c>
      <c r="G5" s="8" t="s">
        <v>269</v>
      </c>
      <c r="H5" s="0" t="s">
        <v>101</v>
      </c>
      <c r="I5" s="0">
        <v>1</v>
      </c>
      <c r="J5" s="0">
        <v>4</v>
      </c>
      <c r="K5" s="0" t="s">
        <v>268</v>
      </c>
      <c r="L5" s="0" t="s">
        <v>257</v>
      </c>
      <c r="M5" s="0" t="s">
        <v>258</v>
      </c>
      <c r="N5" s="0" t="s">
        <v>34</v>
      </c>
      <c r="O5" s="0" t="s">
        <v>102</v>
      </c>
      <c r="P5" s="0" t="s">
        <v>41</v>
      </c>
      <c r="Q5" s="0" t="s">
        <v>34</v>
      </c>
      <c r="R5" s="0" t="s">
        <v>34</v>
      </c>
      <c r="S5" s="0" t="s">
        <v>34</v>
      </c>
      <c r="T5" s="0" t="s">
        <v>34</v>
      </c>
      <c r="U5" s="0" t="s">
        <v>34</v>
      </c>
      <c r="V5" s="0" t="s">
        <v>34</v>
      </c>
      <c r="W5" s="0" t="s">
        <v>34</v>
      </c>
      <c r="X5" s="0" t="s">
        <v>34</v>
      </c>
      <c r="Y5" s="0" t="s">
        <v>34</v>
      </c>
      <c r="Z5" s="0" t="s">
        <v>43</v>
      </c>
      <c r="AA5" s="0" t="s">
        <v>43</v>
      </c>
      <c r="AB5" s="0" t="s">
        <v>34</v>
      </c>
      <c r="AC5" s="0" t="s">
        <v>270</v>
      </c>
      <c r="AD5" s="0">
        <f>IF($AC5="","NEW","Live")</f>
      </c>
      <c r="AE5" s="8" t="s">
        <v>34</v>
      </c>
    </row>
    <row r="6">
      <c r="A6" s="0" t="s">
        <v>271</v>
      </c>
      <c r="B6" s="0">
        <v>1</v>
      </c>
      <c r="C6" s="0" t="s">
        <v>81</v>
      </c>
      <c r="D6" s="0" t="s">
        <v>272</v>
      </c>
      <c r="E6" s="0" t="s">
        <v>273</v>
      </c>
      <c r="F6" s="0" t="s">
        <v>34</v>
      </c>
      <c r="G6" s="8" t="s">
        <v>274</v>
      </c>
      <c r="H6" s="0" t="s">
        <v>101</v>
      </c>
      <c r="I6" s="0">
        <v>1</v>
      </c>
      <c r="J6" s="0">
        <v>4</v>
      </c>
      <c r="K6" s="0" t="s">
        <v>271</v>
      </c>
      <c r="L6" s="0" t="s">
        <v>257</v>
      </c>
      <c r="M6" s="0" t="s">
        <v>133</v>
      </c>
      <c r="N6" s="0" t="s">
        <v>275</v>
      </c>
      <c r="O6" s="0" t="s">
        <v>102</v>
      </c>
      <c r="P6" s="0" t="s">
        <v>41</v>
      </c>
      <c r="Q6" s="0" t="s">
        <v>34</v>
      </c>
      <c r="R6" s="0" t="s">
        <v>40</v>
      </c>
      <c r="S6" s="0" t="s">
        <v>41</v>
      </c>
      <c r="T6" s="0" t="s">
        <v>34</v>
      </c>
      <c r="U6" s="0" t="s">
        <v>34</v>
      </c>
      <c r="V6" s="0" t="s">
        <v>34</v>
      </c>
      <c r="W6" s="0" t="s">
        <v>34</v>
      </c>
      <c r="X6" s="0" t="s">
        <v>34</v>
      </c>
      <c r="Y6" s="0" t="s">
        <v>34</v>
      </c>
      <c r="Z6" s="0" t="s">
        <v>42</v>
      </c>
      <c r="AA6" s="0" t="s">
        <v>43</v>
      </c>
      <c r="AB6" s="0" t="s">
        <v>34</v>
      </c>
      <c r="AC6" s="0" t="s">
        <v>276</v>
      </c>
      <c r="AD6" s="0">
        <f>IF($AC6="","NEW","Live")</f>
      </c>
      <c r="AE6" s="8" t="s">
        <v>34</v>
      </c>
    </row>
    <row r="7">
      <c r="A7" s="0" t="s">
        <v>277</v>
      </c>
      <c r="B7" s="0">
        <v>1</v>
      </c>
      <c r="C7" s="0" t="s">
        <v>81</v>
      </c>
      <c r="D7" s="0" t="s">
        <v>278</v>
      </c>
      <c r="E7" s="0" t="s">
        <v>34</v>
      </c>
      <c r="F7" s="0" t="s">
        <v>34</v>
      </c>
      <c r="G7" s="8" t="s">
        <v>279</v>
      </c>
      <c r="H7" s="0" t="s">
        <v>280</v>
      </c>
      <c r="I7" s="0">
        <v>0</v>
      </c>
      <c r="J7" s="0">
        <v>0</v>
      </c>
      <c r="K7" s="0" t="s">
        <v>277</v>
      </c>
      <c r="L7" s="0" t="s">
        <v>257</v>
      </c>
      <c r="M7" s="0" t="s">
        <v>281</v>
      </c>
      <c r="N7" s="0" t="s">
        <v>281</v>
      </c>
      <c r="O7" s="0" t="s">
        <v>102</v>
      </c>
      <c r="P7" s="0" t="s">
        <v>41</v>
      </c>
      <c r="Q7" s="0" t="s">
        <v>34</v>
      </c>
      <c r="R7" s="0" t="s">
        <v>34</v>
      </c>
      <c r="S7" s="0" t="s">
        <v>34</v>
      </c>
      <c r="T7" s="0" t="s">
        <v>34</v>
      </c>
      <c r="U7" s="0" t="s">
        <v>34</v>
      </c>
      <c r="V7" s="0" t="s">
        <v>34</v>
      </c>
      <c r="W7" s="0" t="s">
        <v>34</v>
      </c>
      <c r="X7" s="0" t="s">
        <v>34</v>
      </c>
      <c r="Y7" s="0" t="s">
        <v>34</v>
      </c>
      <c r="Z7" s="0" t="s">
        <v>43</v>
      </c>
      <c r="AA7" s="0" t="s">
        <v>43</v>
      </c>
      <c r="AB7" s="0" t="s">
        <v>34</v>
      </c>
      <c r="AC7" s="0" t="s">
        <v>282</v>
      </c>
      <c r="AD7" s="0">
        <f>IF($AC7="","NEW","Live")</f>
      </c>
      <c r="AE7" s="8" t="s">
        <v>34</v>
      </c>
    </row>
    <row r="8">
      <c r="A8" s="0" t="s">
        <v>283</v>
      </c>
      <c r="B8" s="0">
        <v>1</v>
      </c>
      <c r="C8" s="0" t="s">
        <v>62</v>
      </c>
      <c r="D8" s="0" t="s">
        <v>136</v>
      </c>
      <c r="E8" s="0" t="s">
        <v>34</v>
      </c>
      <c r="F8" s="0" t="s">
        <v>34</v>
      </c>
      <c r="G8" s="8" t="s">
        <v>284</v>
      </c>
      <c r="H8" s="0" t="s">
        <v>101</v>
      </c>
      <c r="I8" s="0">
        <v>1</v>
      </c>
      <c r="J8" s="0">
        <v>4</v>
      </c>
      <c r="K8" s="0" t="s">
        <v>283</v>
      </c>
      <c r="L8" s="0" t="s">
        <v>257</v>
      </c>
      <c r="M8" s="0" t="s">
        <v>285</v>
      </c>
      <c r="N8" s="0" t="s">
        <v>286</v>
      </c>
      <c r="O8" s="0" t="s">
        <v>102</v>
      </c>
      <c r="P8" s="0" t="s">
        <v>78</v>
      </c>
      <c r="Q8" s="0" t="s">
        <v>34</v>
      </c>
      <c r="R8" s="0" t="s">
        <v>34</v>
      </c>
      <c r="S8" s="0" t="s">
        <v>34</v>
      </c>
      <c r="T8" s="0" t="s">
        <v>34</v>
      </c>
      <c r="U8" s="0" t="s">
        <v>34</v>
      </c>
      <c r="V8" s="0" t="s">
        <v>34</v>
      </c>
      <c r="W8" s="0" t="s">
        <v>34</v>
      </c>
      <c r="X8" s="0" t="s">
        <v>34</v>
      </c>
      <c r="Y8" s="0" t="s">
        <v>34</v>
      </c>
      <c r="Z8" s="0" t="s">
        <v>43</v>
      </c>
      <c r="AA8" s="0" t="s">
        <v>43</v>
      </c>
      <c r="AB8" s="0" t="s">
        <v>34</v>
      </c>
      <c r="AC8" s="0" t="s">
        <v>287</v>
      </c>
      <c r="AD8" s="0">
        <f>IF($AC8="","NEW","Live")</f>
      </c>
      <c r="AE8" s="8" t="s">
        <v>34</v>
      </c>
    </row>
    <row r="9">
      <c r="A9" s="0" t="s">
        <v>288</v>
      </c>
      <c r="B9" s="0">
        <v>1</v>
      </c>
      <c r="C9" s="0" t="s">
        <v>81</v>
      </c>
      <c r="D9" s="0" t="s">
        <v>136</v>
      </c>
      <c r="E9" s="0" t="s">
        <v>34</v>
      </c>
      <c r="F9" s="0" t="s">
        <v>34</v>
      </c>
      <c r="G9" s="8" t="s">
        <v>284</v>
      </c>
      <c r="H9" s="0" t="s">
        <v>101</v>
      </c>
      <c r="I9" s="0">
        <v>1</v>
      </c>
      <c r="J9" s="0">
        <v>5</v>
      </c>
      <c r="K9" s="0" t="s">
        <v>288</v>
      </c>
      <c r="L9" s="0" t="s">
        <v>257</v>
      </c>
      <c r="M9" s="0" t="s">
        <v>285</v>
      </c>
      <c r="N9" s="0" t="s">
        <v>286</v>
      </c>
      <c r="O9" s="0" t="s">
        <v>102</v>
      </c>
      <c r="P9" s="0" t="s">
        <v>41</v>
      </c>
      <c r="Q9" s="0" t="s">
        <v>34</v>
      </c>
      <c r="R9" s="0" t="s">
        <v>34</v>
      </c>
      <c r="S9" s="0" t="s">
        <v>34</v>
      </c>
      <c r="T9" s="0" t="s">
        <v>34</v>
      </c>
      <c r="U9" s="0" t="s">
        <v>34</v>
      </c>
      <c r="V9" s="0" t="s">
        <v>34</v>
      </c>
      <c r="W9" s="0" t="s">
        <v>34</v>
      </c>
      <c r="X9" s="0" t="s">
        <v>34</v>
      </c>
      <c r="Y9" s="0" t="s">
        <v>34</v>
      </c>
      <c r="Z9" s="0" t="s">
        <v>43</v>
      </c>
      <c r="AA9" s="0" t="s">
        <v>43</v>
      </c>
      <c r="AB9" s="0" t="s">
        <v>283</v>
      </c>
      <c r="AC9" s="0" t="s">
        <v>289</v>
      </c>
      <c r="AD9" s="0">
        <f>IF($AC9="","NEW","Live")</f>
      </c>
      <c r="AE9" s="8" t="s">
        <v>34</v>
      </c>
    </row>
    <row r="10">
      <c r="A10" s="0" t="s">
        <v>290</v>
      </c>
      <c r="B10" s="0">
        <v>1</v>
      </c>
      <c r="C10" s="0" t="s">
        <v>62</v>
      </c>
      <c r="D10" s="0" t="s">
        <v>193</v>
      </c>
      <c r="E10" s="0" t="s">
        <v>34</v>
      </c>
      <c r="F10" s="0" t="s">
        <v>34</v>
      </c>
      <c r="G10" s="8" t="s">
        <v>194</v>
      </c>
      <c r="H10" s="0" t="s">
        <v>101</v>
      </c>
      <c r="I10" s="0">
        <v>1</v>
      </c>
      <c r="J10" s="0">
        <v>1</v>
      </c>
      <c r="K10" s="0" t="s">
        <v>290</v>
      </c>
      <c r="L10" s="0" t="s">
        <v>257</v>
      </c>
      <c r="M10" s="0" t="s">
        <v>285</v>
      </c>
      <c r="N10" s="0" t="s">
        <v>286</v>
      </c>
      <c r="O10" s="0" t="s">
        <v>102</v>
      </c>
      <c r="P10" s="2" t="s">
        <v>291</v>
      </c>
      <c r="Q10" s="0" t="s">
        <v>34</v>
      </c>
      <c r="R10" s="0" t="s">
        <v>34</v>
      </c>
      <c r="S10" s="0" t="s">
        <v>34</v>
      </c>
      <c r="T10" s="0" t="s">
        <v>34</v>
      </c>
      <c r="U10" s="0" t="s">
        <v>34</v>
      </c>
      <c r="V10" s="0" t="s">
        <v>34</v>
      </c>
      <c r="W10" s="0" t="s">
        <v>34</v>
      </c>
      <c r="X10" s="0" t="s">
        <v>34</v>
      </c>
      <c r="Y10" s="0" t="s">
        <v>34</v>
      </c>
      <c r="Z10" s="0" t="s">
        <v>43</v>
      </c>
      <c r="AA10" s="0" t="s">
        <v>43</v>
      </c>
      <c r="AB10" s="0" t="s">
        <v>34</v>
      </c>
      <c r="AC10" s="0" t="s">
        <v>292</v>
      </c>
      <c r="AD10" s="0">
        <f>IF($AC10="","NEW","Live")</f>
      </c>
      <c r="AE10" s="8" t="s">
        <v>34</v>
      </c>
    </row>
    <row r="11">
      <c r="A11" s="0" t="s">
        <v>293</v>
      </c>
      <c r="B11" s="0">
        <v>1</v>
      </c>
      <c r="C11" s="0" t="s">
        <v>62</v>
      </c>
      <c r="D11" s="0" t="s">
        <v>136</v>
      </c>
      <c r="E11" s="0" t="s">
        <v>265</v>
      </c>
      <c r="F11" s="0" t="s">
        <v>34</v>
      </c>
      <c r="G11" s="8" t="s">
        <v>294</v>
      </c>
      <c r="H11" s="0" t="s">
        <v>101</v>
      </c>
      <c r="I11" s="0">
        <v>1</v>
      </c>
      <c r="J11" s="0">
        <v>4</v>
      </c>
      <c r="K11" s="0" t="s">
        <v>293</v>
      </c>
      <c r="L11" s="0" t="s">
        <v>257</v>
      </c>
      <c r="M11" s="0" t="s">
        <v>285</v>
      </c>
      <c r="N11" s="0" t="s">
        <v>139</v>
      </c>
      <c r="O11" s="0" t="s">
        <v>102</v>
      </c>
      <c r="P11" s="0" t="s">
        <v>41</v>
      </c>
      <c r="Q11" s="0" t="s">
        <v>34</v>
      </c>
      <c r="R11" s="0" t="s">
        <v>102</v>
      </c>
      <c r="S11" s="0" t="s">
        <v>41</v>
      </c>
      <c r="T11" s="0" t="s">
        <v>34</v>
      </c>
      <c r="U11" s="0" t="s">
        <v>34</v>
      </c>
      <c r="V11" s="0" t="s">
        <v>34</v>
      </c>
      <c r="W11" s="0" t="s">
        <v>34</v>
      </c>
      <c r="X11" s="0" t="s">
        <v>34</v>
      </c>
      <c r="Y11" s="0" t="s">
        <v>34</v>
      </c>
      <c r="Z11" s="0" t="s">
        <v>43</v>
      </c>
      <c r="AA11" s="0" t="s">
        <v>43</v>
      </c>
      <c r="AB11" s="0" t="s">
        <v>34</v>
      </c>
      <c r="AC11" s="0" t="s">
        <v>295</v>
      </c>
      <c r="AD11" s="0">
        <f>IF($AC11="","NEW","Live")</f>
      </c>
      <c r="AE11" s="8" t="s">
        <v>34</v>
      </c>
    </row>
    <row r="12">
      <c r="A12" s="0" t="s">
        <v>296</v>
      </c>
      <c r="B12" s="0">
        <v>1</v>
      </c>
      <c r="C12" s="0" t="s">
        <v>62</v>
      </c>
      <c r="D12" s="0" t="s">
        <v>136</v>
      </c>
      <c r="E12" s="0" t="s">
        <v>34</v>
      </c>
      <c r="F12" s="0" t="s">
        <v>34</v>
      </c>
      <c r="G12" s="8" t="s">
        <v>284</v>
      </c>
      <c r="H12" s="0" t="s">
        <v>101</v>
      </c>
      <c r="I12" s="0">
        <v>1</v>
      </c>
      <c r="J12" s="0">
        <v>4</v>
      </c>
      <c r="K12" s="0" t="s">
        <v>296</v>
      </c>
      <c r="L12" s="0" t="s">
        <v>257</v>
      </c>
      <c r="M12" s="0" t="s">
        <v>285</v>
      </c>
      <c r="N12" s="0" t="s">
        <v>286</v>
      </c>
      <c r="O12" s="0" t="s">
        <v>102</v>
      </c>
      <c r="P12" s="2" t="s">
        <v>297</v>
      </c>
      <c r="Q12" s="0" t="s">
        <v>34</v>
      </c>
      <c r="R12" s="0" t="s">
        <v>34</v>
      </c>
      <c r="S12" s="0" t="s">
        <v>34</v>
      </c>
      <c r="T12" s="0" t="s">
        <v>34</v>
      </c>
      <c r="U12" s="0" t="s">
        <v>34</v>
      </c>
      <c r="V12" s="0" t="s">
        <v>34</v>
      </c>
      <c r="W12" s="0" t="s">
        <v>34</v>
      </c>
      <c r="X12" s="0" t="s">
        <v>34</v>
      </c>
      <c r="Y12" s="0" t="s">
        <v>34</v>
      </c>
      <c r="Z12" s="0" t="s">
        <v>43</v>
      </c>
      <c r="AA12" s="0" t="s">
        <v>43</v>
      </c>
      <c r="AB12" s="0" t="s">
        <v>34</v>
      </c>
      <c r="AC12" s="0" t="s">
        <v>298</v>
      </c>
      <c r="AD12" s="0">
        <f>IF($AC12="","NEW","Live")</f>
      </c>
      <c r="AE12" s="8" t="s">
        <v>34</v>
      </c>
    </row>
    <row r="13">
      <c r="A13" s="0" t="s">
        <v>299</v>
      </c>
      <c r="B13" s="0">
        <v>1</v>
      </c>
      <c r="C13" s="0" t="s">
        <v>62</v>
      </c>
      <c r="D13" s="0" t="s">
        <v>300</v>
      </c>
      <c r="E13" s="0" t="s">
        <v>34</v>
      </c>
      <c r="F13" s="0" t="s">
        <v>34</v>
      </c>
      <c r="G13" s="8" t="s">
        <v>301</v>
      </c>
      <c r="H13" s="0" t="s">
        <v>101</v>
      </c>
      <c r="I13" s="0">
        <v>1</v>
      </c>
      <c r="J13" s="0">
        <v>3</v>
      </c>
      <c r="K13" s="0" t="s">
        <v>299</v>
      </c>
      <c r="L13" s="0" t="s">
        <v>257</v>
      </c>
      <c r="M13" s="0" t="s">
        <v>199</v>
      </c>
      <c r="N13" s="0" t="s">
        <v>34</v>
      </c>
      <c r="O13" s="0" t="s">
        <v>102</v>
      </c>
      <c r="P13" s="0" t="s">
        <v>41</v>
      </c>
      <c r="Q13" s="0" t="s">
        <v>34</v>
      </c>
      <c r="R13" s="0" t="s">
        <v>34</v>
      </c>
      <c r="S13" s="0" t="s">
        <v>34</v>
      </c>
      <c r="T13" s="0" t="s">
        <v>34</v>
      </c>
      <c r="U13" s="0" t="s">
        <v>34</v>
      </c>
      <c r="V13" s="0" t="s">
        <v>34</v>
      </c>
      <c r="W13" s="0" t="s">
        <v>34</v>
      </c>
      <c r="X13" s="0" t="s">
        <v>34</v>
      </c>
      <c r="Y13" s="0" t="s">
        <v>34</v>
      </c>
      <c r="Z13" s="0" t="s">
        <v>43</v>
      </c>
      <c r="AA13" s="0" t="s">
        <v>43</v>
      </c>
      <c r="AB13" s="0" t="s">
        <v>34</v>
      </c>
      <c r="AC13" s="0" t="s">
        <v>302</v>
      </c>
      <c r="AD13" s="0">
        <f>IF($AC13="","NEW","Live")</f>
      </c>
      <c r="AE13" s="8" t="s">
        <v>34</v>
      </c>
    </row>
    <row r="14">
      <c r="A14" s="0" t="s">
        <v>303</v>
      </c>
      <c r="B14" s="0">
        <v>2</v>
      </c>
      <c r="C14" s="0" t="s">
        <v>32</v>
      </c>
      <c r="D14" s="0" t="s">
        <v>304</v>
      </c>
      <c r="E14" s="0" t="s">
        <v>34</v>
      </c>
      <c r="F14" s="0" t="s">
        <v>34</v>
      </c>
      <c r="G14" s="8" t="s">
        <v>305</v>
      </c>
      <c r="H14" s="0" t="s">
        <v>101</v>
      </c>
      <c r="I14" s="0">
        <v>1</v>
      </c>
      <c r="J14" s="0">
        <v>3</v>
      </c>
      <c r="K14" s="0" t="s">
        <v>303</v>
      </c>
      <c r="L14" s="0" t="s">
        <v>257</v>
      </c>
      <c r="M14" s="0" t="s">
        <v>199</v>
      </c>
      <c r="N14" s="0" t="s">
        <v>34</v>
      </c>
      <c r="O14" s="0" t="s">
        <v>102</v>
      </c>
      <c r="P14" s="0" t="s">
        <v>41</v>
      </c>
      <c r="Q14" s="0" t="s">
        <v>34</v>
      </c>
      <c r="R14" s="0" t="s">
        <v>34</v>
      </c>
      <c r="S14" s="0" t="s">
        <v>34</v>
      </c>
      <c r="T14" s="0" t="s">
        <v>34</v>
      </c>
      <c r="U14" s="0" t="s">
        <v>34</v>
      </c>
      <c r="V14" s="0" t="s">
        <v>34</v>
      </c>
      <c r="W14" s="0" t="s">
        <v>34</v>
      </c>
      <c r="X14" s="0" t="s">
        <v>34</v>
      </c>
      <c r="Y14" s="0" t="s">
        <v>34</v>
      </c>
      <c r="Z14" s="0" t="s">
        <v>43</v>
      </c>
      <c r="AA14" s="0" t="s">
        <v>43</v>
      </c>
      <c r="AB14" s="0" t="s">
        <v>34</v>
      </c>
      <c r="AC14" s="0" t="s">
        <v>306</v>
      </c>
      <c r="AD14" s="0">
        <f>IF($AC14="","NEW","Live")</f>
      </c>
      <c r="AE14" s="8" t="s">
        <v>34</v>
      </c>
    </row>
    <row r="15">
      <c r="A15" s="0" t="s">
        <v>307</v>
      </c>
      <c r="B15" s="0">
        <v>2</v>
      </c>
      <c r="C15" s="0" t="s">
        <v>32</v>
      </c>
      <c r="D15" s="0" t="s">
        <v>308</v>
      </c>
      <c r="E15" s="0" t="s">
        <v>34</v>
      </c>
      <c r="F15" s="0" t="s">
        <v>34</v>
      </c>
      <c r="G15" s="8" t="s">
        <v>309</v>
      </c>
      <c r="H15" s="0" t="s">
        <v>101</v>
      </c>
      <c r="I15" s="0">
        <v>1</v>
      </c>
      <c r="J15" s="0">
        <v>3</v>
      </c>
      <c r="K15" s="0" t="s">
        <v>307</v>
      </c>
      <c r="L15" s="0" t="s">
        <v>257</v>
      </c>
      <c r="M15" s="0" t="s">
        <v>199</v>
      </c>
      <c r="N15" s="0" t="s">
        <v>34</v>
      </c>
      <c r="O15" s="0" t="s">
        <v>102</v>
      </c>
      <c r="P15" s="0" t="s">
        <v>41</v>
      </c>
      <c r="Q15" s="0" t="s">
        <v>34</v>
      </c>
      <c r="R15" s="0" t="s">
        <v>34</v>
      </c>
      <c r="S15" s="0" t="s">
        <v>34</v>
      </c>
      <c r="T15" s="0" t="s">
        <v>34</v>
      </c>
      <c r="U15" s="0" t="s">
        <v>34</v>
      </c>
      <c r="V15" s="0" t="s">
        <v>34</v>
      </c>
      <c r="W15" s="0" t="s">
        <v>34</v>
      </c>
      <c r="X15" s="0" t="s">
        <v>34</v>
      </c>
      <c r="Y15" s="0" t="s">
        <v>34</v>
      </c>
      <c r="Z15" s="0" t="s">
        <v>43</v>
      </c>
      <c r="AA15" s="0" t="s">
        <v>43</v>
      </c>
      <c r="AB15" s="0" t="s">
        <v>34</v>
      </c>
      <c r="AC15" s="0" t="s">
        <v>310</v>
      </c>
      <c r="AD15" s="0">
        <f>IF($AC15="","NEW","Live")</f>
      </c>
      <c r="AE15" s="8" t="s">
        <v>34</v>
      </c>
    </row>
    <row r="16">
      <c r="A16" s="0" t="s">
        <v>311</v>
      </c>
      <c r="B16" s="0">
        <v>2</v>
      </c>
      <c r="C16" s="0" t="s">
        <v>62</v>
      </c>
      <c r="D16" s="0" t="s">
        <v>312</v>
      </c>
      <c r="E16" s="0" t="s">
        <v>34</v>
      </c>
      <c r="F16" s="0" t="s">
        <v>34</v>
      </c>
      <c r="G16" s="8" t="s">
        <v>313</v>
      </c>
      <c r="H16" s="0" t="s">
        <v>101</v>
      </c>
      <c r="I16" s="0">
        <v>1</v>
      </c>
      <c r="J16" s="0">
        <v>3</v>
      </c>
      <c r="K16" s="0" t="s">
        <v>311</v>
      </c>
      <c r="L16" s="0" t="s">
        <v>257</v>
      </c>
      <c r="M16" s="0" t="s">
        <v>199</v>
      </c>
      <c r="N16" s="0" t="s">
        <v>34</v>
      </c>
      <c r="O16" s="0" t="s">
        <v>102</v>
      </c>
      <c r="P16" s="0" t="s">
        <v>41</v>
      </c>
      <c r="Q16" s="0" t="s">
        <v>34</v>
      </c>
      <c r="R16" s="0" t="s">
        <v>34</v>
      </c>
      <c r="S16" s="0" t="s">
        <v>34</v>
      </c>
      <c r="T16" s="0" t="s">
        <v>34</v>
      </c>
      <c r="U16" s="0" t="s">
        <v>34</v>
      </c>
      <c r="V16" s="0" t="s">
        <v>34</v>
      </c>
      <c r="W16" s="0" t="s">
        <v>34</v>
      </c>
      <c r="X16" s="0" t="s">
        <v>34</v>
      </c>
      <c r="Y16" s="0" t="s">
        <v>34</v>
      </c>
      <c r="Z16" s="0" t="s">
        <v>43</v>
      </c>
      <c r="AA16" s="0" t="s">
        <v>43</v>
      </c>
      <c r="AB16" s="0" t="s">
        <v>34</v>
      </c>
      <c r="AC16" s="0" t="s">
        <v>314</v>
      </c>
      <c r="AD16" s="0">
        <f>IF($AC16="","NEW","Live")</f>
      </c>
      <c r="AE16" s="8" t="s">
        <v>34</v>
      </c>
    </row>
    <row r="17">
      <c r="A17" s="0" t="s">
        <v>315</v>
      </c>
      <c r="B17" s="0">
        <v>2</v>
      </c>
      <c r="C17" s="0" t="s">
        <v>32</v>
      </c>
      <c r="D17" s="0" t="s">
        <v>316</v>
      </c>
      <c r="E17" s="0" t="s">
        <v>34</v>
      </c>
      <c r="F17" s="0" t="s">
        <v>34</v>
      </c>
      <c r="G17" s="8" t="s">
        <v>317</v>
      </c>
      <c r="H17" s="0" t="s">
        <v>101</v>
      </c>
      <c r="I17" s="0">
        <v>1</v>
      </c>
      <c r="J17" s="0">
        <v>3</v>
      </c>
      <c r="K17" s="0" t="s">
        <v>315</v>
      </c>
      <c r="L17" s="0" t="s">
        <v>257</v>
      </c>
      <c r="M17" s="0" t="s">
        <v>199</v>
      </c>
      <c r="N17" s="0" t="s">
        <v>34</v>
      </c>
      <c r="O17" s="0" t="s">
        <v>102</v>
      </c>
      <c r="P17" s="0" t="s">
        <v>41</v>
      </c>
      <c r="Q17" s="0" t="s">
        <v>34</v>
      </c>
      <c r="R17" s="0" t="s">
        <v>34</v>
      </c>
      <c r="S17" s="0" t="s">
        <v>34</v>
      </c>
      <c r="T17" s="0" t="s">
        <v>34</v>
      </c>
      <c r="U17" s="0" t="s">
        <v>34</v>
      </c>
      <c r="V17" s="0" t="s">
        <v>34</v>
      </c>
      <c r="W17" s="0" t="s">
        <v>34</v>
      </c>
      <c r="X17" s="0" t="s">
        <v>34</v>
      </c>
      <c r="Y17" s="0" t="s">
        <v>34</v>
      </c>
      <c r="Z17" s="0" t="s">
        <v>43</v>
      </c>
      <c r="AA17" s="0" t="s">
        <v>43</v>
      </c>
      <c r="AB17" s="0" t="s">
        <v>34</v>
      </c>
      <c r="AC17" s="0" t="s">
        <v>318</v>
      </c>
      <c r="AD17" s="0">
        <f>IF($AC17="","NEW","Live")</f>
      </c>
      <c r="AE17" s="8" t="s">
        <v>34</v>
      </c>
    </row>
    <row r="18">
      <c r="A18" s="0" t="s">
        <v>319</v>
      </c>
      <c r="B18" s="0">
        <v>2</v>
      </c>
      <c r="C18" s="0" t="s">
        <v>32</v>
      </c>
      <c r="D18" s="0" t="s">
        <v>320</v>
      </c>
      <c r="E18" s="0" t="s">
        <v>34</v>
      </c>
      <c r="F18" s="0" t="s">
        <v>34</v>
      </c>
      <c r="G18" s="8" t="s">
        <v>321</v>
      </c>
      <c r="H18" s="0" t="s">
        <v>101</v>
      </c>
      <c r="I18" s="0">
        <v>1</v>
      </c>
      <c r="J18" s="0">
        <v>3</v>
      </c>
      <c r="K18" s="0" t="s">
        <v>319</v>
      </c>
      <c r="L18" s="0" t="s">
        <v>257</v>
      </c>
      <c r="M18" s="0" t="s">
        <v>199</v>
      </c>
      <c r="N18" s="0" t="s">
        <v>34</v>
      </c>
      <c r="O18" s="0" t="s">
        <v>102</v>
      </c>
      <c r="P18" s="0" t="s">
        <v>41</v>
      </c>
      <c r="Q18" s="0" t="s">
        <v>34</v>
      </c>
      <c r="R18" s="0" t="s">
        <v>34</v>
      </c>
      <c r="S18" s="0" t="s">
        <v>34</v>
      </c>
      <c r="T18" s="0" t="s">
        <v>34</v>
      </c>
      <c r="U18" s="0" t="s">
        <v>34</v>
      </c>
      <c r="V18" s="0" t="s">
        <v>34</v>
      </c>
      <c r="W18" s="0" t="s">
        <v>34</v>
      </c>
      <c r="X18" s="0" t="s">
        <v>34</v>
      </c>
      <c r="Y18" s="0" t="s">
        <v>34</v>
      </c>
      <c r="Z18" s="0" t="s">
        <v>43</v>
      </c>
      <c r="AA18" s="0" t="s">
        <v>43</v>
      </c>
      <c r="AB18" s="0" t="s">
        <v>34</v>
      </c>
      <c r="AC18" s="0" t="s">
        <v>322</v>
      </c>
      <c r="AD18" s="0">
        <f>IF($AC18="","NEW","Live")</f>
      </c>
      <c r="AE18" s="8" t="s">
        <v>34</v>
      </c>
    </row>
    <row r="19">
      <c r="A19" s="0" t="s">
        <v>323</v>
      </c>
      <c r="B19" s="0">
        <v>2</v>
      </c>
      <c r="C19" s="0" t="s">
        <v>62</v>
      </c>
      <c r="D19" s="0" t="s">
        <v>324</v>
      </c>
      <c r="E19" s="0" t="s">
        <v>34</v>
      </c>
      <c r="F19" s="0" t="s">
        <v>34</v>
      </c>
      <c r="G19" s="8" t="s">
        <v>325</v>
      </c>
      <c r="H19" s="0" t="s">
        <v>101</v>
      </c>
      <c r="I19" s="0">
        <v>1</v>
      </c>
      <c r="J19" s="0">
        <v>3</v>
      </c>
      <c r="K19" s="0" t="s">
        <v>323</v>
      </c>
      <c r="L19" s="0" t="s">
        <v>257</v>
      </c>
      <c r="M19" s="0" t="s">
        <v>199</v>
      </c>
      <c r="N19" s="0" t="s">
        <v>34</v>
      </c>
      <c r="O19" s="0" t="s">
        <v>102</v>
      </c>
      <c r="P19" s="0" t="s">
        <v>41</v>
      </c>
      <c r="Q19" s="0" t="s">
        <v>34</v>
      </c>
      <c r="R19" s="0" t="s">
        <v>34</v>
      </c>
      <c r="S19" s="0" t="s">
        <v>34</v>
      </c>
      <c r="T19" s="0" t="s">
        <v>34</v>
      </c>
      <c r="U19" s="0" t="s">
        <v>34</v>
      </c>
      <c r="V19" s="0" t="s">
        <v>34</v>
      </c>
      <c r="W19" s="0" t="s">
        <v>34</v>
      </c>
      <c r="X19" s="0" t="s">
        <v>34</v>
      </c>
      <c r="Y19" s="0" t="s">
        <v>34</v>
      </c>
      <c r="Z19" s="0" t="s">
        <v>43</v>
      </c>
      <c r="AA19" s="0" t="s">
        <v>43</v>
      </c>
      <c r="AB19" s="0" t="s">
        <v>34</v>
      </c>
      <c r="AC19" s="0" t="s">
        <v>326</v>
      </c>
      <c r="AD19" s="0">
        <f>IF($AC19="","NEW","Live")</f>
      </c>
      <c r="AE19" s="8" t="s">
        <v>34</v>
      </c>
    </row>
    <row r="20">
      <c r="A20" s="0" t="s">
        <v>327</v>
      </c>
      <c r="B20" s="0">
        <v>2</v>
      </c>
      <c r="C20" s="0" t="s">
        <v>32</v>
      </c>
      <c r="D20" s="0" t="s">
        <v>328</v>
      </c>
      <c r="E20" s="0" t="s">
        <v>34</v>
      </c>
      <c r="F20" s="0" t="s">
        <v>34</v>
      </c>
      <c r="G20" s="8" t="s">
        <v>329</v>
      </c>
      <c r="H20" s="0" t="s">
        <v>101</v>
      </c>
      <c r="I20" s="0">
        <v>1</v>
      </c>
      <c r="J20" s="0">
        <v>3</v>
      </c>
      <c r="K20" s="0" t="s">
        <v>327</v>
      </c>
      <c r="L20" s="0" t="s">
        <v>257</v>
      </c>
      <c r="M20" s="0" t="s">
        <v>199</v>
      </c>
      <c r="N20" s="0" t="s">
        <v>34</v>
      </c>
      <c r="O20" s="0" t="s">
        <v>102</v>
      </c>
      <c r="P20" s="0" t="s">
        <v>41</v>
      </c>
      <c r="Q20" s="0" t="s">
        <v>34</v>
      </c>
      <c r="R20" s="0" t="s">
        <v>34</v>
      </c>
      <c r="S20" s="0" t="s">
        <v>34</v>
      </c>
      <c r="T20" s="0" t="s">
        <v>34</v>
      </c>
      <c r="U20" s="0" t="s">
        <v>34</v>
      </c>
      <c r="V20" s="0" t="s">
        <v>34</v>
      </c>
      <c r="W20" s="0" t="s">
        <v>34</v>
      </c>
      <c r="X20" s="0" t="s">
        <v>34</v>
      </c>
      <c r="Y20" s="0" t="s">
        <v>34</v>
      </c>
      <c r="Z20" s="0" t="s">
        <v>43</v>
      </c>
      <c r="AA20" s="0" t="s">
        <v>43</v>
      </c>
      <c r="AB20" s="0" t="s">
        <v>34</v>
      </c>
      <c r="AC20" s="0" t="s">
        <v>330</v>
      </c>
      <c r="AD20" s="0">
        <f>IF($AC20="","NEW","Live")</f>
      </c>
      <c r="AE20" s="8" t="s">
        <v>34</v>
      </c>
    </row>
    <row r="21">
      <c r="A21" s="0" t="s">
        <v>331</v>
      </c>
      <c r="B21" s="0">
        <v>2</v>
      </c>
      <c r="C21" s="0" t="s">
        <v>32</v>
      </c>
      <c r="D21" s="0" t="s">
        <v>332</v>
      </c>
      <c r="E21" s="0" t="s">
        <v>34</v>
      </c>
      <c r="F21" s="0" t="s">
        <v>34</v>
      </c>
      <c r="G21" s="8" t="s">
        <v>333</v>
      </c>
      <c r="H21" s="0" t="s">
        <v>101</v>
      </c>
      <c r="I21" s="0">
        <v>1</v>
      </c>
      <c r="J21" s="0">
        <v>3</v>
      </c>
      <c r="K21" s="0" t="s">
        <v>331</v>
      </c>
      <c r="L21" s="0" t="s">
        <v>257</v>
      </c>
      <c r="M21" s="0" t="s">
        <v>199</v>
      </c>
      <c r="N21" s="0" t="s">
        <v>34</v>
      </c>
      <c r="O21" s="0" t="s">
        <v>102</v>
      </c>
      <c r="P21" s="0" t="s">
        <v>41</v>
      </c>
      <c r="Q21" s="0" t="s">
        <v>34</v>
      </c>
      <c r="R21" s="0" t="s">
        <v>34</v>
      </c>
      <c r="S21" s="0" t="s">
        <v>34</v>
      </c>
      <c r="T21" s="0" t="s">
        <v>34</v>
      </c>
      <c r="U21" s="0" t="s">
        <v>34</v>
      </c>
      <c r="V21" s="0" t="s">
        <v>34</v>
      </c>
      <c r="W21" s="0" t="s">
        <v>34</v>
      </c>
      <c r="X21" s="0" t="s">
        <v>34</v>
      </c>
      <c r="Y21" s="0" t="s">
        <v>34</v>
      </c>
      <c r="Z21" s="0" t="s">
        <v>43</v>
      </c>
      <c r="AA21" s="0" t="s">
        <v>43</v>
      </c>
      <c r="AB21" s="0" t="s">
        <v>34</v>
      </c>
      <c r="AC21" s="0" t="s">
        <v>334</v>
      </c>
      <c r="AD21" s="0">
        <f>IF($AC21="","NEW","Live")</f>
      </c>
      <c r="AE21" s="8" t="s">
        <v>34</v>
      </c>
    </row>
    <row r="22">
      <c r="A22" s="0" t="s">
        <v>335</v>
      </c>
      <c r="B22" s="0">
        <v>2</v>
      </c>
      <c r="C22" s="0" t="s">
        <v>32</v>
      </c>
      <c r="D22" s="0" t="s">
        <v>336</v>
      </c>
      <c r="E22" s="0" t="s">
        <v>34</v>
      </c>
      <c r="F22" s="0" t="s">
        <v>34</v>
      </c>
      <c r="G22" s="8" t="s">
        <v>337</v>
      </c>
      <c r="H22" s="0" t="s">
        <v>101</v>
      </c>
      <c r="I22" s="0">
        <v>1</v>
      </c>
      <c r="J22" s="0">
        <v>3</v>
      </c>
      <c r="K22" s="0" t="s">
        <v>335</v>
      </c>
      <c r="L22" s="0" t="s">
        <v>257</v>
      </c>
      <c r="M22" s="0" t="s">
        <v>199</v>
      </c>
      <c r="N22" s="0" t="s">
        <v>34</v>
      </c>
      <c r="O22" s="0" t="s">
        <v>102</v>
      </c>
      <c r="P22" s="0" t="s">
        <v>41</v>
      </c>
      <c r="Q22" s="0" t="s">
        <v>34</v>
      </c>
      <c r="R22" s="0" t="s">
        <v>34</v>
      </c>
      <c r="S22" s="0" t="s">
        <v>34</v>
      </c>
      <c r="T22" s="0" t="s">
        <v>34</v>
      </c>
      <c r="U22" s="0" t="s">
        <v>34</v>
      </c>
      <c r="V22" s="0" t="s">
        <v>34</v>
      </c>
      <c r="W22" s="0" t="s">
        <v>34</v>
      </c>
      <c r="X22" s="0" t="s">
        <v>34</v>
      </c>
      <c r="Y22" s="0" t="s">
        <v>34</v>
      </c>
      <c r="Z22" s="0" t="s">
        <v>43</v>
      </c>
      <c r="AA22" s="0" t="s">
        <v>43</v>
      </c>
      <c r="AB22" s="0" t="s">
        <v>34</v>
      </c>
      <c r="AC22" s="0" t="s">
        <v>338</v>
      </c>
      <c r="AD22" s="0">
        <f>IF($AC22="","NEW","Live")</f>
      </c>
      <c r="AE22" s="8" t="s">
        <v>34</v>
      </c>
    </row>
    <row r="23">
      <c r="A23" s="0" t="s">
        <v>339</v>
      </c>
      <c r="B23" s="0">
        <v>2</v>
      </c>
      <c r="C23" s="0" t="s">
        <v>32</v>
      </c>
      <c r="D23" s="0" t="s">
        <v>340</v>
      </c>
      <c r="E23" s="0" t="s">
        <v>34</v>
      </c>
      <c r="F23" s="0" t="s">
        <v>34</v>
      </c>
      <c r="G23" s="8" t="s">
        <v>341</v>
      </c>
      <c r="H23" s="0" t="s">
        <v>101</v>
      </c>
      <c r="I23" s="0">
        <v>1</v>
      </c>
      <c r="J23" s="0">
        <v>3</v>
      </c>
      <c r="K23" s="0" t="s">
        <v>339</v>
      </c>
      <c r="L23" s="0" t="s">
        <v>257</v>
      </c>
      <c r="M23" s="0" t="s">
        <v>199</v>
      </c>
      <c r="N23" s="0" t="s">
        <v>34</v>
      </c>
      <c r="O23" s="0" t="s">
        <v>102</v>
      </c>
      <c r="P23" s="0" t="s">
        <v>41</v>
      </c>
      <c r="Q23" s="0" t="s">
        <v>34</v>
      </c>
      <c r="R23" s="0" t="s">
        <v>34</v>
      </c>
      <c r="S23" s="0" t="s">
        <v>34</v>
      </c>
      <c r="T23" s="0" t="s">
        <v>34</v>
      </c>
      <c r="U23" s="0" t="s">
        <v>34</v>
      </c>
      <c r="V23" s="0" t="s">
        <v>34</v>
      </c>
      <c r="W23" s="0" t="s">
        <v>34</v>
      </c>
      <c r="X23" s="0" t="s">
        <v>34</v>
      </c>
      <c r="Y23" s="0" t="s">
        <v>34</v>
      </c>
      <c r="Z23" s="0" t="s">
        <v>43</v>
      </c>
      <c r="AA23" s="0" t="s">
        <v>43</v>
      </c>
      <c r="AB23" s="0" t="s">
        <v>34</v>
      </c>
      <c r="AC23" s="0" t="s">
        <v>342</v>
      </c>
      <c r="AD23" s="0">
        <f>IF($AC23="","NEW","Live")</f>
      </c>
      <c r="AE23" s="8" t="s">
        <v>34</v>
      </c>
    </row>
    <row r="24">
      <c r="A24" s="0" t="s">
        <v>343</v>
      </c>
      <c r="B24" s="0">
        <v>2</v>
      </c>
      <c r="C24" s="0" t="s">
        <v>32</v>
      </c>
      <c r="D24" s="0" t="s">
        <v>344</v>
      </c>
      <c r="E24" s="0" t="s">
        <v>34</v>
      </c>
      <c r="F24" s="0" t="s">
        <v>34</v>
      </c>
      <c r="G24" s="8" t="s">
        <v>345</v>
      </c>
      <c r="H24" s="0" t="s">
        <v>101</v>
      </c>
      <c r="I24" s="0">
        <v>1</v>
      </c>
      <c r="J24" s="0">
        <v>3</v>
      </c>
      <c r="K24" s="0" t="s">
        <v>344</v>
      </c>
      <c r="L24" s="0" t="s">
        <v>257</v>
      </c>
      <c r="M24" s="0" t="s">
        <v>199</v>
      </c>
      <c r="N24" s="0" t="s">
        <v>34</v>
      </c>
      <c r="O24" s="0" t="s">
        <v>102</v>
      </c>
      <c r="P24" s="0" t="s">
        <v>41</v>
      </c>
      <c r="Q24" s="0" t="s">
        <v>34</v>
      </c>
      <c r="R24" s="0" t="s">
        <v>34</v>
      </c>
      <c r="S24" s="0" t="s">
        <v>34</v>
      </c>
      <c r="T24" s="0" t="s">
        <v>34</v>
      </c>
      <c r="U24" s="0" t="s">
        <v>34</v>
      </c>
      <c r="V24" s="0" t="s">
        <v>34</v>
      </c>
      <c r="W24" s="0" t="s">
        <v>34</v>
      </c>
      <c r="X24" s="0" t="s">
        <v>34</v>
      </c>
      <c r="Y24" s="0" t="s">
        <v>34</v>
      </c>
      <c r="Z24" s="0" t="s">
        <v>43</v>
      </c>
      <c r="AA24" s="0" t="s">
        <v>43</v>
      </c>
      <c r="AB24" s="0" t="s">
        <v>34</v>
      </c>
      <c r="AC24" s="0" t="s">
        <v>346</v>
      </c>
      <c r="AD24" s="0">
        <f>IF($AC24="","NEW","Live")</f>
      </c>
      <c r="AE24" s="8" t="s">
        <v>34</v>
      </c>
    </row>
    <row r="25">
      <c r="A25" s="0" t="s">
        <v>347</v>
      </c>
      <c r="B25" s="0">
        <v>2</v>
      </c>
      <c r="C25" s="0" t="s">
        <v>62</v>
      </c>
      <c r="D25" s="0" t="s">
        <v>347</v>
      </c>
      <c r="E25" s="0" t="s">
        <v>34</v>
      </c>
      <c r="F25" s="0" t="s">
        <v>34</v>
      </c>
      <c r="G25" s="8" t="s">
        <v>348</v>
      </c>
      <c r="H25" s="0" t="s">
        <v>101</v>
      </c>
      <c r="I25" s="0">
        <v>1</v>
      </c>
      <c r="J25" s="0">
        <v>3</v>
      </c>
      <c r="K25" s="0" t="s">
        <v>349</v>
      </c>
      <c r="L25" s="0" t="s">
        <v>257</v>
      </c>
      <c r="M25" s="0" t="s">
        <v>199</v>
      </c>
      <c r="N25" s="0" t="s">
        <v>350</v>
      </c>
      <c r="O25" s="0" t="s">
        <v>102</v>
      </c>
      <c r="P25" s="2" t="s">
        <v>144</v>
      </c>
      <c r="Q25" s="0" t="s">
        <v>34</v>
      </c>
      <c r="R25" s="0" t="s">
        <v>34</v>
      </c>
      <c r="S25" s="0" t="s">
        <v>34</v>
      </c>
      <c r="T25" s="0" t="s">
        <v>34</v>
      </c>
      <c r="U25" s="0" t="s">
        <v>34</v>
      </c>
      <c r="V25" s="0" t="s">
        <v>34</v>
      </c>
      <c r="W25" s="0" t="s">
        <v>34</v>
      </c>
      <c r="X25" s="0" t="s">
        <v>34</v>
      </c>
      <c r="Y25" s="0" t="s">
        <v>34</v>
      </c>
      <c r="Z25" s="0" t="s">
        <v>43</v>
      </c>
      <c r="AA25" s="0" t="s">
        <v>42</v>
      </c>
      <c r="AB25" s="0" t="s">
        <v>34</v>
      </c>
      <c r="AC25" s="0" t="s">
        <v>351</v>
      </c>
      <c r="AD25" s="0">
        <f>IF($AC25="","NEW","Live")</f>
      </c>
      <c r="AE25" s="8" t="s">
        <v>34</v>
      </c>
    </row>
    <row r="26">
      <c r="A26" s="0" t="s">
        <v>352</v>
      </c>
      <c r="B26" s="0">
        <v>2</v>
      </c>
      <c r="C26" s="0" t="s">
        <v>62</v>
      </c>
      <c r="D26" s="0" t="s">
        <v>353</v>
      </c>
      <c r="E26" s="0" t="s">
        <v>352</v>
      </c>
      <c r="F26" s="0" t="s">
        <v>34</v>
      </c>
      <c r="G26" s="8" t="s">
        <v>354</v>
      </c>
      <c r="H26" s="0" t="s">
        <v>101</v>
      </c>
      <c r="I26" s="0">
        <v>1</v>
      </c>
      <c r="J26" s="0">
        <v>3</v>
      </c>
      <c r="K26" s="0" t="s">
        <v>355</v>
      </c>
      <c r="L26" s="0" t="s">
        <v>257</v>
      </c>
      <c r="M26" s="0" t="s">
        <v>199</v>
      </c>
      <c r="N26" s="0" t="s">
        <v>39</v>
      </c>
      <c r="O26" s="0" t="s">
        <v>102</v>
      </c>
      <c r="P26" s="2" t="s">
        <v>144</v>
      </c>
      <c r="Q26" s="0" t="s">
        <v>34</v>
      </c>
      <c r="R26" s="0" t="s">
        <v>102</v>
      </c>
      <c r="S26" s="2" t="s">
        <v>144</v>
      </c>
      <c r="T26" s="0" t="s">
        <v>34</v>
      </c>
      <c r="U26" s="0" t="s">
        <v>34</v>
      </c>
      <c r="V26" s="0" t="s">
        <v>34</v>
      </c>
      <c r="W26" s="0" t="s">
        <v>34</v>
      </c>
      <c r="X26" s="0" t="s">
        <v>34</v>
      </c>
      <c r="Y26" s="0" t="s">
        <v>34</v>
      </c>
      <c r="Z26" s="0" t="s">
        <v>43</v>
      </c>
      <c r="AA26" s="0" t="s">
        <v>42</v>
      </c>
      <c r="AB26" s="0" t="s">
        <v>34</v>
      </c>
      <c r="AC26" s="0" t="s">
        <v>356</v>
      </c>
      <c r="AD26" s="0">
        <f>IF($AC26="","NEW","Live")</f>
      </c>
      <c r="AE26" s="8" t="s">
        <v>34</v>
      </c>
    </row>
    <row r="27">
      <c r="A27" s="0" t="s">
        <v>357</v>
      </c>
      <c r="B27" s="0">
        <v>0</v>
      </c>
      <c r="C27" s="0" t="s">
        <v>32</v>
      </c>
      <c r="D27" s="0" t="s">
        <v>47</v>
      </c>
      <c r="E27" s="0" t="s">
        <v>358</v>
      </c>
      <c r="F27" s="0" t="s">
        <v>34</v>
      </c>
      <c r="G27" s="8" t="s">
        <v>359</v>
      </c>
      <c r="H27" s="0" t="s">
        <v>36</v>
      </c>
      <c r="I27" s="0">
        <v>0</v>
      </c>
      <c r="J27" s="0">
        <v>0</v>
      </c>
      <c r="K27" s="0" t="s">
        <v>357</v>
      </c>
      <c r="L27" s="0" t="s">
        <v>257</v>
      </c>
      <c r="M27" s="0" t="s">
        <v>249</v>
      </c>
      <c r="N27" s="0" t="s">
        <v>34</v>
      </c>
      <c r="O27" s="0" t="s">
        <v>40</v>
      </c>
      <c r="P27" s="0" t="s">
        <v>41</v>
      </c>
      <c r="Q27" s="0" t="s">
        <v>34</v>
      </c>
      <c r="R27" s="0" t="s">
        <v>40</v>
      </c>
      <c r="S27" s="0" t="s">
        <v>41</v>
      </c>
      <c r="T27" s="0" t="s">
        <v>34</v>
      </c>
      <c r="U27" s="0" t="s">
        <v>34</v>
      </c>
      <c r="V27" s="0" t="s">
        <v>34</v>
      </c>
      <c r="W27" s="0" t="s">
        <v>34</v>
      </c>
      <c r="X27" s="0" t="s">
        <v>34</v>
      </c>
      <c r="Y27" s="0" t="s">
        <v>34</v>
      </c>
      <c r="Z27" s="0" t="s">
        <v>43</v>
      </c>
      <c r="AA27" s="0" t="s">
        <v>43</v>
      </c>
      <c r="AB27" s="0" t="s">
        <v>34</v>
      </c>
      <c r="AC27" s="0" t="s">
        <v>360</v>
      </c>
      <c r="AD27" s="0">
        <f>IF($AC27="","NEW","Live")</f>
      </c>
      <c r="AE27" s="8" t="s">
        <v>34</v>
      </c>
    </row>
  </sheetData>
  <autoFilter ref="A1:AE27"/>
  <conditionalFormatting sqref="AD2:AD27">
    <cfRule priority="1" type="cellIs" operator="equal" dxfId="0">
      <formula>"NEW"</formula>
    </cfRule>
  </conditionalFormatting>
  <dataValidations count="16">
    <dataValidation type="list" sqref="L2:L227" showErrorMessage="0" allowBlank="1">
      <formula1>=list_Class</formula1>
    </dataValidation>
    <dataValidation type="list" sqref="M2:M227" showErrorMessage="0" allowBlank="1">
      <formula1>=list_Folder</formula1>
    </dataValidation>
    <dataValidation type="list" sqref="C2:C227" showErrorMessage="0" allowBlank="1">
      <formula1>=list_Rarity</formula1>
    </dataValidation>
    <dataValidation type="list" sqref="H2:H227" showErrorMessage="0" allowBlank="1">
      <formula1>=list_Shape</formula1>
    </dataValidation>
    <dataValidation type="list" sqref="O2:O227" showErrorMessage="0" allowBlank="1">
      <formula1>=list_Aim</formula1>
    </dataValidation>
    <dataValidation type="list" sqref="R2:R227" showErrorMessage="0" allowBlank="1">
      <formula1>=list_Aim</formula1>
    </dataValidation>
    <dataValidation type="list" sqref="U2:U227" showErrorMessage="0" allowBlank="1">
      <formula1>=list_Aim</formula1>
    </dataValidation>
    <dataValidation type="list" sqref="D2:D227" showErrorMessage="0" allowBlank="1">
      <formula1>=list_Effect</formula1>
    </dataValidation>
    <dataValidation type="list" sqref="E2:E227" showErrorMessage="0" allowBlank="1">
      <formula1>=list_Effect</formula1>
    </dataValidation>
    <dataValidation type="list" sqref="F2:F227" showErrorMessage="0" allowBlank="1">
      <formula1>=list_Effect</formula1>
    </dataValidation>
    <dataValidation type="list" sqref="Q2:Q227" showErrorMessage="0" allowBlank="1">
      <formula1>=list_Condition</formula1>
    </dataValidation>
    <dataValidation type="list" sqref="T2:T227" showErrorMessage="0" allowBlank="1">
      <formula1>=list_Condition</formula1>
    </dataValidation>
    <dataValidation type="list" sqref="W2:W227" showErrorMessage="0" allowBlank="1">
      <formula1>=list_Condition</formula1>
    </dataValidation>
    <dataValidation type="list" sqref="X2:X227" showErrorMessage="0" allowBlank="1">
      <formula1>=list_CostCond</formula1>
    </dataValidation>
    <dataValidation type="list" sqref="Z2:Z227" showErrorMessage="0" allowBlank="1">
      <formula1>=list_Bool</formula1>
    </dataValidation>
    <dataValidation type="list" sqref="AA2:AA227" showErrorMessage="0" allowBlank="1">
      <formula1>=list_Bool</formula1>
    </dataValidation>
  </dataValidations>
  <hyperlinks>
    <hyperlink ref="P10" r:id="rId41"/>
    <hyperlink ref="P12" r:id="rId42"/>
    <hyperlink ref="P25" r:id="rId43"/>
    <hyperlink ref="P26" r:id="rId44"/>
    <hyperlink ref="S26" r:id="rId45"/>
  </hyperlinks>
  <headerFooter/>
</worksheet>
</file>

<file path=xl/worksheets/sheet3.xml><?xml version="1.0" encoding="utf-8"?>
<worksheet xmlns:r="http://schemas.openxmlformats.org/officeDocument/2006/relationships" xmlns="http://schemas.openxmlformats.org/spreadsheetml/2006/main">
  <dimension ref="A1:AE21"/>
  <sheetViews>
    <sheetView workbookViewId="0" tabSelected="0">
      <pane xSplit="2" ySplit="1" topLeftCell="C2" state="frozen" activePane="bottomRight"/>
      <selection pane="topRight" activeCell="C1" sqref="C1"/>
      <selection pane="bottomLeft" activeCell="A2" sqref="A2"/>
      <selection pane="bottomRight" activeCell="A1" sqref="A1"/>
    </sheetView>
  </sheetViews>
  <sheetFormatPr defaultRowHeight="15"/>
  <cols>
    <col min="1" max="1" width="18.7751407623291" customWidth="1"/>
    <col min="2" max="2" width="9.140625" customWidth="1"/>
    <col min="3" max="3" width="11.6996202468872" customWidth="1"/>
    <col min="4" max="4" width="26.1309795379639" customWidth="1"/>
    <col min="5" max="5" width="9.140625" customWidth="1"/>
    <col min="6" max="6" width="9.140625" customWidth="1"/>
    <col min="7" max="7" width="52" customWidth="1" style="8"/>
    <col min="8" max="8" width="12.6950616836548" customWidth="1"/>
    <col min="9" max="9" width="10.8034143447876" customWidth="1"/>
    <col min="10" max="10" width="11.1430721282959" customWidth="1"/>
    <col min="11" max="11" width="18.7751407623291" customWidth="1"/>
    <col min="12" max="12" width="9.140625" customWidth="1"/>
    <col min="13" max="13" width="15.4921236038208" customWidth="1"/>
    <col min="14" max="14" width="19.3818168640137" customWidth="1"/>
    <col min="15" max="15" width="9.140625" customWidth="1"/>
    <col min="16" max="16" width="9.140625" customWidth="1"/>
    <col min="17" max="17" width="9.140625" customWidth="1"/>
    <col min="18" max="18" width="9.140625" customWidth="1"/>
    <col min="19" max="19" width="9.140625" customWidth="1"/>
    <col min="20" max="20" width="9.140625" customWidth="1"/>
    <col min="21" max="21" width="9.140625" customWidth="1"/>
    <col min="22" max="22" width="9.140625" customWidth="1"/>
    <col min="23" max="23" width="9.140625" customWidth="1"/>
    <col min="24" max="24" width="10.3123426437378" customWidth="1"/>
    <col min="25" max="25" width="9.995192527771" customWidth="1"/>
    <col min="26" max="26" width="11.1389799118042" customWidth="1"/>
    <col min="27" max="27" width="9.93790149688721" customWidth="1"/>
    <col min="28" max="28" width="10.5374174118042" customWidth="1"/>
    <col min="29" max="29" width="36.154972076416" customWidth="1"/>
    <col min="30" max="30" width="9.140625" customWidth="1"/>
    <col min="31" max="31" width="46" customWidth="1" style="8"/>
  </cols>
  <sheetData>
    <row r="1">
      <c r="A1" s="7" t="s">
        <v>0</v>
      </c>
      <c r="B1" s="7" t="s">
        <v>1</v>
      </c>
      <c r="C1" s="7" t="s">
        <v>2</v>
      </c>
      <c r="D1" s="7" t="s">
        <v>3</v>
      </c>
      <c r="E1" s="7" t="s">
        <v>4</v>
      </c>
      <c r="F1" s="7" t="s">
        <v>5</v>
      </c>
      <c r="G1" s="9"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c r="Y1" s="7" t="s">
        <v>24</v>
      </c>
      <c r="Z1" s="7" t="s">
        <v>25</v>
      </c>
      <c r="AA1" s="7" t="s">
        <v>26</v>
      </c>
      <c r="AB1" s="7" t="s">
        <v>27</v>
      </c>
      <c r="AC1" s="7" t="s">
        <v>28</v>
      </c>
      <c r="AD1" s="7" t="s">
        <v>29</v>
      </c>
      <c r="AE1" s="9" t="s">
        <v>30</v>
      </c>
    </row>
    <row r="2">
      <c r="A2" s="0" t="s">
        <v>361</v>
      </c>
      <c r="B2" s="0">
        <v>1</v>
      </c>
      <c r="C2" s="0" t="s">
        <v>32</v>
      </c>
      <c r="D2" s="0" t="s">
        <v>361</v>
      </c>
      <c r="E2" s="0" t="s">
        <v>34</v>
      </c>
      <c r="F2" s="0" t="s">
        <v>34</v>
      </c>
      <c r="G2" s="8" t="s">
        <v>362</v>
      </c>
      <c r="H2" s="0" t="s">
        <v>36</v>
      </c>
      <c r="I2" s="0">
        <v>0</v>
      </c>
      <c r="J2" s="0">
        <v>0</v>
      </c>
      <c r="K2" s="0" t="s">
        <v>361</v>
      </c>
      <c r="L2" s="0" t="s">
        <v>363</v>
      </c>
      <c r="M2" s="0" t="s">
        <v>38</v>
      </c>
      <c r="N2" s="0" t="s">
        <v>364</v>
      </c>
      <c r="O2" s="0" t="s">
        <v>102</v>
      </c>
      <c r="P2" s="0" t="s">
        <v>41</v>
      </c>
      <c r="Q2" s="0" t="s">
        <v>34</v>
      </c>
      <c r="R2" s="0" t="s">
        <v>34</v>
      </c>
      <c r="S2" s="0" t="s">
        <v>34</v>
      </c>
      <c r="T2" s="0" t="s">
        <v>34</v>
      </c>
      <c r="U2" s="0" t="s">
        <v>34</v>
      </c>
      <c r="V2" s="0" t="s">
        <v>34</v>
      </c>
      <c r="W2" s="0" t="s">
        <v>34</v>
      </c>
      <c r="X2" s="0" t="s">
        <v>34</v>
      </c>
      <c r="Y2" s="0" t="s">
        <v>34</v>
      </c>
      <c r="Z2" s="0" t="s">
        <v>43</v>
      </c>
      <c r="AA2" s="0" t="s">
        <v>43</v>
      </c>
      <c r="AB2" s="0" t="s">
        <v>34</v>
      </c>
      <c r="AC2" s="0" t="s">
        <v>365</v>
      </c>
      <c r="AD2" s="0">
        <f>IF($AC2="","NEW","Live")</f>
      </c>
      <c r="AE2" s="8" t="s">
        <v>34</v>
      </c>
    </row>
    <row r="3">
      <c r="A3" s="0" t="s">
        <v>366</v>
      </c>
      <c r="B3" s="0">
        <v>1</v>
      </c>
      <c r="C3" s="0" t="s">
        <v>32</v>
      </c>
      <c r="D3" s="0" t="s">
        <v>367</v>
      </c>
      <c r="E3" s="0" t="s">
        <v>34</v>
      </c>
      <c r="F3" s="0" t="s">
        <v>34</v>
      </c>
      <c r="G3" s="8" t="s">
        <v>368</v>
      </c>
      <c r="H3" s="0" t="s">
        <v>36</v>
      </c>
      <c r="I3" s="0">
        <v>0</v>
      </c>
      <c r="J3" s="0">
        <v>0</v>
      </c>
      <c r="K3" s="0" t="s">
        <v>366</v>
      </c>
      <c r="L3" s="0" t="s">
        <v>363</v>
      </c>
      <c r="M3" s="0" t="s">
        <v>38</v>
      </c>
      <c r="N3" s="0" t="s">
        <v>39</v>
      </c>
      <c r="O3" s="0" t="s">
        <v>40</v>
      </c>
      <c r="P3" s="0" t="s">
        <v>41</v>
      </c>
      <c r="Q3" s="0" t="s">
        <v>34</v>
      </c>
      <c r="R3" s="0" t="s">
        <v>34</v>
      </c>
      <c r="S3" s="0" t="s">
        <v>34</v>
      </c>
      <c r="T3" s="0" t="s">
        <v>34</v>
      </c>
      <c r="U3" s="0" t="s">
        <v>34</v>
      </c>
      <c r="V3" s="0" t="s">
        <v>34</v>
      </c>
      <c r="W3" s="0" t="s">
        <v>34</v>
      </c>
      <c r="X3" s="0" t="s">
        <v>34</v>
      </c>
      <c r="Y3" s="0" t="s">
        <v>34</v>
      </c>
      <c r="Z3" s="0" t="s">
        <v>43</v>
      </c>
      <c r="AA3" s="0" t="s">
        <v>43</v>
      </c>
      <c r="AB3" s="0" t="s">
        <v>34</v>
      </c>
      <c r="AC3" s="0" t="s">
        <v>369</v>
      </c>
      <c r="AD3" s="0">
        <f>IF($AC3="","NEW","Live")</f>
      </c>
      <c r="AE3" s="8" t="s">
        <v>34</v>
      </c>
    </row>
    <row r="4">
      <c r="A4" s="0" t="s">
        <v>370</v>
      </c>
      <c r="B4" s="0">
        <v>1</v>
      </c>
      <c r="C4" s="0" t="s">
        <v>62</v>
      </c>
      <c r="D4" s="0" t="s">
        <v>371</v>
      </c>
      <c r="E4" s="0" t="s">
        <v>34</v>
      </c>
      <c r="F4" s="0" t="s">
        <v>34</v>
      </c>
      <c r="G4" s="8" t="s">
        <v>372</v>
      </c>
      <c r="H4" s="0" t="s">
        <v>36</v>
      </c>
      <c r="I4" s="0">
        <v>0</v>
      </c>
      <c r="J4" s="0">
        <v>0</v>
      </c>
      <c r="K4" s="0" t="s">
        <v>370</v>
      </c>
      <c r="L4" s="0" t="s">
        <v>363</v>
      </c>
      <c r="M4" s="0" t="s">
        <v>38</v>
      </c>
      <c r="N4" s="0" t="s">
        <v>39</v>
      </c>
      <c r="O4" s="0" t="s">
        <v>40</v>
      </c>
      <c r="P4" s="0" t="s">
        <v>41</v>
      </c>
      <c r="Q4" s="0" t="s">
        <v>34</v>
      </c>
      <c r="R4" s="0" t="s">
        <v>34</v>
      </c>
      <c r="S4" s="0" t="s">
        <v>34</v>
      </c>
      <c r="T4" s="0" t="s">
        <v>34</v>
      </c>
      <c r="U4" s="0" t="s">
        <v>34</v>
      </c>
      <c r="V4" s="0" t="s">
        <v>34</v>
      </c>
      <c r="W4" s="0" t="s">
        <v>34</v>
      </c>
      <c r="X4" s="0" t="s">
        <v>34</v>
      </c>
      <c r="Y4" s="0" t="s">
        <v>34</v>
      </c>
      <c r="Z4" s="0" t="s">
        <v>43</v>
      </c>
      <c r="AA4" s="0" t="s">
        <v>43</v>
      </c>
      <c r="AB4" s="0" t="s">
        <v>34</v>
      </c>
      <c r="AC4" s="0" t="s">
        <v>373</v>
      </c>
      <c r="AD4" s="0">
        <f>IF($AC4="","NEW","Live")</f>
      </c>
      <c r="AE4" s="8" t="s">
        <v>34</v>
      </c>
    </row>
    <row r="5">
      <c r="A5" s="0" t="s">
        <v>374</v>
      </c>
      <c r="B5" s="0">
        <v>1</v>
      </c>
      <c r="C5" s="0" t="s">
        <v>81</v>
      </c>
      <c r="D5" s="0" t="s">
        <v>375</v>
      </c>
      <c r="E5" s="0" t="s">
        <v>34</v>
      </c>
      <c r="F5" s="0" t="s">
        <v>34</v>
      </c>
      <c r="G5" s="8" t="s">
        <v>376</v>
      </c>
      <c r="H5" s="0" t="s">
        <v>36</v>
      </c>
      <c r="I5" s="0">
        <v>0</v>
      </c>
      <c r="J5" s="0">
        <v>0</v>
      </c>
      <c r="K5" s="0" t="s">
        <v>374</v>
      </c>
      <c r="L5" s="0" t="s">
        <v>363</v>
      </c>
      <c r="M5" s="0" t="s">
        <v>124</v>
      </c>
      <c r="N5" s="0" t="s">
        <v>275</v>
      </c>
      <c r="O5" s="0" t="s">
        <v>40</v>
      </c>
      <c r="P5" s="0" t="s">
        <v>41</v>
      </c>
      <c r="Q5" s="0" t="s">
        <v>34</v>
      </c>
      <c r="R5" s="0" t="s">
        <v>34</v>
      </c>
      <c r="S5" s="0" t="s">
        <v>34</v>
      </c>
      <c r="T5" s="0" t="s">
        <v>34</v>
      </c>
      <c r="U5" s="0" t="s">
        <v>34</v>
      </c>
      <c r="V5" s="0" t="s">
        <v>34</v>
      </c>
      <c r="W5" s="0" t="s">
        <v>34</v>
      </c>
      <c r="X5" s="0" t="s">
        <v>34</v>
      </c>
      <c r="Y5" s="0" t="s">
        <v>34</v>
      </c>
      <c r="Z5" s="0" t="s">
        <v>42</v>
      </c>
      <c r="AA5" s="0" t="s">
        <v>43</v>
      </c>
      <c r="AB5" s="0" t="s">
        <v>34</v>
      </c>
      <c r="AC5" s="0" t="s">
        <v>377</v>
      </c>
      <c r="AD5" s="0">
        <f>IF($AC5="","NEW","Live")</f>
      </c>
      <c r="AE5" s="8" t="s">
        <v>34</v>
      </c>
    </row>
    <row r="6">
      <c r="A6" s="0" t="s">
        <v>378</v>
      </c>
      <c r="B6" s="0">
        <v>1</v>
      </c>
      <c r="C6" s="0" t="s">
        <v>32</v>
      </c>
      <c r="D6" s="0" t="s">
        <v>379</v>
      </c>
      <c r="E6" s="0" t="s">
        <v>34</v>
      </c>
      <c r="F6" s="0" t="s">
        <v>34</v>
      </c>
      <c r="G6" s="8" t="s">
        <v>380</v>
      </c>
      <c r="H6" s="0" t="s">
        <v>36</v>
      </c>
      <c r="I6" s="0">
        <v>0</v>
      </c>
      <c r="J6" s="0">
        <v>0</v>
      </c>
      <c r="K6" s="0" t="s">
        <v>378</v>
      </c>
      <c r="L6" s="0" t="s">
        <v>363</v>
      </c>
      <c r="M6" s="0" t="s">
        <v>124</v>
      </c>
      <c r="N6" s="0" t="s">
        <v>381</v>
      </c>
      <c r="O6" s="0" t="s">
        <v>40</v>
      </c>
      <c r="P6" s="0" t="s">
        <v>41</v>
      </c>
      <c r="Q6" s="0" t="s">
        <v>34</v>
      </c>
      <c r="R6" s="0" t="s">
        <v>34</v>
      </c>
      <c r="S6" s="0" t="s">
        <v>34</v>
      </c>
      <c r="T6" s="0" t="s">
        <v>34</v>
      </c>
      <c r="U6" s="0" t="s">
        <v>34</v>
      </c>
      <c r="V6" s="0" t="s">
        <v>34</v>
      </c>
      <c r="W6" s="0" t="s">
        <v>34</v>
      </c>
      <c r="X6" s="0" t="s">
        <v>34</v>
      </c>
      <c r="Y6" s="0" t="s">
        <v>34</v>
      </c>
      <c r="Z6" s="0" t="s">
        <v>43</v>
      </c>
      <c r="AA6" s="0" t="s">
        <v>43</v>
      </c>
      <c r="AB6" s="0" t="s">
        <v>34</v>
      </c>
      <c r="AC6" s="0" t="s">
        <v>382</v>
      </c>
      <c r="AD6" s="0">
        <f>IF($AC6="","NEW","Live")</f>
      </c>
      <c r="AE6" s="8" t="s">
        <v>34</v>
      </c>
    </row>
    <row r="7">
      <c r="A7" s="0" t="s">
        <v>383</v>
      </c>
      <c r="B7" s="0">
        <v>1</v>
      </c>
      <c r="C7" s="0" t="s">
        <v>32</v>
      </c>
      <c r="D7" s="0" t="s">
        <v>384</v>
      </c>
      <c r="E7" s="0" t="s">
        <v>34</v>
      </c>
      <c r="F7" s="0" t="s">
        <v>34</v>
      </c>
      <c r="G7" s="8" t="s">
        <v>385</v>
      </c>
      <c r="H7" s="0" t="s">
        <v>101</v>
      </c>
      <c r="I7" s="0">
        <v>1</v>
      </c>
      <c r="J7" s="0">
        <v>4</v>
      </c>
      <c r="K7" s="0" t="s">
        <v>383</v>
      </c>
      <c r="L7" s="0" t="s">
        <v>363</v>
      </c>
      <c r="M7" s="0" t="s">
        <v>258</v>
      </c>
      <c r="N7" s="0" t="s">
        <v>34</v>
      </c>
      <c r="O7" s="0" t="s">
        <v>102</v>
      </c>
      <c r="P7" s="0" t="s">
        <v>41</v>
      </c>
      <c r="Q7" s="0" t="s">
        <v>34</v>
      </c>
      <c r="R7" s="0" t="s">
        <v>34</v>
      </c>
      <c r="S7" s="0" t="s">
        <v>34</v>
      </c>
      <c r="T7" s="0" t="s">
        <v>34</v>
      </c>
      <c r="U7" s="0" t="s">
        <v>34</v>
      </c>
      <c r="V7" s="0" t="s">
        <v>34</v>
      </c>
      <c r="W7" s="0" t="s">
        <v>34</v>
      </c>
      <c r="X7" s="0" t="s">
        <v>34</v>
      </c>
      <c r="Y7" s="0" t="s">
        <v>34</v>
      </c>
      <c r="Z7" s="0" t="s">
        <v>43</v>
      </c>
      <c r="AA7" s="0" t="s">
        <v>43</v>
      </c>
      <c r="AB7" s="0" t="s">
        <v>34</v>
      </c>
      <c r="AC7" s="0" t="s">
        <v>386</v>
      </c>
      <c r="AD7" s="0">
        <f>IF($AC7="","NEW","Live")</f>
      </c>
      <c r="AE7" s="8" t="s">
        <v>34</v>
      </c>
    </row>
    <row r="8">
      <c r="A8" s="0" t="s">
        <v>387</v>
      </c>
      <c r="B8" s="0">
        <v>0</v>
      </c>
      <c r="C8" s="0" t="s">
        <v>32</v>
      </c>
      <c r="D8" s="0" t="s">
        <v>272</v>
      </c>
      <c r="E8" s="0" t="s">
        <v>34</v>
      </c>
      <c r="F8" s="0" t="s">
        <v>34</v>
      </c>
      <c r="G8" s="8" t="s">
        <v>388</v>
      </c>
      <c r="H8" s="0" t="s">
        <v>101</v>
      </c>
      <c r="I8" s="0">
        <v>1</v>
      </c>
      <c r="J8" s="0">
        <v>1</v>
      </c>
      <c r="K8" s="0" t="s">
        <v>387</v>
      </c>
      <c r="L8" s="0" t="s">
        <v>363</v>
      </c>
      <c r="M8" s="0" t="s">
        <v>138</v>
      </c>
      <c r="N8" s="0" t="s">
        <v>139</v>
      </c>
      <c r="O8" s="0" t="s">
        <v>102</v>
      </c>
      <c r="P8" s="0" t="s">
        <v>41</v>
      </c>
      <c r="Q8" s="0" t="s">
        <v>34</v>
      </c>
      <c r="R8" s="0" t="s">
        <v>34</v>
      </c>
      <c r="S8" s="0" t="s">
        <v>34</v>
      </c>
      <c r="T8" s="0" t="s">
        <v>34</v>
      </c>
      <c r="U8" s="0" t="s">
        <v>34</v>
      </c>
      <c r="V8" s="0" t="s">
        <v>34</v>
      </c>
      <c r="W8" s="0" t="s">
        <v>34</v>
      </c>
      <c r="X8" s="0" t="s">
        <v>34</v>
      </c>
      <c r="Y8" s="0" t="s">
        <v>34</v>
      </c>
      <c r="Z8" s="0" t="s">
        <v>43</v>
      </c>
      <c r="AA8" s="0" t="s">
        <v>43</v>
      </c>
      <c r="AB8" s="0" t="s">
        <v>34</v>
      </c>
      <c r="AC8" s="0" t="s">
        <v>389</v>
      </c>
      <c r="AD8" s="0">
        <f>IF($AC8="","NEW","Live")</f>
      </c>
      <c r="AE8" s="8" t="s">
        <v>34</v>
      </c>
    </row>
    <row r="9">
      <c r="A9" s="0" t="s">
        <v>390</v>
      </c>
      <c r="B9" s="0">
        <v>1</v>
      </c>
      <c r="C9" s="0" t="s">
        <v>32</v>
      </c>
      <c r="D9" s="0" t="s">
        <v>193</v>
      </c>
      <c r="E9" s="0" t="s">
        <v>391</v>
      </c>
      <c r="F9" s="0" t="s">
        <v>34</v>
      </c>
      <c r="G9" s="8" t="s">
        <v>392</v>
      </c>
      <c r="H9" s="0" t="s">
        <v>101</v>
      </c>
      <c r="I9" s="0">
        <v>1</v>
      </c>
      <c r="J9" s="0">
        <v>1</v>
      </c>
      <c r="K9" s="0" t="s">
        <v>390</v>
      </c>
      <c r="L9" s="0" t="s">
        <v>393</v>
      </c>
      <c r="M9" s="0" t="s">
        <v>138</v>
      </c>
      <c r="N9" s="0" t="s">
        <v>139</v>
      </c>
      <c r="O9" s="0" t="s">
        <v>102</v>
      </c>
      <c r="P9" s="0" t="s">
        <v>41</v>
      </c>
      <c r="Q9" s="0" t="s">
        <v>34</v>
      </c>
      <c r="R9" s="0" t="s">
        <v>102</v>
      </c>
      <c r="S9" s="0" t="s">
        <v>41</v>
      </c>
      <c r="T9" s="0" t="s">
        <v>34</v>
      </c>
      <c r="U9" s="0" t="s">
        <v>34</v>
      </c>
      <c r="V9" s="0" t="s">
        <v>34</v>
      </c>
      <c r="W9" s="0" t="s">
        <v>34</v>
      </c>
      <c r="X9" s="0" t="s">
        <v>34</v>
      </c>
      <c r="Y9" s="0" t="s">
        <v>34</v>
      </c>
      <c r="Z9" s="0" t="s">
        <v>43</v>
      </c>
      <c r="AA9" s="0" t="s">
        <v>43</v>
      </c>
      <c r="AB9" s="0" t="s">
        <v>34</v>
      </c>
      <c r="AC9" s="0" t="s">
        <v>394</v>
      </c>
      <c r="AD9" s="0">
        <f>IF($AC9="","NEW","Live")</f>
      </c>
      <c r="AE9" s="8" t="s">
        <v>34</v>
      </c>
    </row>
    <row r="10">
      <c r="A10" s="0" t="s">
        <v>395</v>
      </c>
      <c r="B10" s="0">
        <v>1</v>
      </c>
      <c r="C10" s="0" t="s">
        <v>62</v>
      </c>
      <c r="D10" s="0" t="s">
        <v>396</v>
      </c>
      <c r="E10" s="0" t="s">
        <v>34</v>
      </c>
      <c r="F10" s="0" t="s">
        <v>34</v>
      </c>
      <c r="G10" s="8" t="s">
        <v>397</v>
      </c>
      <c r="H10" s="0" t="s">
        <v>101</v>
      </c>
      <c r="I10" s="0">
        <v>1</v>
      </c>
      <c r="J10" s="0">
        <v>3</v>
      </c>
      <c r="K10" s="0" t="s">
        <v>395</v>
      </c>
      <c r="L10" s="0" t="s">
        <v>363</v>
      </c>
      <c r="M10" s="0" t="s">
        <v>281</v>
      </c>
      <c r="N10" s="0" t="s">
        <v>281</v>
      </c>
      <c r="O10" s="0" t="s">
        <v>102</v>
      </c>
      <c r="P10" s="0" t="s">
        <v>41</v>
      </c>
      <c r="Q10" s="0" t="s">
        <v>34</v>
      </c>
      <c r="R10" s="0" t="s">
        <v>34</v>
      </c>
      <c r="S10" s="0" t="s">
        <v>34</v>
      </c>
      <c r="T10" s="0" t="s">
        <v>34</v>
      </c>
      <c r="U10" s="0" t="s">
        <v>34</v>
      </c>
      <c r="V10" s="0" t="s">
        <v>34</v>
      </c>
      <c r="W10" s="0" t="s">
        <v>34</v>
      </c>
      <c r="X10" s="0" t="s">
        <v>34</v>
      </c>
      <c r="Y10" s="0" t="s">
        <v>34</v>
      </c>
      <c r="Z10" s="0" t="s">
        <v>43</v>
      </c>
      <c r="AA10" s="0" t="s">
        <v>43</v>
      </c>
      <c r="AB10" s="0" t="s">
        <v>34</v>
      </c>
      <c r="AC10" s="0" t="s">
        <v>398</v>
      </c>
      <c r="AD10" s="0">
        <f>IF($AC10="","NEW","Live")</f>
      </c>
      <c r="AE10" s="8" t="s">
        <v>34</v>
      </c>
    </row>
    <row r="11">
      <c r="A11" s="0" t="s">
        <v>399</v>
      </c>
      <c r="B11" s="0">
        <v>1</v>
      </c>
      <c r="C11" s="0" t="s">
        <v>81</v>
      </c>
      <c r="D11" s="0" t="s">
        <v>400</v>
      </c>
      <c r="E11" s="0" t="s">
        <v>34</v>
      </c>
      <c r="F11" s="0" t="s">
        <v>34</v>
      </c>
      <c r="G11" s="8" t="s">
        <v>401</v>
      </c>
      <c r="H11" s="0" t="s">
        <v>101</v>
      </c>
      <c r="I11" s="0">
        <v>1</v>
      </c>
      <c r="J11" s="0">
        <v>4</v>
      </c>
      <c r="K11" s="0" t="s">
        <v>399</v>
      </c>
      <c r="L11" s="0" t="s">
        <v>363</v>
      </c>
      <c r="M11" s="0" t="s">
        <v>285</v>
      </c>
      <c r="N11" s="0" t="s">
        <v>34</v>
      </c>
      <c r="O11" s="0" t="s">
        <v>102</v>
      </c>
      <c r="P11" s="0" t="s">
        <v>41</v>
      </c>
      <c r="Q11" s="0" t="s">
        <v>34</v>
      </c>
      <c r="R11" s="0" t="s">
        <v>34</v>
      </c>
      <c r="S11" s="0" t="s">
        <v>34</v>
      </c>
      <c r="T11" s="0" t="s">
        <v>34</v>
      </c>
      <c r="U11" s="0" t="s">
        <v>34</v>
      </c>
      <c r="V11" s="0" t="s">
        <v>34</v>
      </c>
      <c r="W11" s="0" t="s">
        <v>34</v>
      </c>
      <c r="X11" s="0" t="s">
        <v>34</v>
      </c>
      <c r="Y11" s="0" t="s">
        <v>34</v>
      </c>
      <c r="Z11" s="0" t="s">
        <v>43</v>
      </c>
      <c r="AA11" s="0" t="s">
        <v>43</v>
      </c>
      <c r="AB11" s="0" t="s">
        <v>34</v>
      </c>
      <c r="AC11" s="0" t="s">
        <v>402</v>
      </c>
      <c r="AD11" s="0">
        <f>IF($AC11="","NEW","Live")</f>
      </c>
      <c r="AE11" s="8" t="s">
        <v>34</v>
      </c>
    </row>
    <row r="12">
      <c r="A12" s="0" t="s">
        <v>403</v>
      </c>
      <c r="B12" s="0">
        <v>1</v>
      </c>
      <c r="C12" s="0" t="s">
        <v>32</v>
      </c>
      <c r="D12" s="0" t="s">
        <v>404</v>
      </c>
      <c r="E12" s="0" t="s">
        <v>34</v>
      </c>
      <c r="F12" s="0" t="s">
        <v>34</v>
      </c>
      <c r="G12" s="8" t="s">
        <v>405</v>
      </c>
      <c r="H12" s="0" t="s">
        <v>101</v>
      </c>
      <c r="I12" s="0">
        <v>1</v>
      </c>
      <c r="J12" s="0">
        <v>3</v>
      </c>
      <c r="K12" s="0" t="s">
        <v>403</v>
      </c>
      <c r="L12" s="0" t="s">
        <v>363</v>
      </c>
      <c r="M12" s="0" t="s">
        <v>199</v>
      </c>
      <c r="N12" s="0" t="s">
        <v>34</v>
      </c>
      <c r="O12" s="0" t="s">
        <v>102</v>
      </c>
      <c r="P12" s="0" t="s">
        <v>41</v>
      </c>
      <c r="Q12" s="0" t="s">
        <v>34</v>
      </c>
      <c r="R12" s="0" t="s">
        <v>34</v>
      </c>
      <c r="S12" s="0" t="s">
        <v>34</v>
      </c>
      <c r="T12" s="0" t="s">
        <v>34</v>
      </c>
      <c r="U12" s="0" t="s">
        <v>34</v>
      </c>
      <c r="V12" s="0" t="s">
        <v>34</v>
      </c>
      <c r="W12" s="0" t="s">
        <v>34</v>
      </c>
      <c r="X12" s="0" t="s">
        <v>34</v>
      </c>
      <c r="Y12" s="0" t="s">
        <v>34</v>
      </c>
      <c r="Z12" s="0" t="s">
        <v>43</v>
      </c>
      <c r="AA12" s="0" t="s">
        <v>43</v>
      </c>
      <c r="AB12" s="0" t="s">
        <v>34</v>
      </c>
      <c r="AC12" s="0" t="s">
        <v>406</v>
      </c>
      <c r="AD12" s="0">
        <f>IF($AC12="","NEW","Live")</f>
      </c>
      <c r="AE12" s="8" t="s">
        <v>34</v>
      </c>
    </row>
    <row r="13">
      <c r="A13" s="0" t="s">
        <v>407</v>
      </c>
      <c r="B13" s="0">
        <v>2</v>
      </c>
      <c r="C13" s="0" t="s">
        <v>32</v>
      </c>
      <c r="D13" s="0" t="s">
        <v>408</v>
      </c>
      <c r="E13" s="0" t="s">
        <v>34</v>
      </c>
      <c r="F13" s="0" t="s">
        <v>34</v>
      </c>
      <c r="G13" s="8" t="s">
        <v>409</v>
      </c>
      <c r="H13" s="0" t="s">
        <v>101</v>
      </c>
      <c r="I13" s="0">
        <v>1</v>
      </c>
      <c r="J13" s="0">
        <v>3</v>
      </c>
      <c r="K13" s="0" t="s">
        <v>407</v>
      </c>
      <c r="L13" s="0" t="s">
        <v>363</v>
      </c>
      <c r="M13" s="0" t="s">
        <v>199</v>
      </c>
      <c r="N13" s="0" t="s">
        <v>34</v>
      </c>
      <c r="O13" s="0" t="s">
        <v>102</v>
      </c>
      <c r="P13" s="0" t="s">
        <v>41</v>
      </c>
      <c r="Q13" s="0" t="s">
        <v>34</v>
      </c>
      <c r="R13" s="0" t="s">
        <v>34</v>
      </c>
      <c r="S13" s="0" t="s">
        <v>34</v>
      </c>
      <c r="T13" s="0" t="s">
        <v>34</v>
      </c>
      <c r="U13" s="0" t="s">
        <v>34</v>
      </c>
      <c r="V13" s="0" t="s">
        <v>34</v>
      </c>
      <c r="W13" s="0" t="s">
        <v>34</v>
      </c>
      <c r="X13" s="0" t="s">
        <v>34</v>
      </c>
      <c r="Y13" s="0" t="s">
        <v>34</v>
      </c>
      <c r="Z13" s="0" t="s">
        <v>43</v>
      </c>
      <c r="AA13" s="0" t="s">
        <v>43</v>
      </c>
      <c r="AB13" s="0" t="s">
        <v>34</v>
      </c>
      <c r="AC13" s="0" t="s">
        <v>410</v>
      </c>
      <c r="AD13" s="0">
        <f>IF($AC13="","NEW","Live")</f>
      </c>
      <c r="AE13" s="8" t="s">
        <v>34</v>
      </c>
    </row>
    <row r="14">
      <c r="A14" s="0" t="s">
        <v>411</v>
      </c>
      <c r="B14" s="0">
        <v>2</v>
      </c>
      <c r="C14" s="0" t="s">
        <v>32</v>
      </c>
      <c r="D14" s="0" t="s">
        <v>412</v>
      </c>
      <c r="E14" s="0" t="s">
        <v>34</v>
      </c>
      <c r="F14" s="0" t="s">
        <v>34</v>
      </c>
      <c r="G14" s="8" t="s">
        <v>413</v>
      </c>
      <c r="H14" s="0" t="s">
        <v>101</v>
      </c>
      <c r="I14" s="0">
        <v>1</v>
      </c>
      <c r="J14" s="0">
        <v>3</v>
      </c>
      <c r="K14" s="0" t="s">
        <v>411</v>
      </c>
      <c r="L14" s="0" t="s">
        <v>363</v>
      </c>
      <c r="M14" s="0" t="s">
        <v>199</v>
      </c>
      <c r="N14" s="0" t="s">
        <v>34</v>
      </c>
      <c r="O14" s="0" t="s">
        <v>102</v>
      </c>
      <c r="P14" s="0" t="s">
        <v>41</v>
      </c>
      <c r="Q14" s="0" t="s">
        <v>34</v>
      </c>
      <c r="R14" s="0" t="s">
        <v>34</v>
      </c>
      <c r="S14" s="0" t="s">
        <v>34</v>
      </c>
      <c r="T14" s="0" t="s">
        <v>34</v>
      </c>
      <c r="U14" s="0" t="s">
        <v>34</v>
      </c>
      <c r="V14" s="0" t="s">
        <v>34</v>
      </c>
      <c r="W14" s="0" t="s">
        <v>34</v>
      </c>
      <c r="X14" s="0" t="s">
        <v>34</v>
      </c>
      <c r="Y14" s="0" t="s">
        <v>34</v>
      </c>
      <c r="Z14" s="0" t="s">
        <v>43</v>
      </c>
      <c r="AA14" s="0" t="s">
        <v>43</v>
      </c>
      <c r="AB14" s="0" t="s">
        <v>34</v>
      </c>
      <c r="AC14" s="0" t="s">
        <v>414</v>
      </c>
      <c r="AD14" s="0">
        <f>IF($AC14="","NEW","Live")</f>
      </c>
      <c r="AE14" s="8" t="s">
        <v>34</v>
      </c>
    </row>
    <row r="15">
      <c r="A15" s="0" t="s">
        <v>415</v>
      </c>
      <c r="B15" s="0">
        <v>2</v>
      </c>
      <c r="C15" s="0" t="s">
        <v>32</v>
      </c>
      <c r="D15" s="0" t="s">
        <v>416</v>
      </c>
      <c r="E15" s="0" t="s">
        <v>34</v>
      </c>
      <c r="F15" s="0" t="s">
        <v>34</v>
      </c>
      <c r="G15" s="8" t="s">
        <v>417</v>
      </c>
      <c r="H15" s="0" t="s">
        <v>101</v>
      </c>
      <c r="I15" s="0">
        <v>1</v>
      </c>
      <c r="J15" s="0">
        <v>3</v>
      </c>
      <c r="K15" s="0" t="s">
        <v>415</v>
      </c>
      <c r="L15" s="0" t="s">
        <v>363</v>
      </c>
      <c r="M15" s="0" t="s">
        <v>199</v>
      </c>
      <c r="N15" s="0" t="s">
        <v>34</v>
      </c>
      <c r="O15" s="0" t="s">
        <v>102</v>
      </c>
      <c r="P15" s="0" t="s">
        <v>41</v>
      </c>
      <c r="Q15" s="0" t="s">
        <v>34</v>
      </c>
      <c r="R15" s="0" t="s">
        <v>34</v>
      </c>
      <c r="S15" s="0" t="s">
        <v>34</v>
      </c>
      <c r="T15" s="0" t="s">
        <v>34</v>
      </c>
      <c r="U15" s="0" t="s">
        <v>34</v>
      </c>
      <c r="V15" s="0" t="s">
        <v>34</v>
      </c>
      <c r="W15" s="0" t="s">
        <v>34</v>
      </c>
      <c r="X15" s="0" t="s">
        <v>34</v>
      </c>
      <c r="Y15" s="0" t="s">
        <v>34</v>
      </c>
      <c r="Z15" s="0" t="s">
        <v>43</v>
      </c>
      <c r="AA15" s="0" t="s">
        <v>43</v>
      </c>
      <c r="AB15" s="0" t="s">
        <v>34</v>
      </c>
      <c r="AC15" s="0" t="s">
        <v>418</v>
      </c>
      <c r="AD15" s="0">
        <f>IF($AC15="","NEW","Live")</f>
      </c>
      <c r="AE15" s="8" t="s">
        <v>34</v>
      </c>
    </row>
    <row r="16">
      <c r="A16" s="0" t="s">
        <v>419</v>
      </c>
      <c r="B16" s="0">
        <v>2</v>
      </c>
      <c r="C16" s="0" t="s">
        <v>32</v>
      </c>
      <c r="D16" s="0" t="s">
        <v>420</v>
      </c>
      <c r="E16" s="0" t="s">
        <v>34</v>
      </c>
      <c r="F16" s="0" t="s">
        <v>34</v>
      </c>
      <c r="G16" s="8" t="s">
        <v>421</v>
      </c>
      <c r="H16" s="0" t="s">
        <v>101</v>
      </c>
      <c r="I16" s="0">
        <v>1</v>
      </c>
      <c r="J16" s="0">
        <v>3</v>
      </c>
      <c r="K16" s="0" t="s">
        <v>419</v>
      </c>
      <c r="L16" s="0" t="s">
        <v>363</v>
      </c>
      <c r="M16" s="0" t="s">
        <v>199</v>
      </c>
      <c r="N16" s="0" t="s">
        <v>34</v>
      </c>
      <c r="O16" s="0" t="s">
        <v>102</v>
      </c>
      <c r="P16" s="0" t="s">
        <v>41</v>
      </c>
      <c r="Q16" s="0" t="s">
        <v>34</v>
      </c>
      <c r="R16" s="0" t="s">
        <v>34</v>
      </c>
      <c r="S16" s="0" t="s">
        <v>34</v>
      </c>
      <c r="T16" s="0" t="s">
        <v>34</v>
      </c>
      <c r="U16" s="0" t="s">
        <v>34</v>
      </c>
      <c r="V16" s="0" t="s">
        <v>34</v>
      </c>
      <c r="W16" s="0" t="s">
        <v>34</v>
      </c>
      <c r="X16" s="0" t="s">
        <v>34</v>
      </c>
      <c r="Y16" s="0" t="s">
        <v>34</v>
      </c>
      <c r="Z16" s="0" t="s">
        <v>43</v>
      </c>
      <c r="AA16" s="0" t="s">
        <v>43</v>
      </c>
      <c r="AB16" s="0" t="s">
        <v>34</v>
      </c>
      <c r="AC16" s="0" t="s">
        <v>422</v>
      </c>
      <c r="AD16" s="0">
        <f>IF($AC16="","NEW","Live")</f>
      </c>
      <c r="AE16" s="8" t="s">
        <v>34</v>
      </c>
    </row>
    <row r="17">
      <c r="A17" s="0" t="s">
        <v>423</v>
      </c>
      <c r="B17" s="0">
        <v>2</v>
      </c>
      <c r="C17" s="0" t="s">
        <v>62</v>
      </c>
      <c r="D17" s="0" t="s">
        <v>424</v>
      </c>
      <c r="E17" s="0" t="s">
        <v>34</v>
      </c>
      <c r="F17" s="0" t="s">
        <v>34</v>
      </c>
      <c r="G17" s="8" t="s">
        <v>425</v>
      </c>
      <c r="H17" s="0" t="s">
        <v>101</v>
      </c>
      <c r="I17" s="0">
        <v>1</v>
      </c>
      <c r="J17" s="0">
        <v>3</v>
      </c>
      <c r="K17" s="0" t="s">
        <v>423</v>
      </c>
      <c r="L17" s="0" t="s">
        <v>363</v>
      </c>
      <c r="M17" s="0" t="s">
        <v>199</v>
      </c>
      <c r="N17" s="0" t="s">
        <v>34</v>
      </c>
      <c r="O17" s="0" t="s">
        <v>102</v>
      </c>
      <c r="P17" s="0" t="s">
        <v>41</v>
      </c>
      <c r="Q17" s="0" t="s">
        <v>34</v>
      </c>
      <c r="R17" s="0" t="s">
        <v>34</v>
      </c>
      <c r="S17" s="0" t="s">
        <v>34</v>
      </c>
      <c r="T17" s="0" t="s">
        <v>34</v>
      </c>
      <c r="U17" s="0" t="s">
        <v>34</v>
      </c>
      <c r="V17" s="0" t="s">
        <v>34</v>
      </c>
      <c r="W17" s="0" t="s">
        <v>34</v>
      </c>
      <c r="X17" s="0" t="s">
        <v>34</v>
      </c>
      <c r="Y17" s="0" t="s">
        <v>34</v>
      </c>
      <c r="Z17" s="0" t="s">
        <v>43</v>
      </c>
      <c r="AA17" s="0" t="s">
        <v>43</v>
      </c>
      <c r="AB17" s="0" t="s">
        <v>34</v>
      </c>
      <c r="AC17" s="0" t="s">
        <v>426</v>
      </c>
      <c r="AD17" s="0">
        <f>IF($AC17="","NEW","Live")</f>
      </c>
      <c r="AE17" s="8" t="s">
        <v>34</v>
      </c>
    </row>
    <row r="18">
      <c r="A18" s="0" t="s">
        <v>427</v>
      </c>
      <c r="B18" s="0">
        <v>2</v>
      </c>
      <c r="C18" s="0" t="s">
        <v>32</v>
      </c>
      <c r="D18" s="0" t="s">
        <v>428</v>
      </c>
      <c r="E18" s="0" t="s">
        <v>34</v>
      </c>
      <c r="F18" s="0" t="s">
        <v>34</v>
      </c>
      <c r="G18" s="8" t="s">
        <v>429</v>
      </c>
      <c r="H18" s="0" t="s">
        <v>101</v>
      </c>
      <c r="I18" s="0">
        <v>1</v>
      </c>
      <c r="J18" s="0">
        <v>3</v>
      </c>
      <c r="K18" s="0" t="s">
        <v>427</v>
      </c>
      <c r="L18" s="0" t="s">
        <v>363</v>
      </c>
      <c r="M18" s="0" t="s">
        <v>199</v>
      </c>
      <c r="N18" s="0" t="s">
        <v>34</v>
      </c>
      <c r="O18" s="0" t="s">
        <v>102</v>
      </c>
      <c r="P18" s="0" t="s">
        <v>41</v>
      </c>
      <c r="Q18" s="0" t="s">
        <v>34</v>
      </c>
      <c r="R18" s="0" t="s">
        <v>34</v>
      </c>
      <c r="S18" s="0" t="s">
        <v>34</v>
      </c>
      <c r="T18" s="0" t="s">
        <v>34</v>
      </c>
      <c r="U18" s="0" t="s">
        <v>34</v>
      </c>
      <c r="V18" s="0" t="s">
        <v>34</v>
      </c>
      <c r="W18" s="0" t="s">
        <v>34</v>
      </c>
      <c r="X18" s="0" t="s">
        <v>34</v>
      </c>
      <c r="Y18" s="0" t="s">
        <v>34</v>
      </c>
      <c r="Z18" s="0" t="s">
        <v>43</v>
      </c>
      <c r="AA18" s="0" t="s">
        <v>43</v>
      </c>
      <c r="AB18" s="0" t="s">
        <v>34</v>
      </c>
      <c r="AC18" s="0" t="s">
        <v>430</v>
      </c>
      <c r="AD18" s="0">
        <f>IF($AC18="","NEW","Live")</f>
      </c>
      <c r="AE18" s="8" t="s">
        <v>34</v>
      </c>
    </row>
    <row r="19">
      <c r="A19" s="0" t="s">
        <v>431</v>
      </c>
      <c r="B19" s="0">
        <v>2</v>
      </c>
      <c r="C19" s="0" t="s">
        <v>32</v>
      </c>
      <c r="D19" s="0" t="s">
        <v>432</v>
      </c>
      <c r="E19" s="0" t="s">
        <v>34</v>
      </c>
      <c r="F19" s="0" t="s">
        <v>34</v>
      </c>
      <c r="G19" s="8" t="s">
        <v>433</v>
      </c>
      <c r="H19" s="0" t="s">
        <v>101</v>
      </c>
      <c r="I19" s="0">
        <v>1</v>
      </c>
      <c r="J19" s="0">
        <v>3</v>
      </c>
      <c r="K19" s="0" t="s">
        <v>431</v>
      </c>
      <c r="L19" s="0" t="s">
        <v>363</v>
      </c>
      <c r="M19" s="0" t="s">
        <v>199</v>
      </c>
      <c r="N19" s="0" t="s">
        <v>34</v>
      </c>
      <c r="O19" s="0" t="s">
        <v>102</v>
      </c>
      <c r="P19" s="0" t="s">
        <v>41</v>
      </c>
      <c r="Q19" s="0" t="s">
        <v>34</v>
      </c>
      <c r="R19" s="0" t="s">
        <v>34</v>
      </c>
      <c r="S19" s="0" t="s">
        <v>34</v>
      </c>
      <c r="T19" s="0" t="s">
        <v>34</v>
      </c>
      <c r="U19" s="0" t="s">
        <v>34</v>
      </c>
      <c r="V19" s="0" t="s">
        <v>34</v>
      </c>
      <c r="W19" s="0" t="s">
        <v>34</v>
      </c>
      <c r="X19" s="0" t="s">
        <v>34</v>
      </c>
      <c r="Y19" s="0" t="s">
        <v>34</v>
      </c>
      <c r="Z19" s="0" t="s">
        <v>43</v>
      </c>
      <c r="AA19" s="0" t="s">
        <v>43</v>
      </c>
      <c r="AB19" s="0" t="s">
        <v>34</v>
      </c>
      <c r="AC19" s="0" t="s">
        <v>434</v>
      </c>
      <c r="AD19" s="0">
        <f>IF($AC19="","NEW","Live")</f>
      </c>
      <c r="AE19" s="8" t="s">
        <v>34</v>
      </c>
    </row>
    <row r="20">
      <c r="A20" s="0" t="s">
        <v>435</v>
      </c>
      <c r="B20" s="0">
        <v>2</v>
      </c>
      <c r="C20" s="0" t="s">
        <v>62</v>
      </c>
      <c r="D20" s="0" t="s">
        <v>436</v>
      </c>
      <c r="E20" s="0" t="s">
        <v>34</v>
      </c>
      <c r="F20" s="0" t="s">
        <v>34</v>
      </c>
      <c r="G20" s="8" t="s">
        <v>437</v>
      </c>
      <c r="H20" s="0" t="s">
        <v>101</v>
      </c>
      <c r="I20" s="0">
        <v>1</v>
      </c>
      <c r="J20" s="0">
        <v>3</v>
      </c>
      <c r="K20" s="0" t="s">
        <v>435</v>
      </c>
      <c r="L20" s="0" t="s">
        <v>363</v>
      </c>
      <c r="M20" s="0" t="s">
        <v>199</v>
      </c>
      <c r="N20" s="0" t="s">
        <v>438</v>
      </c>
      <c r="O20" s="0" t="s">
        <v>102</v>
      </c>
      <c r="P20" s="0" t="s">
        <v>41</v>
      </c>
      <c r="Q20" s="0" t="s">
        <v>34</v>
      </c>
      <c r="R20" s="0" t="s">
        <v>34</v>
      </c>
      <c r="S20" s="0" t="s">
        <v>34</v>
      </c>
      <c r="T20" s="0" t="s">
        <v>34</v>
      </c>
      <c r="U20" s="0" t="s">
        <v>34</v>
      </c>
      <c r="V20" s="0" t="s">
        <v>34</v>
      </c>
      <c r="W20" s="0" t="s">
        <v>34</v>
      </c>
      <c r="X20" s="0" t="s">
        <v>34</v>
      </c>
      <c r="Y20" s="0" t="s">
        <v>34</v>
      </c>
      <c r="Z20" s="0" t="s">
        <v>43</v>
      </c>
      <c r="AA20" s="0" t="s">
        <v>43</v>
      </c>
      <c r="AB20" s="0" t="s">
        <v>34</v>
      </c>
      <c r="AC20" s="0" t="s">
        <v>439</v>
      </c>
      <c r="AD20" s="0">
        <f>IF($AC20="","NEW","Live")</f>
      </c>
      <c r="AE20" s="8" t="s">
        <v>34</v>
      </c>
    </row>
    <row r="21">
      <c r="A21" s="0" t="s">
        <v>440</v>
      </c>
      <c r="B21" s="0">
        <v>2</v>
      </c>
      <c r="C21" s="0" t="s">
        <v>32</v>
      </c>
      <c r="D21" s="0" t="s">
        <v>441</v>
      </c>
      <c r="E21" s="0" t="s">
        <v>34</v>
      </c>
      <c r="F21" s="0" t="s">
        <v>34</v>
      </c>
      <c r="G21" s="8" t="s">
        <v>442</v>
      </c>
      <c r="H21" s="0" t="s">
        <v>101</v>
      </c>
      <c r="I21" s="0">
        <v>1</v>
      </c>
      <c r="J21" s="0">
        <v>3</v>
      </c>
      <c r="K21" s="0" t="s">
        <v>440</v>
      </c>
      <c r="L21" s="0" t="s">
        <v>363</v>
      </c>
      <c r="M21" s="0" t="s">
        <v>199</v>
      </c>
      <c r="N21" s="0" t="s">
        <v>34</v>
      </c>
      <c r="O21" s="0" t="s">
        <v>102</v>
      </c>
      <c r="P21" s="0" t="s">
        <v>41</v>
      </c>
      <c r="Q21" s="0" t="s">
        <v>34</v>
      </c>
      <c r="R21" s="0" t="s">
        <v>34</v>
      </c>
      <c r="S21" s="0" t="s">
        <v>34</v>
      </c>
      <c r="T21" s="0" t="s">
        <v>34</v>
      </c>
      <c r="U21" s="0" t="s">
        <v>34</v>
      </c>
      <c r="V21" s="0" t="s">
        <v>34</v>
      </c>
      <c r="W21" s="0" t="s">
        <v>34</v>
      </c>
      <c r="X21" s="0" t="s">
        <v>34</v>
      </c>
      <c r="Y21" s="0" t="s">
        <v>34</v>
      </c>
      <c r="Z21" s="0" t="s">
        <v>43</v>
      </c>
      <c r="AA21" s="0" t="s">
        <v>43</v>
      </c>
      <c r="AB21" s="0" t="s">
        <v>34</v>
      </c>
      <c r="AC21" s="0" t="s">
        <v>443</v>
      </c>
      <c r="AD21" s="0">
        <f>IF($AC21="","NEW","Live")</f>
      </c>
      <c r="AE21" s="8" t="s">
        <v>34</v>
      </c>
    </row>
  </sheetData>
  <autoFilter ref="A1:AE21"/>
  <conditionalFormatting sqref="AD2:AD21">
    <cfRule priority="1" type="cellIs" operator="equal" dxfId="0">
      <formula>"NEW"</formula>
    </cfRule>
  </conditionalFormatting>
  <dataValidations count="16">
    <dataValidation type="list" sqref="L2:L221" showErrorMessage="0" allowBlank="1">
      <formula1>=list_Class</formula1>
    </dataValidation>
    <dataValidation type="list" sqref="M2:M221" showErrorMessage="0" allowBlank="1">
      <formula1>=list_Folder</formula1>
    </dataValidation>
    <dataValidation type="list" sqref="C2:C221" showErrorMessage="0" allowBlank="1">
      <formula1>=list_Rarity</formula1>
    </dataValidation>
    <dataValidation type="list" sqref="H2:H221" showErrorMessage="0" allowBlank="1">
      <formula1>=list_Shape</formula1>
    </dataValidation>
    <dataValidation type="list" sqref="O2:O221" showErrorMessage="0" allowBlank="1">
      <formula1>=list_Aim</formula1>
    </dataValidation>
    <dataValidation type="list" sqref="R2:R221" showErrorMessage="0" allowBlank="1">
      <formula1>=list_Aim</formula1>
    </dataValidation>
    <dataValidation type="list" sqref="U2:U221" showErrorMessage="0" allowBlank="1">
      <formula1>=list_Aim</formula1>
    </dataValidation>
    <dataValidation type="list" sqref="D2:D221" showErrorMessage="0" allowBlank="1">
      <formula1>=list_Effect</formula1>
    </dataValidation>
    <dataValidation type="list" sqref="E2:E221" showErrorMessage="0" allowBlank="1">
      <formula1>=list_Effect</formula1>
    </dataValidation>
    <dataValidation type="list" sqref="F2:F221" showErrorMessage="0" allowBlank="1">
      <formula1>=list_Effect</formula1>
    </dataValidation>
    <dataValidation type="list" sqref="Q2:Q221" showErrorMessage="0" allowBlank="1">
      <formula1>=list_Condition</formula1>
    </dataValidation>
    <dataValidation type="list" sqref="T2:T221" showErrorMessage="0" allowBlank="1">
      <formula1>=list_Condition</formula1>
    </dataValidation>
    <dataValidation type="list" sqref="W2:W221" showErrorMessage="0" allowBlank="1">
      <formula1>=list_Condition</formula1>
    </dataValidation>
    <dataValidation type="list" sqref="X2:X221" showErrorMessage="0" allowBlank="1">
      <formula1>=list_CostCond</formula1>
    </dataValidation>
    <dataValidation type="list" sqref="Z2:Z221" showErrorMessage="0" allowBlank="1">
      <formula1>=list_Bool</formula1>
    </dataValidation>
    <dataValidation type="list" sqref="AA2:AA221" showErrorMessage="0" allowBlank="1">
      <formula1>=list_Bool</formula1>
    </dataValidation>
  </dataValidations>
  <headerFooter/>
</worksheet>
</file>

<file path=xl/worksheets/sheet4.xml><?xml version="1.0" encoding="utf-8"?>
<worksheet xmlns:r="http://schemas.openxmlformats.org/officeDocument/2006/relationships" xmlns="http://schemas.openxmlformats.org/spreadsheetml/2006/main">
  <dimension ref="A1:AE54"/>
  <sheetViews>
    <sheetView workbookViewId="0" tabSelected="0">
      <pane xSplit="2" ySplit="1" topLeftCell="C2" state="frozen" activePane="bottomRight"/>
      <selection pane="topRight" activeCell="C1" sqref="C1"/>
      <selection pane="bottomLeft" activeCell="A2" sqref="A2"/>
      <selection pane="bottomRight" activeCell="A1" sqref="A1"/>
    </sheetView>
  </sheetViews>
  <sheetFormatPr defaultRowHeight="15"/>
  <cols>
    <col min="1" max="1" width="17.9955635070801" customWidth="1"/>
    <col min="2" max="2" width="9.140625" customWidth="1"/>
    <col min="3" max="3" width="11.6996202468872" customWidth="1"/>
    <col min="4" max="4" width="24.3262920379639" customWidth="1"/>
    <col min="5" max="5" width="10.5415096282959" customWidth="1"/>
    <col min="6" max="6" width="9.140625" customWidth="1"/>
    <col min="7" max="7" width="52" customWidth="1" style="8"/>
    <col min="8" max="8" width="12.6950616836548" customWidth="1"/>
    <col min="9" max="9" width="10.8034143447876" customWidth="1"/>
    <col min="10" max="10" width="11.1430721282959" customWidth="1"/>
    <col min="11" max="11" width="17.9955635070801" customWidth="1"/>
    <col min="12" max="12" width="9.140625" customWidth="1"/>
    <col min="13" max="13" width="15.4921236038208" customWidth="1"/>
    <col min="14" max="14" width="9.2565393447876" customWidth="1"/>
    <col min="15" max="15" width="9.140625" customWidth="1"/>
    <col min="16" max="16" width="14.5416955947876" customWidth="1"/>
    <col min="17" max="17" width="14.6931085586548" customWidth="1"/>
    <col min="18" max="18" width="9.140625" customWidth="1"/>
    <col min="19" max="19" width="14.245005607605" customWidth="1"/>
    <col min="20" max="20" width="16.2676067352295" customWidth="1"/>
    <col min="21" max="21" width="9.140625" customWidth="1"/>
    <col min="22" max="22" width="9.140625" customWidth="1"/>
    <col min="23" max="23" width="9.140625" customWidth="1"/>
    <col min="24" max="24" width="15.6813898086548" customWidth="1"/>
    <col min="25" max="25" width="9.995192527771" customWidth="1"/>
    <col min="26" max="26" width="11.1389799118042" customWidth="1"/>
    <col min="27" max="27" width="9.93790149688721" customWidth="1"/>
    <col min="28" max="28" width="10.5374174118042" customWidth="1"/>
    <col min="29" max="29" width="36.4895133972168" customWidth="1"/>
    <col min="30" max="30" width="9.140625" customWidth="1"/>
    <col min="31" max="31" width="46" customWidth="1" style="8"/>
  </cols>
  <sheetData>
    <row r="1">
      <c r="A1" s="7" t="s">
        <v>0</v>
      </c>
      <c r="B1" s="7" t="s">
        <v>1</v>
      </c>
      <c r="C1" s="7" t="s">
        <v>2</v>
      </c>
      <c r="D1" s="7" t="s">
        <v>3</v>
      </c>
      <c r="E1" s="7" t="s">
        <v>4</v>
      </c>
      <c r="F1" s="7" t="s">
        <v>5</v>
      </c>
      <c r="G1" s="9"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c r="Y1" s="7" t="s">
        <v>24</v>
      </c>
      <c r="Z1" s="7" t="s">
        <v>25</v>
      </c>
      <c r="AA1" s="7" t="s">
        <v>26</v>
      </c>
      <c r="AB1" s="7" t="s">
        <v>27</v>
      </c>
      <c r="AC1" s="7" t="s">
        <v>28</v>
      </c>
      <c r="AD1" s="7" t="s">
        <v>29</v>
      </c>
      <c r="AE1" s="9" t="s">
        <v>30</v>
      </c>
    </row>
    <row r="2">
      <c r="A2" s="0" t="s">
        <v>444</v>
      </c>
      <c r="B2" s="0">
        <v>1</v>
      </c>
      <c r="C2" s="0" t="s">
        <v>32</v>
      </c>
      <c r="D2" s="0" t="s">
        <v>33</v>
      </c>
      <c r="E2" s="0" t="s">
        <v>34</v>
      </c>
      <c r="F2" s="0" t="s">
        <v>34</v>
      </c>
      <c r="G2" s="8" t="s">
        <v>445</v>
      </c>
      <c r="H2" s="0" t="s">
        <v>101</v>
      </c>
      <c r="I2" s="0">
        <v>0</v>
      </c>
      <c r="J2" s="0">
        <v>4</v>
      </c>
      <c r="K2" s="0" t="s">
        <v>444</v>
      </c>
      <c r="L2" s="0" t="s">
        <v>446</v>
      </c>
      <c r="M2" s="0" t="s">
        <v>38</v>
      </c>
      <c r="N2" s="0" t="s">
        <v>39</v>
      </c>
      <c r="O2" s="0" t="s">
        <v>102</v>
      </c>
      <c r="P2" s="0" t="s">
        <v>41</v>
      </c>
      <c r="Q2" s="0" t="s">
        <v>34</v>
      </c>
      <c r="R2" s="0" t="s">
        <v>34</v>
      </c>
      <c r="S2" s="0" t="s">
        <v>34</v>
      </c>
      <c r="T2" s="0" t="s">
        <v>34</v>
      </c>
      <c r="U2" s="0" t="s">
        <v>34</v>
      </c>
      <c r="V2" s="0" t="s">
        <v>34</v>
      </c>
      <c r="W2" s="0" t="s">
        <v>34</v>
      </c>
      <c r="X2" s="0" t="s">
        <v>34</v>
      </c>
      <c r="Y2" s="0" t="s">
        <v>34</v>
      </c>
      <c r="Z2" s="0" t="s">
        <v>42</v>
      </c>
      <c r="AA2" s="0" t="s">
        <v>43</v>
      </c>
      <c r="AB2" s="0" t="s">
        <v>34</v>
      </c>
      <c r="AC2" s="0" t="s">
        <v>447</v>
      </c>
      <c r="AD2" s="0">
        <f>IF($AC2="","NEW","Live")</f>
      </c>
      <c r="AE2" s="8" t="s">
        <v>34</v>
      </c>
    </row>
    <row r="3">
      <c r="A3" s="0" t="s">
        <v>448</v>
      </c>
      <c r="B3" s="0">
        <v>1</v>
      </c>
      <c r="C3" s="0" t="s">
        <v>32</v>
      </c>
      <c r="D3" s="0" t="s">
        <v>449</v>
      </c>
      <c r="E3" s="0" t="s">
        <v>34</v>
      </c>
      <c r="F3" s="0" t="s">
        <v>34</v>
      </c>
      <c r="G3" s="8" t="s">
        <v>450</v>
      </c>
      <c r="H3" s="0" t="s">
        <v>101</v>
      </c>
      <c r="I3" s="0">
        <v>0</v>
      </c>
      <c r="J3" s="0">
        <v>4</v>
      </c>
      <c r="K3" s="0" t="s">
        <v>448</v>
      </c>
      <c r="L3" s="0" t="s">
        <v>446</v>
      </c>
      <c r="M3" s="0" t="s">
        <v>38</v>
      </c>
      <c r="N3" s="0" t="s">
        <v>39</v>
      </c>
      <c r="O3" s="0" t="s">
        <v>102</v>
      </c>
      <c r="P3" s="0" t="s">
        <v>41</v>
      </c>
      <c r="Q3" s="0" t="s">
        <v>34</v>
      </c>
      <c r="R3" s="0" t="s">
        <v>34</v>
      </c>
      <c r="S3" s="0" t="s">
        <v>34</v>
      </c>
      <c r="T3" s="0" t="s">
        <v>34</v>
      </c>
      <c r="U3" s="0" t="s">
        <v>34</v>
      </c>
      <c r="V3" s="0" t="s">
        <v>34</v>
      </c>
      <c r="W3" s="0" t="s">
        <v>34</v>
      </c>
      <c r="X3" s="0" t="s">
        <v>34</v>
      </c>
      <c r="Y3" s="0" t="s">
        <v>34</v>
      </c>
      <c r="Z3" s="0" t="s">
        <v>43</v>
      </c>
      <c r="AA3" s="0" t="s">
        <v>43</v>
      </c>
      <c r="AB3" s="0" t="s">
        <v>34</v>
      </c>
      <c r="AC3" s="0" t="s">
        <v>451</v>
      </c>
      <c r="AD3" s="0">
        <f>IF($AC3="","NEW","Live")</f>
      </c>
      <c r="AE3" s="8" t="s">
        <v>34</v>
      </c>
    </row>
    <row r="4">
      <c r="A4" s="0" t="s">
        <v>452</v>
      </c>
      <c r="B4" s="0">
        <v>1</v>
      </c>
      <c r="C4" s="0" t="s">
        <v>32</v>
      </c>
      <c r="D4" s="0" t="s">
        <v>53</v>
      </c>
      <c r="E4" s="0" t="s">
        <v>34</v>
      </c>
      <c r="F4" s="0" t="s">
        <v>34</v>
      </c>
      <c r="G4" s="8" t="s">
        <v>453</v>
      </c>
      <c r="H4" s="0" t="s">
        <v>101</v>
      </c>
      <c r="I4" s="0">
        <v>0</v>
      </c>
      <c r="J4" s="0">
        <v>4</v>
      </c>
      <c r="K4" s="0" t="s">
        <v>452</v>
      </c>
      <c r="L4" s="0" t="s">
        <v>446</v>
      </c>
      <c r="M4" s="0" t="s">
        <v>38</v>
      </c>
      <c r="N4" s="0" t="s">
        <v>454</v>
      </c>
      <c r="O4" s="0" t="s">
        <v>102</v>
      </c>
      <c r="P4" s="0" t="s">
        <v>41</v>
      </c>
      <c r="Q4" s="0" t="s">
        <v>455</v>
      </c>
      <c r="R4" s="0" t="s">
        <v>34</v>
      </c>
      <c r="S4" s="0" t="s">
        <v>34</v>
      </c>
      <c r="T4" s="0" t="s">
        <v>34</v>
      </c>
      <c r="U4" s="0" t="s">
        <v>34</v>
      </c>
      <c r="V4" s="0" t="s">
        <v>34</v>
      </c>
      <c r="W4" s="0" t="s">
        <v>34</v>
      </c>
      <c r="X4" s="0" t="s">
        <v>34</v>
      </c>
      <c r="Y4" s="0" t="s">
        <v>34</v>
      </c>
      <c r="Z4" s="0" t="s">
        <v>43</v>
      </c>
      <c r="AA4" s="0" t="s">
        <v>43</v>
      </c>
      <c r="AB4" s="0" t="s">
        <v>34</v>
      </c>
      <c r="AC4" s="0" t="s">
        <v>456</v>
      </c>
      <c r="AD4" s="0">
        <f>IF($AC4="","NEW","Live")</f>
      </c>
      <c r="AE4" s="8" t="s">
        <v>34</v>
      </c>
    </row>
    <row r="5">
      <c r="A5" s="0" t="s">
        <v>457</v>
      </c>
      <c r="B5" s="0">
        <v>1</v>
      </c>
      <c r="C5" s="0" t="s">
        <v>32</v>
      </c>
      <c r="D5" s="0" t="s">
        <v>97</v>
      </c>
      <c r="E5" s="0" t="s">
        <v>47</v>
      </c>
      <c r="F5" s="0" t="s">
        <v>34</v>
      </c>
      <c r="G5" s="8" t="s">
        <v>458</v>
      </c>
      <c r="H5" s="0" t="s">
        <v>101</v>
      </c>
      <c r="I5" s="0">
        <v>0</v>
      </c>
      <c r="J5" s="0">
        <v>4</v>
      </c>
      <c r="K5" s="0" t="s">
        <v>457</v>
      </c>
      <c r="L5" s="0" t="s">
        <v>446</v>
      </c>
      <c r="M5" s="0" t="s">
        <v>38</v>
      </c>
      <c r="N5" s="0" t="s">
        <v>454</v>
      </c>
      <c r="O5" s="0" t="s">
        <v>102</v>
      </c>
      <c r="P5" s="0" t="s">
        <v>41</v>
      </c>
      <c r="Q5" s="0" t="s">
        <v>155</v>
      </c>
      <c r="R5" s="0" t="s">
        <v>40</v>
      </c>
      <c r="S5" s="0" t="s">
        <v>41</v>
      </c>
      <c r="T5" s="0" t="s">
        <v>459</v>
      </c>
      <c r="U5" s="0" t="s">
        <v>34</v>
      </c>
      <c r="V5" s="0" t="s">
        <v>34</v>
      </c>
      <c r="W5" s="0" t="s">
        <v>34</v>
      </c>
      <c r="X5" s="0" t="s">
        <v>34</v>
      </c>
      <c r="Y5" s="0" t="s">
        <v>34</v>
      </c>
      <c r="Z5" s="0" t="s">
        <v>43</v>
      </c>
      <c r="AA5" s="0" t="s">
        <v>43</v>
      </c>
      <c r="AB5" s="0" t="s">
        <v>34</v>
      </c>
      <c r="AC5" s="0" t="s">
        <v>460</v>
      </c>
      <c r="AD5" s="0">
        <f>IF($AC5="","NEW","Live")</f>
      </c>
      <c r="AE5" s="8" t="s">
        <v>34</v>
      </c>
    </row>
    <row r="6">
      <c r="A6" s="0" t="s">
        <v>461</v>
      </c>
      <c r="B6" s="0">
        <v>1</v>
      </c>
      <c r="C6" s="0" t="s">
        <v>32</v>
      </c>
      <c r="D6" s="0" t="s">
        <v>462</v>
      </c>
      <c r="E6" s="0" t="s">
        <v>47</v>
      </c>
      <c r="F6" s="0" t="s">
        <v>34</v>
      </c>
      <c r="G6" s="8" t="s">
        <v>463</v>
      </c>
      <c r="H6" s="0" t="s">
        <v>101</v>
      </c>
      <c r="I6" s="0">
        <v>0</v>
      </c>
      <c r="J6" s="0">
        <v>4</v>
      </c>
      <c r="K6" s="0" t="s">
        <v>461</v>
      </c>
      <c r="L6" s="0" t="s">
        <v>446</v>
      </c>
      <c r="M6" s="0" t="s">
        <v>38</v>
      </c>
      <c r="N6" s="0" t="s">
        <v>39</v>
      </c>
      <c r="O6" s="0" t="s">
        <v>102</v>
      </c>
      <c r="P6" s="0" t="s">
        <v>41</v>
      </c>
      <c r="Q6" s="0" t="s">
        <v>34</v>
      </c>
      <c r="R6" s="0" t="s">
        <v>40</v>
      </c>
      <c r="S6" s="0" t="s">
        <v>41</v>
      </c>
      <c r="T6" s="0" t="s">
        <v>34</v>
      </c>
      <c r="U6" s="0" t="s">
        <v>34</v>
      </c>
      <c r="V6" s="0" t="s">
        <v>34</v>
      </c>
      <c r="W6" s="0" t="s">
        <v>34</v>
      </c>
      <c r="X6" s="0" t="s">
        <v>59</v>
      </c>
      <c r="Y6" s="0" t="s">
        <v>34</v>
      </c>
      <c r="Z6" s="0" t="s">
        <v>43</v>
      </c>
      <c r="AA6" s="0" t="s">
        <v>43</v>
      </c>
      <c r="AB6" s="0" t="s">
        <v>34</v>
      </c>
      <c r="AC6" s="0" t="s">
        <v>464</v>
      </c>
      <c r="AD6" s="0">
        <f>IF($AC6="","NEW","Live")</f>
      </c>
      <c r="AE6" s="8" t="s">
        <v>34</v>
      </c>
    </row>
    <row r="7">
      <c r="A7" s="0" t="s">
        <v>465</v>
      </c>
      <c r="B7" s="0">
        <v>1</v>
      </c>
      <c r="C7" s="0" t="s">
        <v>32</v>
      </c>
      <c r="D7" s="0" t="s">
        <v>97</v>
      </c>
      <c r="E7" s="0" t="s">
        <v>34</v>
      </c>
      <c r="F7" s="0" t="s">
        <v>34</v>
      </c>
      <c r="G7" s="8" t="s">
        <v>466</v>
      </c>
      <c r="H7" s="0" t="s">
        <v>101</v>
      </c>
      <c r="I7" s="0">
        <v>0</v>
      </c>
      <c r="J7" s="0">
        <v>4</v>
      </c>
      <c r="K7" s="0" t="s">
        <v>465</v>
      </c>
      <c r="L7" s="0" t="s">
        <v>446</v>
      </c>
      <c r="M7" s="0" t="s">
        <v>38</v>
      </c>
      <c r="N7" s="0" t="s">
        <v>39</v>
      </c>
      <c r="O7" s="0" t="s">
        <v>102</v>
      </c>
      <c r="P7" s="0" t="s">
        <v>41</v>
      </c>
      <c r="Q7" s="0" t="s">
        <v>34</v>
      </c>
      <c r="R7" s="0" t="s">
        <v>34</v>
      </c>
      <c r="S7" s="0" t="s">
        <v>34</v>
      </c>
      <c r="T7" s="0" t="s">
        <v>34</v>
      </c>
      <c r="U7" s="0" t="s">
        <v>34</v>
      </c>
      <c r="V7" s="0" t="s">
        <v>34</v>
      </c>
      <c r="W7" s="0" t="s">
        <v>34</v>
      </c>
      <c r="X7" s="0" t="s">
        <v>50</v>
      </c>
      <c r="Y7" s="0" t="s">
        <v>34</v>
      </c>
      <c r="Z7" s="0" t="s">
        <v>43</v>
      </c>
      <c r="AA7" s="0" t="s">
        <v>43</v>
      </c>
      <c r="AB7" s="0" t="s">
        <v>34</v>
      </c>
      <c r="AC7" s="0" t="s">
        <v>467</v>
      </c>
      <c r="AD7" s="0">
        <f>IF($AC7="","NEW","Live")</f>
      </c>
      <c r="AE7" s="8" t="s">
        <v>34</v>
      </c>
    </row>
    <row r="8">
      <c r="A8" s="0" t="s">
        <v>468</v>
      </c>
      <c r="B8" s="0">
        <v>1</v>
      </c>
      <c r="C8" s="0" t="s">
        <v>32</v>
      </c>
      <c r="D8" s="0" t="s">
        <v>469</v>
      </c>
      <c r="E8" s="0" t="s">
        <v>34</v>
      </c>
      <c r="F8" s="0" t="s">
        <v>34</v>
      </c>
      <c r="G8" s="8" t="s">
        <v>470</v>
      </c>
      <c r="H8" s="0" t="s">
        <v>101</v>
      </c>
      <c r="I8" s="0">
        <v>0</v>
      </c>
      <c r="J8" s="0">
        <v>4</v>
      </c>
      <c r="K8" s="0" t="s">
        <v>468</v>
      </c>
      <c r="L8" s="0" t="s">
        <v>446</v>
      </c>
      <c r="M8" s="0" t="s">
        <v>124</v>
      </c>
      <c r="N8" s="0" t="s">
        <v>34</v>
      </c>
      <c r="O8" s="0" t="s">
        <v>102</v>
      </c>
      <c r="P8" s="0" t="s">
        <v>41</v>
      </c>
      <c r="Q8" s="0" t="s">
        <v>34</v>
      </c>
      <c r="R8" s="0" t="s">
        <v>34</v>
      </c>
      <c r="S8" s="0" t="s">
        <v>34</v>
      </c>
      <c r="T8" s="0" t="s">
        <v>34</v>
      </c>
      <c r="U8" s="0" t="s">
        <v>34</v>
      </c>
      <c r="V8" s="0" t="s">
        <v>34</v>
      </c>
      <c r="W8" s="0" t="s">
        <v>34</v>
      </c>
      <c r="X8" s="0" t="s">
        <v>34</v>
      </c>
      <c r="Y8" s="0" t="s">
        <v>34</v>
      </c>
      <c r="Z8" s="0" t="s">
        <v>42</v>
      </c>
      <c r="AA8" s="0" t="s">
        <v>43</v>
      </c>
      <c r="AB8" s="0" t="s">
        <v>34</v>
      </c>
      <c r="AC8" s="0" t="s">
        <v>471</v>
      </c>
      <c r="AD8" s="0">
        <f>IF($AC8="","NEW","Live")</f>
      </c>
      <c r="AE8" s="8" t="s">
        <v>34</v>
      </c>
    </row>
    <row r="9">
      <c r="A9" s="0" t="s">
        <v>472</v>
      </c>
      <c r="B9" s="0">
        <v>1</v>
      </c>
      <c r="C9" s="0" t="s">
        <v>32</v>
      </c>
      <c r="D9" s="0" t="s">
        <v>473</v>
      </c>
      <c r="E9" s="0" t="s">
        <v>34</v>
      </c>
      <c r="F9" s="0" t="s">
        <v>34</v>
      </c>
      <c r="G9" s="8" t="s">
        <v>474</v>
      </c>
      <c r="H9" s="0" t="s">
        <v>101</v>
      </c>
      <c r="I9" s="0">
        <v>1</v>
      </c>
      <c r="J9" s="0">
        <v>4</v>
      </c>
      <c r="K9" s="0" t="s">
        <v>472</v>
      </c>
      <c r="L9" s="0" t="s">
        <v>446</v>
      </c>
      <c r="M9" s="0" t="s">
        <v>258</v>
      </c>
      <c r="N9" s="0" t="s">
        <v>34</v>
      </c>
      <c r="O9" s="0" t="s">
        <v>102</v>
      </c>
      <c r="P9" s="0" t="s">
        <v>41</v>
      </c>
      <c r="Q9" s="0" t="s">
        <v>34</v>
      </c>
      <c r="R9" s="0" t="s">
        <v>34</v>
      </c>
      <c r="S9" s="0" t="s">
        <v>34</v>
      </c>
      <c r="T9" s="0" t="s">
        <v>34</v>
      </c>
      <c r="U9" s="0" t="s">
        <v>34</v>
      </c>
      <c r="V9" s="0" t="s">
        <v>34</v>
      </c>
      <c r="W9" s="0" t="s">
        <v>34</v>
      </c>
      <c r="X9" s="0" t="s">
        <v>34</v>
      </c>
      <c r="Y9" s="0" t="s">
        <v>34</v>
      </c>
      <c r="Z9" s="0" t="s">
        <v>42</v>
      </c>
      <c r="AA9" s="0" t="s">
        <v>43</v>
      </c>
      <c r="AB9" s="0" t="s">
        <v>34</v>
      </c>
      <c r="AC9" s="0" t="s">
        <v>475</v>
      </c>
      <c r="AD9" s="0">
        <f>IF($AC9="","NEW","Live")</f>
      </c>
      <c r="AE9" s="8" t="s">
        <v>34</v>
      </c>
    </row>
    <row r="10">
      <c r="A10" s="0" t="s">
        <v>476</v>
      </c>
      <c r="B10" s="0">
        <v>1</v>
      </c>
      <c r="C10" s="0" t="s">
        <v>32</v>
      </c>
      <c r="D10" s="0" t="s">
        <v>477</v>
      </c>
      <c r="E10" s="0" t="s">
        <v>47</v>
      </c>
      <c r="F10" s="0" t="s">
        <v>34</v>
      </c>
      <c r="G10" s="8" t="s">
        <v>478</v>
      </c>
      <c r="H10" s="0" t="s">
        <v>101</v>
      </c>
      <c r="I10" s="0">
        <v>0</v>
      </c>
      <c r="J10" s="0">
        <v>4</v>
      </c>
      <c r="K10" s="0" t="s">
        <v>476</v>
      </c>
      <c r="L10" s="0" t="s">
        <v>446</v>
      </c>
      <c r="M10" s="0" t="s">
        <v>133</v>
      </c>
      <c r="N10" s="0" t="s">
        <v>454</v>
      </c>
      <c r="O10" s="0" t="s">
        <v>102</v>
      </c>
      <c r="P10" s="0" t="s">
        <v>78</v>
      </c>
      <c r="Q10" s="0" t="s">
        <v>34</v>
      </c>
      <c r="R10" s="0" t="s">
        <v>40</v>
      </c>
      <c r="S10" s="0" t="s">
        <v>41</v>
      </c>
      <c r="T10" s="0" t="s">
        <v>34</v>
      </c>
      <c r="U10" s="0" t="s">
        <v>34</v>
      </c>
      <c r="V10" s="0" t="s">
        <v>34</v>
      </c>
      <c r="W10" s="0" t="s">
        <v>34</v>
      </c>
      <c r="X10" s="0" t="s">
        <v>34</v>
      </c>
      <c r="Y10" s="0" t="s">
        <v>34</v>
      </c>
      <c r="Z10" s="0" t="s">
        <v>43</v>
      </c>
      <c r="AA10" s="0" t="s">
        <v>43</v>
      </c>
      <c r="AB10" s="0" t="s">
        <v>34</v>
      </c>
      <c r="AC10" s="0" t="s">
        <v>479</v>
      </c>
      <c r="AD10" s="0">
        <f>IF($AC10="","NEW","Live")</f>
      </c>
      <c r="AE10" s="8" t="s">
        <v>34</v>
      </c>
    </row>
    <row r="11">
      <c r="A11" s="0" t="s">
        <v>480</v>
      </c>
      <c r="B11" s="0">
        <v>1</v>
      </c>
      <c r="C11" s="0" t="s">
        <v>81</v>
      </c>
      <c r="D11" s="0" t="s">
        <v>481</v>
      </c>
      <c r="E11" s="0" t="s">
        <v>34</v>
      </c>
      <c r="F11" s="0" t="s">
        <v>34</v>
      </c>
      <c r="G11" s="8" t="s">
        <v>482</v>
      </c>
      <c r="H11" s="0" t="s">
        <v>101</v>
      </c>
      <c r="I11" s="0">
        <v>0</v>
      </c>
      <c r="J11" s="0">
        <v>4</v>
      </c>
      <c r="K11" s="0" t="s">
        <v>480</v>
      </c>
      <c r="L11" s="0" t="s">
        <v>446</v>
      </c>
      <c r="M11" s="0" t="s">
        <v>133</v>
      </c>
      <c r="N11" s="0" t="s">
        <v>34</v>
      </c>
      <c r="O11" s="0" t="s">
        <v>102</v>
      </c>
      <c r="P11" s="0" t="s">
        <v>41</v>
      </c>
      <c r="Q11" s="0" t="s">
        <v>34</v>
      </c>
      <c r="R11" s="0" t="s">
        <v>34</v>
      </c>
      <c r="S11" s="0" t="s">
        <v>34</v>
      </c>
      <c r="T11" s="0" t="s">
        <v>34</v>
      </c>
      <c r="U11" s="0" t="s">
        <v>34</v>
      </c>
      <c r="V11" s="0" t="s">
        <v>34</v>
      </c>
      <c r="W11" s="0" t="s">
        <v>34</v>
      </c>
      <c r="X11" s="0" t="s">
        <v>34</v>
      </c>
      <c r="Y11" s="0" t="s">
        <v>34</v>
      </c>
      <c r="Z11" s="0" t="s">
        <v>42</v>
      </c>
      <c r="AA11" s="0" t="s">
        <v>43</v>
      </c>
      <c r="AB11" s="0" t="s">
        <v>34</v>
      </c>
      <c r="AC11" s="0" t="s">
        <v>483</v>
      </c>
      <c r="AD11" s="0">
        <f>IF($AC11="","NEW","Live")</f>
      </c>
      <c r="AE11" s="8" t="s">
        <v>34</v>
      </c>
    </row>
    <row r="12">
      <c r="A12" s="0" t="s">
        <v>484</v>
      </c>
      <c r="B12" s="0">
        <v>1</v>
      </c>
      <c r="C12" s="0" t="s">
        <v>32</v>
      </c>
      <c r="D12" s="0" t="s">
        <v>485</v>
      </c>
      <c r="E12" s="0" t="s">
        <v>47</v>
      </c>
      <c r="F12" s="0" t="s">
        <v>34</v>
      </c>
      <c r="G12" s="8" t="s">
        <v>486</v>
      </c>
      <c r="H12" s="0" t="s">
        <v>101</v>
      </c>
      <c r="I12" s="0">
        <v>0</v>
      </c>
      <c r="J12" s="0">
        <v>4</v>
      </c>
      <c r="K12" s="0" t="s">
        <v>484</v>
      </c>
      <c r="L12" s="0" t="s">
        <v>446</v>
      </c>
      <c r="M12" s="0" t="s">
        <v>133</v>
      </c>
      <c r="N12" s="0" t="s">
        <v>454</v>
      </c>
      <c r="O12" s="0" t="s">
        <v>102</v>
      </c>
      <c r="P12" s="0" t="s">
        <v>41</v>
      </c>
      <c r="Q12" s="0" t="s">
        <v>34</v>
      </c>
      <c r="R12" s="0" t="s">
        <v>40</v>
      </c>
      <c r="S12" s="0" t="s">
        <v>41</v>
      </c>
      <c r="T12" s="0" t="s">
        <v>459</v>
      </c>
      <c r="U12" s="0" t="s">
        <v>34</v>
      </c>
      <c r="V12" s="0" t="s">
        <v>34</v>
      </c>
      <c r="W12" s="0" t="s">
        <v>34</v>
      </c>
      <c r="X12" s="0" t="s">
        <v>34</v>
      </c>
      <c r="Y12" s="0" t="s">
        <v>34</v>
      </c>
      <c r="Z12" s="0" t="s">
        <v>43</v>
      </c>
      <c r="AA12" s="0" t="s">
        <v>43</v>
      </c>
      <c r="AB12" s="0" t="s">
        <v>34</v>
      </c>
      <c r="AC12" s="0" t="s">
        <v>487</v>
      </c>
      <c r="AD12" s="0">
        <f>IF($AC12="","NEW","Live")</f>
      </c>
      <c r="AE12" s="8" t="s">
        <v>34</v>
      </c>
    </row>
    <row r="13">
      <c r="A13" s="0" t="s">
        <v>488</v>
      </c>
      <c r="B13" s="0">
        <v>1</v>
      </c>
      <c r="C13" s="0" t="s">
        <v>32</v>
      </c>
      <c r="D13" s="0" t="s">
        <v>489</v>
      </c>
      <c r="E13" s="0" t="s">
        <v>34</v>
      </c>
      <c r="F13" s="0" t="s">
        <v>34</v>
      </c>
      <c r="G13" s="8" t="s">
        <v>490</v>
      </c>
      <c r="H13" s="0" t="s">
        <v>101</v>
      </c>
      <c r="I13" s="0">
        <v>0</v>
      </c>
      <c r="J13" s="0">
        <v>4</v>
      </c>
      <c r="K13" s="0" t="s">
        <v>491</v>
      </c>
      <c r="L13" s="0" t="s">
        <v>446</v>
      </c>
      <c r="M13" s="0" t="s">
        <v>133</v>
      </c>
      <c r="N13" s="0" t="s">
        <v>454</v>
      </c>
      <c r="O13" s="0" t="s">
        <v>102</v>
      </c>
      <c r="P13" s="0" t="s">
        <v>41</v>
      </c>
      <c r="Q13" s="0" t="s">
        <v>34</v>
      </c>
      <c r="R13" s="0" t="s">
        <v>34</v>
      </c>
      <c r="S13" s="0" t="s">
        <v>34</v>
      </c>
      <c r="T13" s="0" t="s">
        <v>34</v>
      </c>
      <c r="U13" s="0" t="s">
        <v>34</v>
      </c>
      <c r="V13" s="0" t="s">
        <v>34</v>
      </c>
      <c r="W13" s="0" t="s">
        <v>34</v>
      </c>
      <c r="X13" s="0" t="s">
        <v>34</v>
      </c>
      <c r="Y13" s="0" t="s">
        <v>34</v>
      </c>
      <c r="Z13" s="0" t="s">
        <v>43</v>
      </c>
      <c r="AA13" s="0" t="s">
        <v>43</v>
      </c>
      <c r="AB13" s="0" t="s">
        <v>34</v>
      </c>
      <c r="AC13" s="0" t="s">
        <v>492</v>
      </c>
      <c r="AD13" s="0">
        <f>IF($AC13="","NEW","Live")</f>
      </c>
      <c r="AE13" s="8" t="s">
        <v>34</v>
      </c>
    </row>
    <row r="14">
      <c r="A14" s="0" t="s">
        <v>493</v>
      </c>
      <c r="B14" s="0">
        <v>1</v>
      </c>
      <c r="C14" s="0" t="s">
        <v>32</v>
      </c>
      <c r="D14" s="0" t="s">
        <v>485</v>
      </c>
      <c r="E14" s="0" t="s">
        <v>47</v>
      </c>
      <c r="F14" s="0" t="s">
        <v>34</v>
      </c>
      <c r="G14" s="8" t="s">
        <v>494</v>
      </c>
      <c r="H14" s="0" t="s">
        <v>101</v>
      </c>
      <c r="I14" s="0">
        <v>0</v>
      </c>
      <c r="J14" s="0">
        <v>4</v>
      </c>
      <c r="K14" s="0" t="s">
        <v>493</v>
      </c>
      <c r="L14" s="0" t="s">
        <v>446</v>
      </c>
      <c r="M14" s="0" t="s">
        <v>133</v>
      </c>
      <c r="N14" s="0" t="s">
        <v>454</v>
      </c>
      <c r="O14" s="0" t="s">
        <v>102</v>
      </c>
      <c r="P14" s="0" t="s">
        <v>41</v>
      </c>
      <c r="Q14" s="0" t="s">
        <v>34</v>
      </c>
      <c r="R14" s="0" t="s">
        <v>40</v>
      </c>
      <c r="S14" s="0" t="s">
        <v>41</v>
      </c>
      <c r="T14" s="0" t="s">
        <v>67</v>
      </c>
      <c r="U14" s="0" t="s">
        <v>34</v>
      </c>
      <c r="V14" s="0" t="s">
        <v>34</v>
      </c>
      <c r="W14" s="0" t="s">
        <v>34</v>
      </c>
      <c r="X14" s="0" t="s">
        <v>34</v>
      </c>
      <c r="Y14" s="0" t="s">
        <v>34</v>
      </c>
      <c r="Z14" s="0" t="s">
        <v>43</v>
      </c>
      <c r="AA14" s="0" t="s">
        <v>43</v>
      </c>
      <c r="AB14" s="0" t="s">
        <v>34</v>
      </c>
      <c r="AC14" s="0" t="s">
        <v>495</v>
      </c>
      <c r="AD14" s="0">
        <f>IF($AC14="","NEW","Live")</f>
      </c>
      <c r="AE14" s="8" t="s">
        <v>34</v>
      </c>
    </row>
    <row r="15">
      <c r="A15" s="0" t="s">
        <v>496</v>
      </c>
      <c r="B15" s="0">
        <v>1</v>
      </c>
      <c r="C15" s="0" t="s">
        <v>32</v>
      </c>
      <c r="D15" s="0" t="s">
        <v>152</v>
      </c>
      <c r="E15" s="0" t="s">
        <v>477</v>
      </c>
      <c r="F15" s="0" t="s">
        <v>34</v>
      </c>
      <c r="G15" s="8" t="s">
        <v>497</v>
      </c>
      <c r="H15" s="0" t="s">
        <v>101</v>
      </c>
      <c r="I15" s="0">
        <v>1</v>
      </c>
      <c r="J15" s="0">
        <v>4</v>
      </c>
      <c r="K15" s="0" t="s">
        <v>496</v>
      </c>
      <c r="L15" s="0" t="s">
        <v>446</v>
      </c>
      <c r="M15" s="0" t="s">
        <v>133</v>
      </c>
      <c r="N15" s="0" t="s">
        <v>139</v>
      </c>
      <c r="O15" s="0" t="s">
        <v>102</v>
      </c>
      <c r="P15" s="0" t="s">
        <v>41</v>
      </c>
      <c r="Q15" s="0" t="s">
        <v>34</v>
      </c>
      <c r="R15" s="0" t="s">
        <v>40</v>
      </c>
      <c r="S15" s="0" t="s">
        <v>78</v>
      </c>
      <c r="T15" s="0" t="s">
        <v>34</v>
      </c>
      <c r="U15" s="0" t="s">
        <v>34</v>
      </c>
      <c r="V15" s="0" t="s">
        <v>34</v>
      </c>
      <c r="W15" s="0" t="s">
        <v>34</v>
      </c>
      <c r="X15" s="0" t="s">
        <v>34</v>
      </c>
      <c r="Y15" s="0" t="s">
        <v>34</v>
      </c>
      <c r="Z15" s="0" t="s">
        <v>43</v>
      </c>
      <c r="AA15" s="0" t="s">
        <v>43</v>
      </c>
      <c r="AB15" s="0" t="s">
        <v>34</v>
      </c>
      <c r="AC15" s="0" t="s">
        <v>498</v>
      </c>
      <c r="AD15" s="0">
        <f>IF($AC15="","NEW","Live")</f>
      </c>
      <c r="AE15" s="8" t="s">
        <v>34</v>
      </c>
    </row>
    <row r="16">
      <c r="A16" s="0" t="s">
        <v>499</v>
      </c>
      <c r="B16" s="0">
        <v>1</v>
      </c>
      <c r="C16" s="0" t="s">
        <v>81</v>
      </c>
      <c r="D16" s="0" t="s">
        <v>131</v>
      </c>
      <c r="E16" s="0" t="s">
        <v>34</v>
      </c>
      <c r="F16" s="0" t="s">
        <v>34</v>
      </c>
      <c r="G16" s="8" t="s">
        <v>500</v>
      </c>
      <c r="H16" s="0" t="s">
        <v>101</v>
      </c>
      <c r="I16" s="0">
        <v>0</v>
      </c>
      <c r="J16" s="0">
        <v>4</v>
      </c>
      <c r="K16" s="0" t="s">
        <v>499</v>
      </c>
      <c r="L16" s="0" t="s">
        <v>446</v>
      </c>
      <c r="M16" s="0" t="s">
        <v>133</v>
      </c>
      <c r="N16" s="0" t="s">
        <v>454</v>
      </c>
      <c r="O16" s="0" t="s">
        <v>102</v>
      </c>
      <c r="P16" s="0" t="s">
        <v>41</v>
      </c>
      <c r="Q16" s="0" t="s">
        <v>34</v>
      </c>
      <c r="R16" s="0" t="s">
        <v>34</v>
      </c>
      <c r="S16" s="0" t="s">
        <v>34</v>
      </c>
      <c r="T16" s="0" t="s">
        <v>34</v>
      </c>
      <c r="U16" s="0" t="s">
        <v>34</v>
      </c>
      <c r="V16" s="0" t="s">
        <v>34</v>
      </c>
      <c r="W16" s="0" t="s">
        <v>34</v>
      </c>
      <c r="X16" s="0" t="s">
        <v>34</v>
      </c>
      <c r="Y16" s="0" t="s">
        <v>34</v>
      </c>
      <c r="Z16" s="0" t="s">
        <v>42</v>
      </c>
      <c r="AA16" s="0" t="s">
        <v>43</v>
      </c>
      <c r="AB16" s="0" t="s">
        <v>34</v>
      </c>
      <c r="AC16" s="0" t="s">
        <v>501</v>
      </c>
      <c r="AD16" s="0">
        <f>IF($AC16="","NEW","Live")</f>
      </c>
      <c r="AE16" s="8" t="s">
        <v>34</v>
      </c>
    </row>
    <row r="17">
      <c r="A17" s="0" t="s">
        <v>502</v>
      </c>
      <c r="B17" s="0">
        <v>1</v>
      </c>
      <c r="C17" s="0" t="s">
        <v>32</v>
      </c>
      <c r="D17" s="0" t="s">
        <v>167</v>
      </c>
      <c r="E17" s="0" t="s">
        <v>273</v>
      </c>
      <c r="F17" s="0" t="s">
        <v>34</v>
      </c>
      <c r="G17" s="8" t="s">
        <v>503</v>
      </c>
      <c r="H17" s="0" t="s">
        <v>101</v>
      </c>
      <c r="I17" s="0">
        <v>1</v>
      </c>
      <c r="J17" s="0">
        <v>4</v>
      </c>
      <c r="K17" s="0" t="s">
        <v>502</v>
      </c>
      <c r="L17" s="0" t="s">
        <v>446</v>
      </c>
      <c r="M17" s="0" t="s">
        <v>133</v>
      </c>
      <c r="N17" s="0" t="s">
        <v>139</v>
      </c>
      <c r="O17" s="0" t="s">
        <v>102</v>
      </c>
      <c r="P17" s="0" t="s">
        <v>41</v>
      </c>
      <c r="Q17" s="0" t="s">
        <v>455</v>
      </c>
      <c r="R17" s="0" t="s">
        <v>40</v>
      </c>
      <c r="S17" s="0" t="s">
        <v>41</v>
      </c>
      <c r="T17" s="0" t="s">
        <v>34</v>
      </c>
      <c r="U17" s="0" t="s">
        <v>34</v>
      </c>
      <c r="V17" s="0" t="s">
        <v>34</v>
      </c>
      <c r="W17" s="0" t="s">
        <v>34</v>
      </c>
      <c r="X17" s="0" t="s">
        <v>34</v>
      </c>
      <c r="Y17" s="0" t="s">
        <v>34</v>
      </c>
      <c r="Z17" s="0" t="s">
        <v>43</v>
      </c>
      <c r="AA17" s="0" t="s">
        <v>43</v>
      </c>
      <c r="AB17" s="0" t="s">
        <v>34</v>
      </c>
      <c r="AC17" s="0" t="s">
        <v>504</v>
      </c>
      <c r="AD17" s="0">
        <f>IF($AC17="","NEW","Live")</f>
      </c>
      <c r="AE17" s="8" t="s">
        <v>34</v>
      </c>
    </row>
    <row r="18">
      <c r="A18" s="0" t="s">
        <v>505</v>
      </c>
      <c r="B18" s="0">
        <v>1</v>
      </c>
      <c r="C18" s="0" t="s">
        <v>32</v>
      </c>
      <c r="D18" s="0" t="s">
        <v>167</v>
      </c>
      <c r="E18" s="0" t="s">
        <v>477</v>
      </c>
      <c r="F18" s="0" t="s">
        <v>34</v>
      </c>
      <c r="G18" s="8" t="s">
        <v>506</v>
      </c>
      <c r="H18" s="0" t="s">
        <v>101</v>
      </c>
      <c r="I18" s="0">
        <v>1</v>
      </c>
      <c r="J18" s="0">
        <v>4</v>
      </c>
      <c r="K18" s="0" t="s">
        <v>505</v>
      </c>
      <c r="L18" s="0" t="s">
        <v>446</v>
      </c>
      <c r="M18" s="0" t="s">
        <v>133</v>
      </c>
      <c r="N18" s="0" t="s">
        <v>139</v>
      </c>
      <c r="O18" s="0" t="s">
        <v>102</v>
      </c>
      <c r="P18" s="0" t="s">
        <v>41</v>
      </c>
      <c r="Q18" s="0" t="s">
        <v>34</v>
      </c>
      <c r="R18" s="0" t="s">
        <v>40</v>
      </c>
      <c r="S18" s="0" t="s">
        <v>41</v>
      </c>
      <c r="T18" s="0" t="s">
        <v>34</v>
      </c>
      <c r="U18" s="0" t="s">
        <v>34</v>
      </c>
      <c r="V18" s="0" t="s">
        <v>34</v>
      </c>
      <c r="W18" s="0" t="s">
        <v>34</v>
      </c>
      <c r="X18" s="0" t="s">
        <v>34</v>
      </c>
      <c r="Y18" s="0" t="s">
        <v>34</v>
      </c>
      <c r="Z18" s="0" t="s">
        <v>43</v>
      </c>
      <c r="AA18" s="0" t="s">
        <v>43</v>
      </c>
      <c r="AB18" s="0" t="s">
        <v>34</v>
      </c>
      <c r="AC18" s="0" t="s">
        <v>507</v>
      </c>
      <c r="AD18" s="0">
        <f>IF($AC18="","NEW","Live")</f>
      </c>
      <c r="AE18" s="8" t="s">
        <v>34</v>
      </c>
    </row>
    <row r="19">
      <c r="A19" s="0" t="s">
        <v>508</v>
      </c>
      <c r="B19" s="0">
        <v>1</v>
      </c>
      <c r="C19" s="0" t="s">
        <v>62</v>
      </c>
      <c r="D19" s="0" t="s">
        <v>147</v>
      </c>
      <c r="E19" s="0" t="s">
        <v>47</v>
      </c>
      <c r="F19" s="0" t="s">
        <v>34</v>
      </c>
      <c r="G19" s="8" t="s">
        <v>509</v>
      </c>
      <c r="H19" s="0" t="s">
        <v>101</v>
      </c>
      <c r="I19" s="0">
        <v>1</v>
      </c>
      <c r="J19" s="0">
        <v>4</v>
      </c>
      <c r="K19" s="0" t="s">
        <v>508</v>
      </c>
      <c r="L19" s="0" t="s">
        <v>446</v>
      </c>
      <c r="M19" s="0" t="s">
        <v>133</v>
      </c>
      <c r="N19" s="0" t="s">
        <v>139</v>
      </c>
      <c r="O19" s="0" t="s">
        <v>102</v>
      </c>
      <c r="P19" s="0" t="s">
        <v>41</v>
      </c>
      <c r="Q19" s="0" t="s">
        <v>34</v>
      </c>
      <c r="R19" s="0" t="s">
        <v>40</v>
      </c>
      <c r="S19" s="0" t="s">
        <v>41</v>
      </c>
      <c r="T19" s="0" t="s">
        <v>67</v>
      </c>
      <c r="U19" s="0" t="s">
        <v>34</v>
      </c>
      <c r="V19" s="0" t="s">
        <v>34</v>
      </c>
      <c r="W19" s="0" t="s">
        <v>34</v>
      </c>
      <c r="X19" s="0" t="s">
        <v>510</v>
      </c>
      <c r="Y19" s="0" t="s">
        <v>34</v>
      </c>
      <c r="Z19" s="0" t="s">
        <v>43</v>
      </c>
      <c r="AA19" s="0" t="s">
        <v>43</v>
      </c>
      <c r="AB19" s="0" t="s">
        <v>34</v>
      </c>
      <c r="AC19" s="0" t="s">
        <v>511</v>
      </c>
      <c r="AD19" s="0">
        <f>IF($AC19="","NEW","Live")</f>
      </c>
      <c r="AE19" s="8" t="s">
        <v>34</v>
      </c>
    </row>
    <row r="20">
      <c r="A20" s="0" t="s">
        <v>512</v>
      </c>
      <c r="B20" s="0">
        <v>1</v>
      </c>
      <c r="C20" s="0" t="s">
        <v>32</v>
      </c>
      <c r="D20" s="0" t="s">
        <v>513</v>
      </c>
      <c r="E20" s="0" t="s">
        <v>34</v>
      </c>
      <c r="F20" s="0" t="s">
        <v>34</v>
      </c>
      <c r="G20" s="8" t="s">
        <v>514</v>
      </c>
      <c r="H20" s="0" t="s">
        <v>101</v>
      </c>
      <c r="I20" s="0">
        <v>0</v>
      </c>
      <c r="J20" s="0">
        <v>4</v>
      </c>
      <c r="K20" s="0" t="s">
        <v>512</v>
      </c>
      <c r="L20" s="0" t="s">
        <v>446</v>
      </c>
      <c r="M20" s="0" t="s">
        <v>133</v>
      </c>
      <c r="N20" s="0" t="s">
        <v>34</v>
      </c>
      <c r="O20" s="0" t="s">
        <v>102</v>
      </c>
      <c r="P20" s="0" t="s">
        <v>41</v>
      </c>
      <c r="Q20" s="0" t="s">
        <v>34</v>
      </c>
      <c r="R20" s="0" t="s">
        <v>34</v>
      </c>
      <c r="S20" s="0" t="s">
        <v>34</v>
      </c>
      <c r="T20" s="0" t="s">
        <v>34</v>
      </c>
      <c r="U20" s="0" t="s">
        <v>34</v>
      </c>
      <c r="V20" s="0" t="s">
        <v>34</v>
      </c>
      <c r="W20" s="0" t="s">
        <v>34</v>
      </c>
      <c r="X20" s="0" t="s">
        <v>34</v>
      </c>
      <c r="Y20" s="0" t="s">
        <v>34</v>
      </c>
      <c r="Z20" s="0" t="s">
        <v>43</v>
      </c>
      <c r="AA20" s="0" t="s">
        <v>43</v>
      </c>
      <c r="AB20" s="0" t="s">
        <v>34</v>
      </c>
      <c r="AC20" s="0" t="s">
        <v>515</v>
      </c>
      <c r="AD20" s="0">
        <f>IF($AC20="","NEW","Live")</f>
      </c>
      <c r="AE20" s="8" t="s">
        <v>34</v>
      </c>
    </row>
    <row r="21">
      <c r="A21" s="0" t="s">
        <v>516</v>
      </c>
      <c r="B21" s="0">
        <v>1</v>
      </c>
      <c r="C21" s="0" t="s">
        <v>32</v>
      </c>
      <c r="D21" s="0" t="s">
        <v>485</v>
      </c>
      <c r="E21" s="0" t="s">
        <v>34</v>
      </c>
      <c r="F21" s="0" t="s">
        <v>34</v>
      </c>
      <c r="G21" s="8" t="s">
        <v>517</v>
      </c>
      <c r="H21" s="0" t="s">
        <v>36</v>
      </c>
      <c r="I21" s="0">
        <v>0</v>
      </c>
      <c r="J21" s="0">
        <v>0</v>
      </c>
      <c r="K21" s="0" t="s">
        <v>516</v>
      </c>
      <c r="L21" s="0" t="s">
        <v>446</v>
      </c>
      <c r="M21" s="0" t="s">
        <v>133</v>
      </c>
      <c r="N21" s="0" t="s">
        <v>454</v>
      </c>
      <c r="O21" s="0" t="s">
        <v>40</v>
      </c>
      <c r="P21" s="0" t="s">
        <v>78</v>
      </c>
      <c r="Q21" s="0" t="s">
        <v>34</v>
      </c>
      <c r="R21" s="0" t="s">
        <v>34</v>
      </c>
      <c r="S21" s="0" t="s">
        <v>34</v>
      </c>
      <c r="T21" s="0" t="s">
        <v>34</v>
      </c>
      <c r="U21" s="0" t="s">
        <v>34</v>
      </c>
      <c r="V21" s="0" t="s">
        <v>34</v>
      </c>
      <c r="W21" s="0" t="s">
        <v>34</v>
      </c>
      <c r="X21" s="0" t="s">
        <v>34</v>
      </c>
      <c r="Y21" s="0" t="s">
        <v>34</v>
      </c>
      <c r="Z21" s="0" t="s">
        <v>43</v>
      </c>
      <c r="AA21" s="0" t="s">
        <v>43</v>
      </c>
      <c r="AB21" s="0" t="s">
        <v>34</v>
      </c>
      <c r="AC21" s="0" t="s">
        <v>518</v>
      </c>
      <c r="AD21" s="0">
        <f>IF($AC21="","NEW","Live")</f>
      </c>
      <c r="AE21" s="8" t="s">
        <v>34</v>
      </c>
    </row>
    <row r="22">
      <c r="A22" s="0" t="s">
        <v>519</v>
      </c>
      <c r="B22" s="0">
        <v>1</v>
      </c>
      <c r="C22" s="0" t="s">
        <v>32</v>
      </c>
      <c r="D22" s="0" t="s">
        <v>477</v>
      </c>
      <c r="E22" s="0" t="s">
        <v>34</v>
      </c>
      <c r="F22" s="0" t="s">
        <v>34</v>
      </c>
      <c r="G22" s="8" t="s">
        <v>520</v>
      </c>
      <c r="H22" s="0" t="s">
        <v>101</v>
      </c>
      <c r="I22" s="0">
        <v>0</v>
      </c>
      <c r="J22" s="0">
        <v>4</v>
      </c>
      <c r="K22" s="0" t="s">
        <v>519</v>
      </c>
      <c r="L22" s="0" t="s">
        <v>446</v>
      </c>
      <c r="M22" s="0" t="s">
        <v>133</v>
      </c>
      <c r="N22" s="0" t="s">
        <v>454</v>
      </c>
      <c r="O22" s="0" t="s">
        <v>102</v>
      </c>
      <c r="P22" s="0" t="s">
        <v>41</v>
      </c>
      <c r="Q22" s="0" t="s">
        <v>34</v>
      </c>
      <c r="R22" s="0" t="s">
        <v>34</v>
      </c>
      <c r="S22" s="0" t="s">
        <v>34</v>
      </c>
      <c r="T22" s="0" t="s">
        <v>34</v>
      </c>
      <c r="U22" s="0" t="s">
        <v>34</v>
      </c>
      <c r="V22" s="0" t="s">
        <v>34</v>
      </c>
      <c r="W22" s="0" t="s">
        <v>34</v>
      </c>
      <c r="X22" s="0" t="s">
        <v>50</v>
      </c>
      <c r="Y22" s="0" t="s">
        <v>34</v>
      </c>
      <c r="Z22" s="0" t="s">
        <v>43</v>
      </c>
      <c r="AA22" s="0" t="s">
        <v>43</v>
      </c>
      <c r="AB22" s="0" t="s">
        <v>34</v>
      </c>
      <c r="AC22" s="0" t="s">
        <v>521</v>
      </c>
      <c r="AD22" s="0">
        <f>IF($AC22="","NEW","Live")</f>
      </c>
      <c r="AE22" s="8" t="s">
        <v>34</v>
      </c>
    </row>
    <row r="23">
      <c r="A23" s="0" t="s">
        <v>522</v>
      </c>
      <c r="B23" s="0">
        <v>1</v>
      </c>
      <c r="C23" s="0" t="s">
        <v>32</v>
      </c>
      <c r="D23" s="0" t="s">
        <v>131</v>
      </c>
      <c r="E23" s="0" t="s">
        <v>47</v>
      </c>
      <c r="F23" s="0" t="s">
        <v>34</v>
      </c>
      <c r="G23" s="8" t="s">
        <v>523</v>
      </c>
      <c r="H23" s="0" t="s">
        <v>101</v>
      </c>
      <c r="I23" s="0">
        <v>0</v>
      </c>
      <c r="J23" s="0">
        <v>4</v>
      </c>
      <c r="K23" s="0" t="s">
        <v>522</v>
      </c>
      <c r="L23" s="0" t="s">
        <v>446</v>
      </c>
      <c r="M23" s="0" t="s">
        <v>133</v>
      </c>
      <c r="N23" s="0" t="s">
        <v>454</v>
      </c>
      <c r="O23" s="0" t="s">
        <v>102</v>
      </c>
      <c r="P23" s="0" t="s">
        <v>41</v>
      </c>
      <c r="Q23" s="0" t="s">
        <v>34</v>
      </c>
      <c r="R23" s="0" t="s">
        <v>40</v>
      </c>
      <c r="S23" s="0" t="s">
        <v>41</v>
      </c>
      <c r="T23" s="0" t="s">
        <v>34</v>
      </c>
      <c r="U23" s="0" t="s">
        <v>34</v>
      </c>
      <c r="V23" s="0" t="s">
        <v>34</v>
      </c>
      <c r="W23" s="0" t="s">
        <v>34</v>
      </c>
      <c r="X23" s="0" t="s">
        <v>50</v>
      </c>
      <c r="Y23" s="0" t="s">
        <v>34</v>
      </c>
      <c r="Z23" s="0" t="s">
        <v>43</v>
      </c>
      <c r="AA23" s="0" t="s">
        <v>43</v>
      </c>
      <c r="AB23" s="0" t="s">
        <v>34</v>
      </c>
      <c r="AC23" s="0" t="s">
        <v>524</v>
      </c>
      <c r="AD23" s="0">
        <f>IF($AC23="","NEW","Live")</f>
      </c>
      <c r="AE23" s="8" t="s">
        <v>34</v>
      </c>
    </row>
    <row r="24">
      <c r="A24" s="0" t="s">
        <v>525</v>
      </c>
      <c r="B24" s="0">
        <v>1</v>
      </c>
      <c r="C24" s="0" t="s">
        <v>32</v>
      </c>
      <c r="D24" s="0" t="s">
        <v>161</v>
      </c>
      <c r="E24" s="0" t="s">
        <v>273</v>
      </c>
      <c r="F24" s="0" t="s">
        <v>47</v>
      </c>
      <c r="G24" s="8" t="s">
        <v>526</v>
      </c>
      <c r="H24" s="0" t="s">
        <v>101</v>
      </c>
      <c r="I24" s="0">
        <v>1</v>
      </c>
      <c r="J24" s="0">
        <v>4</v>
      </c>
      <c r="K24" s="0" t="s">
        <v>525</v>
      </c>
      <c r="L24" s="0" t="s">
        <v>446</v>
      </c>
      <c r="M24" s="0" t="s">
        <v>133</v>
      </c>
      <c r="N24" s="0" t="s">
        <v>139</v>
      </c>
      <c r="O24" s="0" t="s">
        <v>102</v>
      </c>
      <c r="P24" s="0" t="s">
        <v>41</v>
      </c>
      <c r="Q24" s="0" t="s">
        <v>34</v>
      </c>
      <c r="R24" s="0" t="s">
        <v>40</v>
      </c>
      <c r="S24" s="0" t="s">
        <v>41</v>
      </c>
      <c r="T24" s="0" t="s">
        <v>34</v>
      </c>
      <c r="U24" s="0" t="s">
        <v>40</v>
      </c>
      <c r="V24" s="0" t="s">
        <v>41</v>
      </c>
      <c r="W24" s="0" t="s">
        <v>34</v>
      </c>
      <c r="X24" s="0" t="s">
        <v>164</v>
      </c>
      <c r="Y24" s="0" t="s">
        <v>34</v>
      </c>
      <c r="Z24" s="0" t="s">
        <v>43</v>
      </c>
      <c r="AA24" s="0" t="s">
        <v>43</v>
      </c>
      <c r="AB24" s="0" t="s">
        <v>34</v>
      </c>
      <c r="AC24" s="0" t="s">
        <v>527</v>
      </c>
      <c r="AD24" s="0">
        <f>IF($AC24="","NEW","Live")</f>
      </c>
      <c r="AE24" s="8" t="s">
        <v>34</v>
      </c>
    </row>
    <row r="25">
      <c r="A25" s="0" t="s">
        <v>528</v>
      </c>
      <c r="B25" s="0">
        <v>1</v>
      </c>
      <c r="C25" s="0" t="s">
        <v>32</v>
      </c>
      <c r="D25" s="0" t="s">
        <v>529</v>
      </c>
      <c r="E25" s="0" t="s">
        <v>47</v>
      </c>
      <c r="F25" s="0" t="s">
        <v>34</v>
      </c>
      <c r="G25" s="8" t="s">
        <v>530</v>
      </c>
      <c r="H25" s="0" t="s">
        <v>101</v>
      </c>
      <c r="I25" s="0">
        <v>0</v>
      </c>
      <c r="J25" s="0">
        <v>4</v>
      </c>
      <c r="K25" s="0" t="s">
        <v>528</v>
      </c>
      <c r="L25" s="0" t="s">
        <v>446</v>
      </c>
      <c r="M25" s="0" t="s">
        <v>133</v>
      </c>
      <c r="N25" s="0" t="s">
        <v>34</v>
      </c>
      <c r="O25" s="0" t="s">
        <v>102</v>
      </c>
      <c r="P25" s="0" t="s">
        <v>41</v>
      </c>
      <c r="Q25" s="0" t="s">
        <v>34</v>
      </c>
      <c r="R25" s="0" t="s">
        <v>40</v>
      </c>
      <c r="S25" s="0" t="s">
        <v>41</v>
      </c>
      <c r="T25" s="0" t="s">
        <v>34</v>
      </c>
      <c r="U25" s="0" t="s">
        <v>34</v>
      </c>
      <c r="V25" s="0" t="s">
        <v>34</v>
      </c>
      <c r="W25" s="0" t="s">
        <v>34</v>
      </c>
      <c r="X25" s="0" t="s">
        <v>34</v>
      </c>
      <c r="Y25" s="0" t="s">
        <v>34</v>
      </c>
      <c r="Z25" s="0" t="s">
        <v>43</v>
      </c>
      <c r="AA25" s="0" t="s">
        <v>43</v>
      </c>
      <c r="AB25" s="0" t="s">
        <v>34</v>
      </c>
      <c r="AC25" s="0" t="s">
        <v>531</v>
      </c>
      <c r="AD25" s="0">
        <f>IF($AC25="","NEW","Live")</f>
      </c>
      <c r="AE25" s="8" t="s">
        <v>34</v>
      </c>
    </row>
    <row r="26">
      <c r="A26" s="0" t="s">
        <v>532</v>
      </c>
      <c r="B26" s="0">
        <v>1</v>
      </c>
      <c r="C26" s="0" t="s">
        <v>81</v>
      </c>
      <c r="D26" s="0" t="s">
        <v>273</v>
      </c>
      <c r="E26" s="0" t="s">
        <v>47</v>
      </c>
      <c r="F26" s="0" t="s">
        <v>34</v>
      </c>
      <c r="G26" s="8" t="s">
        <v>533</v>
      </c>
      <c r="H26" s="0" t="s">
        <v>101</v>
      </c>
      <c r="I26" s="0">
        <v>0</v>
      </c>
      <c r="J26" s="0">
        <v>4</v>
      </c>
      <c r="K26" s="0" t="s">
        <v>532</v>
      </c>
      <c r="L26" s="0" t="s">
        <v>446</v>
      </c>
      <c r="M26" s="0" t="s">
        <v>133</v>
      </c>
      <c r="N26" s="0" t="s">
        <v>34</v>
      </c>
      <c r="O26" s="0" t="s">
        <v>102</v>
      </c>
      <c r="P26" s="0" t="s">
        <v>41</v>
      </c>
      <c r="Q26" s="0" t="s">
        <v>34</v>
      </c>
      <c r="R26" s="0" t="s">
        <v>102</v>
      </c>
      <c r="S26" s="0" t="s">
        <v>41</v>
      </c>
      <c r="T26" s="0" t="s">
        <v>34</v>
      </c>
      <c r="U26" s="0" t="s">
        <v>34</v>
      </c>
      <c r="V26" s="0" t="s">
        <v>34</v>
      </c>
      <c r="W26" s="0" t="s">
        <v>34</v>
      </c>
      <c r="X26" s="0" t="s">
        <v>34</v>
      </c>
      <c r="Y26" s="0" t="s">
        <v>34</v>
      </c>
      <c r="Z26" s="0" t="s">
        <v>42</v>
      </c>
      <c r="AA26" s="0" t="s">
        <v>43</v>
      </c>
      <c r="AB26" s="0" t="s">
        <v>34</v>
      </c>
      <c r="AC26" s="0" t="s">
        <v>534</v>
      </c>
      <c r="AD26" s="0">
        <f>IF($AC26="","NEW","Live")</f>
      </c>
      <c r="AE26" s="8" t="s">
        <v>34</v>
      </c>
    </row>
    <row r="27">
      <c r="A27" s="0" t="s">
        <v>535</v>
      </c>
      <c r="B27" s="0">
        <v>1</v>
      </c>
      <c r="C27" s="0" t="s">
        <v>62</v>
      </c>
      <c r="D27" s="0" t="s">
        <v>97</v>
      </c>
      <c r="E27" s="0" t="s">
        <v>131</v>
      </c>
      <c r="F27" s="0" t="s">
        <v>34</v>
      </c>
      <c r="G27" s="8" t="s">
        <v>536</v>
      </c>
      <c r="H27" s="0" t="s">
        <v>36</v>
      </c>
      <c r="I27" s="0">
        <v>0</v>
      </c>
      <c r="J27" s="0">
        <v>0</v>
      </c>
      <c r="K27" s="0" t="s">
        <v>535</v>
      </c>
      <c r="L27" s="0" t="s">
        <v>446</v>
      </c>
      <c r="M27" s="0" t="s">
        <v>133</v>
      </c>
      <c r="N27" s="0" t="s">
        <v>454</v>
      </c>
      <c r="O27" s="0" t="s">
        <v>40</v>
      </c>
      <c r="P27" s="0" t="s">
        <v>78</v>
      </c>
      <c r="Q27" s="0" t="s">
        <v>34</v>
      </c>
      <c r="R27" s="0" t="s">
        <v>40</v>
      </c>
      <c r="S27" s="0" t="s">
        <v>78</v>
      </c>
      <c r="T27" s="0" t="s">
        <v>34</v>
      </c>
      <c r="U27" s="0" t="s">
        <v>34</v>
      </c>
      <c r="V27" s="0" t="s">
        <v>34</v>
      </c>
      <c r="W27" s="0" t="s">
        <v>34</v>
      </c>
      <c r="X27" s="0" t="s">
        <v>34</v>
      </c>
      <c r="Y27" s="0" t="s">
        <v>34</v>
      </c>
      <c r="Z27" s="0" t="s">
        <v>43</v>
      </c>
      <c r="AA27" s="0" t="s">
        <v>43</v>
      </c>
      <c r="AB27" s="0" t="s">
        <v>34</v>
      </c>
      <c r="AC27" s="0" t="s">
        <v>537</v>
      </c>
      <c r="AD27" s="0">
        <f>IF($AC27="","NEW","Live")</f>
      </c>
      <c r="AE27" s="8" t="s">
        <v>34</v>
      </c>
    </row>
    <row r="28">
      <c r="A28" s="0" t="s">
        <v>538</v>
      </c>
      <c r="B28" s="0">
        <v>1</v>
      </c>
      <c r="C28" s="0" t="s">
        <v>32</v>
      </c>
      <c r="D28" s="0" t="s">
        <v>131</v>
      </c>
      <c r="E28" s="0" t="s">
        <v>33</v>
      </c>
      <c r="F28" s="0" t="s">
        <v>34</v>
      </c>
      <c r="G28" s="8" t="s">
        <v>539</v>
      </c>
      <c r="H28" s="0" t="s">
        <v>101</v>
      </c>
      <c r="I28" s="0">
        <v>0</v>
      </c>
      <c r="J28" s="0">
        <v>4</v>
      </c>
      <c r="K28" s="0" t="s">
        <v>538</v>
      </c>
      <c r="L28" s="0" t="s">
        <v>446</v>
      </c>
      <c r="M28" s="0" t="s">
        <v>133</v>
      </c>
      <c r="N28" s="0" t="s">
        <v>34</v>
      </c>
      <c r="O28" s="0" t="s">
        <v>102</v>
      </c>
      <c r="P28" s="0" t="s">
        <v>41</v>
      </c>
      <c r="Q28" s="0" t="s">
        <v>34</v>
      </c>
      <c r="R28" s="0" t="s">
        <v>102</v>
      </c>
      <c r="S28" s="0" t="s">
        <v>41</v>
      </c>
      <c r="T28" s="0" t="s">
        <v>34</v>
      </c>
      <c r="U28" s="0" t="s">
        <v>34</v>
      </c>
      <c r="V28" s="0" t="s">
        <v>34</v>
      </c>
      <c r="W28" s="0" t="s">
        <v>34</v>
      </c>
      <c r="X28" s="0" t="s">
        <v>34</v>
      </c>
      <c r="Y28" s="0" t="s">
        <v>34</v>
      </c>
      <c r="Z28" s="0" t="s">
        <v>43</v>
      </c>
      <c r="AA28" s="0" t="s">
        <v>43</v>
      </c>
      <c r="AB28" s="0" t="s">
        <v>34</v>
      </c>
      <c r="AC28" s="0" t="s">
        <v>540</v>
      </c>
      <c r="AD28" s="0">
        <f>IF($AC28="","NEW","Live")</f>
      </c>
      <c r="AE28" s="8" t="s">
        <v>34</v>
      </c>
    </row>
    <row r="29">
      <c r="A29" s="0" t="s">
        <v>541</v>
      </c>
      <c r="B29" s="0">
        <v>1</v>
      </c>
      <c r="C29" s="0" t="s">
        <v>81</v>
      </c>
      <c r="D29" s="0" t="s">
        <v>529</v>
      </c>
      <c r="E29" s="0" t="s">
        <v>273</v>
      </c>
      <c r="F29" s="0" t="s">
        <v>34</v>
      </c>
      <c r="G29" s="8" t="s">
        <v>542</v>
      </c>
      <c r="H29" s="0" t="s">
        <v>101</v>
      </c>
      <c r="I29" s="0">
        <v>1</v>
      </c>
      <c r="J29" s="0">
        <v>4</v>
      </c>
      <c r="K29" s="0" t="s">
        <v>541</v>
      </c>
      <c r="L29" s="0" t="s">
        <v>446</v>
      </c>
      <c r="M29" s="0" t="s">
        <v>133</v>
      </c>
      <c r="N29" s="0" t="s">
        <v>139</v>
      </c>
      <c r="O29" s="0" t="s">
        <v>102</v>
      </c>
      <c r="P29" s="0" t="s">
        <v>41</v>
      </c>
      <c r="Q29" s="0" t="s">
        <v>34</v>
      </c>
      <c r="R29" s="0" t="s">
        <v>40</v>
      </c>
      <c r="S29" s="0" t="s">
        <v>41</v>
      </c>
      <c r="T29" s="0" t="s">
        <v>34</v>
      </c>
      <c r="U29" s="0" t="s">
        <v>34</v>
      </c>
      <c r="V29" s="0" t="s">
        <v>34</v>
      </c>
      <c r="W29" s="0" t="s">
        <v>34</v>
      </c>
      <c r="X29" s="0" t="s">
        <v>34</v>
      </c>
      <c r="Y29" s="0" t="s">
        <v>34</v>
      </c>
      <c r="Z29" s="0" t="s">
        <v>42</v>
      </c>
      <c r="AA29" s="0" t="s">
        <v>43</v>
      </c>
      <c r="AB29" s="0" t="s">
        <v>34</v>
      </c>
      <c r="AC29" s="0" t="s">
        <v>543</v>
      </c>
      <c r="AD29" s="0">
        <f>IF($AC29="","NEW","Live")</f>
      </c>
      <c r="AE29" s="8" t="s">
        <v>34</v>
      </c>
    </row>
    <row r="30">
      <c r="A30" s="0" t="s">
        <v>544</v>
      </c>
      <c r="B30" s="0">
        <v>1</v>
      </c>
      <c r="C30" s="0" t="s">
        <v>32</v>
      </c>
      <c r="D30" s="0" t="s">
        <v>152</v>
      </c>
      <c r="E30" s="0" t="s">
        <v>273</v>
      </c>
      <c r="F30" s="0" t="s">
        <v>34</v>
      </c>
      <c r="G30" s="8" t="s">
        <v>545</v>
      </c>
      <c r="H30" s="0" t="s">
        <v>101</v>
      </c>
      <c r="I30" s="0">
        <v>1</v>
      </c>
      <c r="J30" s="0">
        <v>4</v>
      </c>
      <c r="K30" s="0" t="s">
        <v>544</v>
      </c>
      <c r="L30" s="0" t="s">
        <v>446</v>
      </c>
      <c r="M30" s="0" t="s">
        <v>133</v>
      </c>
      <c r="N30" s="0" t="s">
        <v>139</v>
      </c>
      <c r="O30" s="0" t="s">
        <v>102</v>
      </c>
      <c r="P30" s="0" t="s">
        <v>41</v>
      </c>
      <c r="Q30" s="0" t="s">
        <v>546</v>
      </c>
      <c r="R30" s="0" t="s">
        <v>40</v>
      </c>
      <c r="S30" s="0" t="s">
        <v>41</v>
      </c>
      <c r="T30" s="0" t="s">
        <v>34</v>
      </c>
      <c r="U30" s="0" t="s">
        <v>34</v>
      </c>
      <c r="V30" s="0" t="s">
        <v>34</v>
      </c>
      <c r="W30" s="0" t="s">
        <v>34</v>
      </c>
      <c r="X30" s="0" t="s">
        <v>34</v>
      </c>
      <c r="Y30" s="0" t="s">
        <v>34</v>
      </c>
      <c r="Z30" s="0" t="s">
        <v>43</v>
      </c>
      <c r="AA30" s="0" t="s">
        <v>43</v>
      </c>
      <c r="AB30" s="0" t="s">
        <v>34</v>
      </c>
      <c r="AC30" s="0" t="s">
        <v>547</v>
      </c>
      <c r="AD30" s="0">
        <f>IF($AC30="","NEW","Live")</f>
      </c>
      <c r="AE30" s="8" t="s">
        <v>34</v>
      </c>
    </row>
    <row r="31">
      <c r="A31" s="0" t="s">
        <v>548</v>
      </c>
      <c r="B31" s="0">
        <v>2</v>
      </c>
      <c r="C31" s="0" t="s">
        <v>62</v>
      </c>
      <c r="D31" s="0" t="s">
        <v>131</v>
      </c>
      <c r="E31" s="0" t="s">
        <v>47</v>
      </c>
      <c r="F31" s="0" t="s">
        <v>34</v>
      </c>
      <c r="G31" s="8" t="s">
        <v>549</v>
      </c>
      <c r="H31" s="0" t="s">
        <v>36</v>
      </c>
      <c r="I31" s="0">
        <v>0</v>
      </c>
      <c r="J31" s="0">
        <v>0</v>
      </c>
      <c r="K31" s="0" t="s">
        <v>548</v>
      </c>
      <c r="L31" s="0" t="s">
        <v>446</v>
      </c>
      <c r="M31" s="0" t="s">
        <v>133</v>
      </c>
      <c r="N31" s="0" t="s">
        <v>39</v>
      </c>
      <c r="O31" s="0" t="s">
        <v>40</v>
      </c>
      <c r="P31" s="0" t="s">
        <v>87</v>
      </c>
      <c r="Q31" s="0" t="s">
        <v>34</v>
      </c>
      <c r="R31" s="0" t="s">
        <v>40</v>
      </c>
      <c r="S31" s="0" t="s">
        <v>41</v>
      </c>
      <c r="T31" s="0" t="s">
        <v>34</v>
      </c>
      <c r="U31" s="0" t="s">
        <v>34</v>
      </c>
      <c r="V31" s="0" t="s">
        <v>34</v>
      </c>
      <c r="W31" s="0" t="s">
        <v>34</v>
      </c>
      <c r="X31" s="0" t="s">
        <v>50</v>
      </c>
      <c r="Y31" s="0" t="s">
        <v>34</v>
      </c>
      <c r="Z31" s="0" t="s">
        <v>43</v>
      </c>
      <c r="AA31" s="0" t="s">
        <v>43</v>
      </c>
      <c r="AB31" s="0" t="s">
        <v>34</v>
      </c>
      <c r="AC31" s="0" t="s">
        <v>550</v>
      </c>
      <c r="AD31" s="0">
        <f>IF($AC31="","NEW","Live")</f>
      </c>
      <c r="AE31" s="8" t="s">
        <v>34</v>
      </c>
    </row>
    <row r="32">
      <c r="A32" s="0" t="s">
        <v>551</v>
      </c>
      <c r="B32" s="0">
        <v>2</v>
      </c>
      <c r="C32" s="0" t="s">
        <v>32</v>
      </c>
      <c r="D32" s="0" t="s">
        <v>131</v>
      </c>
      <c r="E32" s="0" t="s">
        <v>122</v>
      </c>
      <c r="F32" s="0" t="s">
        <v>34</v>
      </c>
      <c r="G32" s="8" t="s">
        <v>552</v>
      </c>
      <c r="H32" s="0" t="s">
        <v>101</v>
      </c>
      <c r="I32" s="0">
        <v>0</v>
      </c>
      <c r="J32" s="0">
        <v>4</v>
      </c>
      <c r="K32" s="0" t="s">
        <v>551</v>
      </c>
      <c r="L32" s="0" t="s">
        <v>446</v>
      </c>
      <c r="M32" s="0" t="s">
        <v>133</v>
      </c>
      <c r="N32" s="0" t="s">
        <v>34</v>
      </c>
      <c r="O32" s="0" t="s">
        <v>102</v>
      </c>
      <c r="P32" s="0" t="s">
        <v>41</v>
      </c>
      <c r="Q32" s="0" t="s">
        <v>34</v>
      </c>
      <c r="R32" s="0" t="s">
        <v>102</v>
      </c>
      <c r="S32" s="0" t="s">
        <v>41</v>
      </c>
      <c r="T32" s="0" t="s">
        <v>34</v>
      </c>
      <c r="U32" s="0" t="s">
        <v>34</v>
      </c>
      <c r="V32" s="0" t="s">
        <v>34</v>
      </c>
      <c r="W32" s="0" t="s">
        <v>34</v>
      </c>
      <c r="X32" s="0" t="s">
        <v>34</v>
      </c>
      <c r="Y32" s="0" t="s">
        <v>34</v>
      </c>
      <c r="Z32" s="0" t="s">
        <v>43</v>
      </c>
      <c r="AA32" s="0" t="s">
        <v>43</v>
      </c>
      <c r="AB32" s="0" t="s">
        <v>34</v>
      </c>
      <c r="AC32" s="0" t="s">
        <v>553</v>
      </c>
      <c r="AD32" s="0">
        <f>IF($AC32="","NEW","Live")</f>
      </c>
      <c r="AE32" s="8" t="s">
        <v>34</v>
      </c>
    </row>
    <row r="33">
      <c r="A33" s="0" t="s">
        <v>554</v>
      </c>
      <c r="B33" s="0">
        <v>2</v>
      </c>
      <c r="C33" s="0" t="s">
        <v>32</v>
      </c>
      <c r="D33" s="0" t="s">
        <v>131</v>
      </c>
      <c r="E33" s="0" t="s">
        <v>33</v>
      </c>
      <c r="F33" s="0" t="s">
        <v>34</v>
      </c>
      <c r="G33" s="8" t="s">
        <v>555</v>
      </c>
      <c r="H33" s="0" t="s">
        <v>101</v>
      </c>
      <c r="I33" s="0">
        <v>0</v>
      </c>
      <c r="J33" s="0">
        <v>4</v>
      </c>
      <c r="K33" s="0" t="s">
        <v>554</v>
      </c>
      <c r="L33" s="0" t="s">
        <v>446</v>
      </c>
      <c r="M33" s="0" t="s">
        <v>133</v>
      </c>
      <c r="N33" s="0" t="s">
        <v>34</v>
      </c>
      <c r="O33" s="0" t="s">
        <v>102</v>
      </c>
      <c r="P33" s="0" t="s">
        <v>41</v>
      </c>
      <c r="Q33" s="0" t="s">
        <v>34</v>
      </c>
      <c r="R33" s="0" t="s">
        <v>102</v>
      </c>
      <c r="S33" s="0" t="s">
        <v>41</v>
      </c>
      <c r="T33" s="0" t="s">
        <v>34</v>
      </c>
      <c r="U33" s="0" t="s">
        <v>34</v>
      </c>
      <c r="V33" s="0" t="s">
        <v>34</v>
      </c>
      <c r="W33" s="0" t="s">
        <v>34</v>
      </c>
      <c r="X33" s="0" t="s">
        <v>34</v>
      </c>
      <c r="Y33" s="0" t="s">
        <v>34</v>
      </c>
      <c r="Z33" s="0" t="s">
        <v>42</v>
      </c>
      <c r="AA33" s="0" t="s">
        <v>43</v>
      </c>
      <c r="AB33" s="0" t="s">
        <v>34</v>
      </c>
      <c r="AC33" s="0" t="s">
        <v>556</v>
      </c>
      <c r="AD33" s="0">
        <f>IF($AC33="","NEW","Live")</f>
      </c>
      <c r="AE33" s="8" t="s">
        <v>34</v>
      </c>
    </row>
    <row r="34">
      <c r="A34" s="0" t="s">
        <v>557</v>
      </c>
      <c r="B34" s="0">
        <v>2</v>
      </c>
      <c r="C34" s="0" t="s">
        <v>32</v>
      </c>
      <c r="D34" s="0" t="s">
        <v>513</v>
      </c>
      <c r="E34" s="0" t="s">
        <v>34</v>
      </c>
      <c r="F34" s="0" t="s">
        <v>34</v>
      </c>
      <c r="G34" s="8" t="s">
        <v>514</v>
      </c>
      <c r="H34" s="0" t="s">
        <v>101</v>
      </c>
      <c r="I34" s="0">
        <v>0</v>
      </c>
      <c r="J34" s="0">
        <v>4</v>
      </c>
      <c r="K34" s="0" t="s">
        <v>557</v>
      </c>
      <c r="L34" s="0" t="s">
        <v>446</v>
      </c>
      <c r="M34" s="0" t="s">
        <v>133</v>
      </c>
      <c r="N34" s="0" t="s">
        <v>34</v>
      </c>
      <c r="O34" s="0" t="s">
        <v>102</v>
      </c>
      <c r="P34" s="0" t="s">
        <v>41</v>
      </c>
      <c r="Q34" s="0" t="s">
        <v>34</v>
      </c>
      <c r="R34" s="0" t="s">
        <v>34</v>
      </c>
      <c r="S34" s="0" t="s">
        <v>34</v>
      </c>
      <c r="T34" s="0" t="s">
        <v>34</v>
      </c>
      <c r="U34" s="0" t="s">
        <v>34</v>
      </c>
      <c r="V34" s="0" t="s">
        <v>34</v>
      </c>
      <c r="W34" s="0" t="s">
        <v>34</v>
      </c>
      <c r="X34" s="0" t="s">
        <v>34</v>
      </c>
      <c r="Y34" s="0" t="s">
        <v>34</v>
      </c>
      <c r="Z34" s="0" t="s">
        <v>42</v>
      </c>
      <c r="AA34" s="0" t="s">
        <v>43</v>
      </c>
      <c r="AB34" s="0" t="s">
        <v>34</v>
      </c>
      <c r="AC34" s="0" t="s">
        <v>558</v>
      </c>
      <c r="AD34" s="0">
        <f>IF($AC34="","NEW","Live")</f>
      </c>
      <c r="AE34" s="8" t="s">
        <v>34</v>
      </c>
    </row>
    <row r="35">
      <c r="A35" s="0" t="s">
        <v>559</v>
      </c>
      <c r="B35" s="0">
        <v>2</v>
      </c>
      <c r="C35" s="0" t="s">
        <v>62</v>
      </c>
      <c r="D35" s="0" t="s">
        <v>560</v>
      </c>
      <c r="E35" s="0" t="s">
        <v>47</v>
      </c>
      <c r="F35" s="0" t="s">
        <v>34</v>
      </c>
      <c r="G35" s="8" t="s">
        <v>561</v>
      </c>
      <c r="H35" s="0" t="s">
        <v>101</v>
      </c>
      <c r="I35" s="0">
        <v>0</v>
      </c>
      <c r="J35" s="0">
        <v>4</v>
      </c>
      <c r="K35" s="0" t="s">
        <v>559</v>
      </c>
      <c r="L35" s="0" t="s">
        <v>446</v>
      </c>
      <c r="M35" s="0" t="s">
        <v>133</v>
      </c>
      <c r="N35" s="0" t="s">
        <v>454</v>
      </c>
      <c r="O35" s="0" t="s">
        <v>102</v>
      </c>
      <c r="P35" s="0" t="s">
        <v>41</v>
      </c>
      <c r="Q35" s="0" t="s">
        <v>34</v>
      </c>
      <c r="R35" s="0" t="s">
        <v>40</v>
      </c>
      <c r="S35" s="0" t="s">
        <v>41</v>
      </c>
      <c r="T35" s="0" t="s">
        <v>34</v>
      </c>
      <c r="U35" s="0" t="s">
        <v>34</v>
      </c>
      <c r="V35" s="0" t="s">
        <v>34</v>
      </c>
      <c r="W35" s="0" t="s">
        <v>34</v>
      </c>
      <c r="X35" s="0" t="s">
        <v>510</v>
      </c>
      <c r="Y35" s="0" t="s">
        <v>34</v>
      </c>
      <c r="Z35" s="0" t="s">
        <v>43</v>
      </c>
      <c r="AA35" s="0" t="s">
        <v>43</v>
      </c>
      <c r="AB35" s="0" t="s">
        <v>34</v>
      </c>
      <c r="AC35" s="0" t="s">
        <v>562</v>
      </c>
      <c r="AD35" s="0">
        <f>IF($AC35="","NEW","Live")</f>
      </c>
      <c r="AE35" s="8" t="s">
        <v>34</v>
      </c>
    </row>
    <row r="36">
      <c r="A36" s="0" t="s">
        <v>563</v>
      </c>
      <c r="B36" s="0">
        <v>1</v>
      </c>
      <c r="C36" s="0" t="s">
        <v>62</v>
      </c>
      <c r="D36" s="0" t="s">
        <v>564</v>
      </c>
      <c r="E36" s="0" t="s">
        <v>34</v>
      </c>
      <c r="F36" s="0" t="s">
        <v>34</v>
      </c>
      <c r="G36" s="8" t="s">
        <v>565</v>
      </c>
      <c r="H36" s="0" t="s">
        <v>101</v>
      </c>
      <c r="I36" s="0">
        <v>1</v>
      </c>
      <c r="J36" s="0">
        <v>3</v>
      </c>
      <c r="K36" s="0" t="s">
        <v>563</v>
      </c>
      <c r="L36" s="0" t="s">
        <v>446</v>
      </c>
      <c r="M36" s="0" t="s">
        <v>199</v>
      </c>
      <c r="N36" s="0" t="s">
        <v>34</v>
      </c>
      <c r="O36" s="0" t="s">
        <v>102</v>
      </c>
      <c r="P36" s="0" t="s">
        <v>41</v>
      </c>
      <c r="Q36" s="0" t="s">
        <v>34</v>
      </c>
      <c r="R36" s="0" t="s">
        <v>34</v>
      </c>
      <c r="S36" s="0" t="s">
        <v>34</v>
      </c>
      <c r="T36" s="0" t="s">
        <v>34</v>
      </c>
      <c r="U36" s="0" t="s">
        <v>34</v>
      </c>
      <c r="V36" s="0" t="s">
        <v>34</v>
      </c>
      <c r="W36" s="0" t="s">
        <v>34</v>
      </c>
      <c r="X36" s="0" t="s">
        <v>34</v>
      </c>
      <c r="Y36" s="0" t="s">
        <v>34</v>
      </c>
      <c r="Z36" s="0" t="s">
        <v>43</v>
      </c>
      <c r="AA36" s="0" t="s">
        <v>43</v>
      </c>
      <c r="AB36" s="0" t="s">
        <v>34</v>
      </c>
      <c r="AC36" s="0" t="s">
        <v>566</v>
      </c>
      <c r="AD36" s="0">
        <f>IF($AC36="","NEW","Live")</f>
      </c>
      <c r="AE36" s="8" t="s">
        <v>34</v>
      </c>
    </row>
    <row r="37">
      <c r="A37" s="0" t="s">
        <v>567</v>
      </c>
      <c r="B37" s="0">
        <v>1</v>
      </c>
      <c r="C37" s="0" t="s">
        <v>32</v>
      </c>
      <c r="D37" s="0" t="s">
        <v>568</v>
      </c>
      <c r="E37" s="0" t="s">
        <v>34</v>
      </c>
      <c r="F37" s="0" t="s">
        <v>34</v>
      </c>
      <c r="G37" s="8" t="s">
        <v>569</v>
      </c>
      <c r="H37" s="0" t="s">
        <v>101</v>
      </c>
      <c r="I37" s="0">
        <v>1</v>
      </c>
      <c r="J37" s="0">
        <v>3</v>
      </c>
      <c r="K37" s="0" t="s">
        <v>567</v>
      </c>
      <c r="L37" s="0" t="s">
        <v>446</v>
      </c>
      <c r="M37" s="0" t="s">
        <v>199</v>
      </c>
      <c r="N37" s="0" t="s">
        <v>34</v>
      </c>
      <c r="O37" s="0" t="s">
        <v>102</v>
      </c>
      <c r="P37" s="0" t="s">
        <v>41</v>
      </c>
      <c r="Q37" s="0" t="s">
        <v>34</v>
      </c>
      <c r="R37" s="0" t="s">
        <v>34</v>
      </c>
      <c r="S37" s="0" t="s">
        <v>34</v>
      </c>
      <c r="T37" s="0" t="s">
        <v>34</v>
      </c>
      <c r="U37" s="0" t="s">
        <v>34</v>
      </c>
      <c r="V37" s="0" t="s">
        <v>34</v>
      </c>
      <c r="W37" s="0" t="s">
        <v>34</v>
      </c>
      <c r="X37" s="0" t="s">
        <v>34</v>
      </c>
      <c r="Y37" s="0" t="s">
        <v>34</v>
      </c>
      <c r="Z37" s="0" t="s">
        <v>43</v>
      </c>
      <c r="AA37" s="0" t="s">
        <v>43</v>
      </c>
      <c r="AB37" s="0" t="s">
        <v>34</v>
      </c>
      <c r="AC37" s="0" t="s">
        <v>570</v>
      </c>
      <c r="AD37" s="0">
        <f>IF($AC37="","NEW","Live")</f>
      </c>
      <c r="AE37" s="8" t="s">
        <v>34</v>
      </c>
    </row>
    <row r="38">
      <c r="A38" s="0" t="s">
        <v>571</v>
      </c>
      <c r="B38" s="0">
        <v>1</v>
      </c>
      <c r="C38" s="0" t="s">
        <v>32</v>
      </c>
      <c r="D38" s="0" t="s">
        <v>572</v>
      </c>
      <c r="E38" s="0" t="s">
        <v>34</v>
      </c>
      <c r="F38" s="0" t="s">
        <v>34</v>
      </c>
      <c r="G38" s="8" t="s">
        <v>573</v>
      </c>
      <c r="H38" s="0" t="s">
        <v>101</v>
      </c>
      <c r="I38" s="0">
        <v>1</v>
      </c>
      <c r="J38" s="0">
        <v>2</v>
      </c>
      <c r="K38" s="0" t="s">
        <v>571</v>
      </c>
      <c r="L38" s="0" t="s">
        <v>446</v>
      </c>
      <c r="M38" s="0" t="s">
        <v>199</v>
      </c>
      <c r="N38" s="0" t="s">
        <v>34</v>
      </c>
      <c r="O38" s="0" t="s">
        <v>102</v>
      </c>
      <c r="P38" s="0" t="s">
        <v>41</v>
      </c>
      <c r="Q38" s="0" t="s">
        <v>34</v>
      </c>
      <c r="R38" s="0" t="s">
        <v>34</v>
      </c>
      <c r="S38" s="0" t="s">
        <v>34</v>
      </c>
      <c r="T38" s="0" t="s">
        <v>34</v>
      </c>
      <c r="U38" s="0" t="s">
        <v>34</v>
      </c>
      <c r="V38" s="0" t="s">
        <v>34</v>
      </c>
      <c r="W38" s="0" t="s">
        <v>34</v>
      </c>
      <c r="X38" s="0" t="s">
        <v>34</v>
      </c>
      <c r="Y38" s="0" t="s">
        <v>34</v>
      </c>
      <c r="Z38" s="0" t="s">
        <v>42</v>
      </c>
      <c r="AA38" s="0" t="s">
        <v>43</v>
      </c>
      <c r="AB38" s="0" t="s">
        <v>34</v>
      </c>
      <c r="AC38" s="0" t="s">
        <v>574</v>
      </c>
      <c r="AD38" s="0">
        <f>IF($AC38="","NEW","Live")</f>
      </c>
      <c r="AE38" s="8" t="s">
        <v>34</v>
      </c>
    </row>
    <row r="39">
      <c r="A39" s="0" t="s">
        <v>575</v>
      </c>
      <c r="B39" s="0">
        <v>1</v>
      </c>
      <c r="C39" s="0" t="s">
        <v>32</v>
      </c>
      <c r="D39" s="0" t="s">
        <v>576</v>
      </c>
      <c r="E39" s="0" t="s">
        <v>34</v>
      </c>
      <c r="F39" s="0" t="s">
        <v>34</v>
      </c>
      <c r="G39" s="8" t="s">
        <v>577</v>
      </c>
      <c r="H39" s="0" t="s">
        <v>101</v>
      </c>
      <c r="I39" s="0">
        <v>1</v>
      </c>
      <c r="J39" s="0">
        <v>3</v>
      </c>
      <c r="K39" s="0" t="s">
        <v>575</v>
      </c>
      <c r="L39" s="0" t="s">
        <v>446</v>
      </c>
      <c r="M39" s="0" t="s">
        <v>199</v>
      </c>
      <c r="N39" s="0" t="s">
        <v>34</v>
      </c>
      <c r="O39" s="0" t="s">
        <v>102</v>
      </c>
      <c r="P39" s="0" t="s">
        <v>41</v>
      </c>
      <c r="Q39" s="0" t="s">
        <v>34</v>
      </c>
      <c r="R39" s="0" t="s">
        <v>34</v>
      </c>
      <c r="S39" s="0" t="s">
        <v>34</v>
      </c>
      <c r="T39" s="0" t="s">
        <v>34</v>
      </c>
      <c r="U39" s="0" t="s">
        <v>34</v>
      </c>
      <c r="V39" s="0" t="s">
        <v>34</v>
      </c>
      <c r="W39" s="0" t="s">
        <v>34</v>
      </c>
      <c r="X39" s="0" t="s">
        <v>34</v>
      </c>
      <c r="Y39" s="0" t="s">
        <v>34</v>
      </c>
      <c r="Z39" s="0" t="s">
        <v>43</v>
      </c>
      <c r="AA39" s="0" t="s">
        <v>43</v>
      </c>
      <c r="AB39" s="0" t="s">
        <v>34</v>
      </c>
      <c r="AC39" s="0" t="s">
        <v>578</v>
      </c>
      <c r="AD39" s="0">
        <f>IF($AC39="","NEW","Live")</f>
      </c>
      <c r="AE39" s="8" t="s">
        <v>34</v>
      </c>
    </row>
    <row r="40">
      <c r="A40" s="0" t="s">
        <v>579</v>
      </c>
      <c r="B40" s="0">
        <v>1</v>
      </c>
      <c r="C40" s="0" t="s">
        <v>32</v>
      </c>
      <c r="D40" s="0" t="s">
        <v>580</v>
      </c>
      <c r="E40" s="0" t="s">
        <v>34</v>
      </c>
      <c r="F40" s="0" t="s">
        <v>34</v>
      </c>
      <c r="G40" s="8" t="s">
        <v>581</v>
      </c>
      <c r="H40" s="0" t="s">
        <v>101</v>
      </c>
      <c r="I40" s="0">
        <v>1</v>
      </c>
      <c r="J40" s="0">
        <v>3</v>
      </c>
      <c r="K40" s="0" t="s">
        <v>579</v>
      </c>
      <c r="L40" s="0" t="s">
        <v>446</v>
      </c>
      <c r="M40" s="0" t="s">
        <v>199</v>
      </c>
      <c r="N40" s="0" t="s">
        <v>34</v>
      </c>
      <c r="O40" s="0" t="s">
        <v>102</v>
      </c>
      <c r="P40" s="0" t="s">
        <v>41</v>
      </c>
      <c r="Q40" s="0" t="s">
        <v>34</v>
      </c>
      <c r="R40" s="0" t="s">
        <v>34</v>
      </c>
      <c r="S40" s="0" t="s">
        <v>34</v>
      </c>
      <c r="T40" s="0" t="s">
        <v>34</v>
      </c>
      <c r="U40" s="0" t="s">
        <v>34</v>
      </c>
      <c r="V40" s="0" t="s">
        <v>34</v>
      </c>
      <c r="W40" s="0" t="s">
        <v>34</v>
      </c>
      <c r="X40" s="0" t="s">
        <v>34</v>
      </c>
      <c r="Y40" s="0" t="s">
        <v>34</v>
      </c>
      <c r="Z40" s="0" t="s">
        <v>43</v>
      </c>
      <c r="AA40" s="0" t="s">
        <v>43</v>
      </c>
      <c r="AB40" s="0" t="s">
        <v>34</v>
      </c>
      <c r="AC40" s="0" t="s">
        <v>582</v>
      </c>
      <c r="AD40" s="0">
        <f>IF($AC40="","NEW","Live")</f>
      </c>
      <c r="AE40" s="8" t="s">
        <v>34</v>
      </c>
    </row>
    <row r="41">
      <c r="A41" s="0" t="s">
        <v>583</v>
      </c>
      <c r="B41" s="0">
        <v>1</v>
      </c>
      <c r="C41" s="0" t="s">
        <v>32</v>
      </c>
      <c r="D41" s="0" t="s">
        <v>584</v>
      </c>
      <c r="E41" s="0" t="s">
        <v>34</v>
      </c>
      <c r="F41" s="0" t="s">
        <v>34</v>
      </c>
      <c r="G41" s="8" t="s">
        <v>585</v>
      </c>
      <c r="H41" s="0" t="s">
        <v>101</v>
      </c>
      <c r="I41" s="0">
        <v>1</v>
      </c>
      <c r="J41" s="0">
        <v>3</v>
      </c>
      <c r="K41" s="0" t="s">
        <v>583</v>
      </c>
      <c r="L41" s="0" t="s">
        <v>446</v>
      </c>
      <c r="M41" s="0" t="s">
        <v>199</v>
      </c>
      <c r="N41" s="0" t="s">
        <v>34</v>
      </c>
      <c r="O41" s="0" t="s">
        <v>102</v>
      </c>
      <c r="P41" s="0" t="s">
        <v>41</v>
      </c>
      <c r="Q41" s="0" t="s">
        <v>34</v>
      </c>
      <c r="R41" s="0" t="s">
        <v>34</v>
      </c>
      <c r="S41" s="0" t="s">
        <v>34</v>
      </c>
      <c r="T41" s="0" t="s">
        <v>34</v>
      </c>
      <c r="U41" s="0" t="s">
        <v>34</v>
      </c>
      <c r="V41" s="0" t="s">
        <v>34</v>
      </c>
      <c r="W41" s="0" t="s">
        <v>34</v>
      </c>
      <c r="X41" s="0" t="s">
        <v>34</v>
      </c>
      <c r="Y41" s="0" t="s">
        <v>34</v>
      </c>
      <c r="Z41" s="0" t="s">
        <v>43</v>
      </c>
      <c r="AA41" s="0" t="s">
        <v>43</v>
      </c>
      <c r="AB41" s="0" t="s">
        <v>34</v>
      </c>
      <c r="AC41" s="0" t="s">
        <v>586</v>
      </c>
      <c r="AD41" s="0">
        <f>IF($AC41="","NEW","Live")</f>
      </c>
      <c r="AE41" s="8" t="s">
        <v>34</v>
      </c>
    </row>
    <row r="42">
      <c r="A42" s="0" t="s">
        <v>587</v>
      </c>
      <c r="B42" s="0">
        <v>1</v>
      </c>
      <c r="C42" s="0" t="s">
        <v>62</v>
      </c>
      <c r="D42" s="0" t="s">
        <v>588</v>
      </c>
      <c r="E42" s="0" t="s">
        <v>34</v>
      </c>
      <c r="F42" s="0" t="s">
        <v>34</v>
      </c>
      <c r="G42" s="8" t="s">
        <v>589</v>
      </c>
      <c r="H42" s="0" t="s">
        <v>101</v>
      </c>
      <c r="I42" s="0">
        <v>1</v>
      </c>
      <c r="J42" s="0">
        <v>3</v>
      </c>
      <c r="K42" s="0" t="s">
        <v>587</v>
      </c>
      <c r="L42" s="0" t="s">
        <v>446</v>
      </c>
      <c r="M42" s="0" t="s">
        <v>199</v>
      </c>
      <c r="N42" s="0" t="s">
        <v>34</v>
      </c>
      <c r="O42" s="0" t="s">
        <v>102</v>
      </c>
      <c r="P42" s="0" t="s">
        <v>41</v>
      </c>
      <c r="Q42" s="0" t="s">
        <v>34</v>
      </c>
      <c r="R42" s="0" t="s">
        <v>34</v>
      </c>
      <c r="S42" s="0" t="s">
        <v>34</v>
      </c>
      <c r="T42" s="0" t="s">
        <v>34</v>
      </c>
      <c r="U42" s="0" t="s">
        <v>34</v>
      </c>
      <c r="V42" s="0" t="s">
        <v>34</v>
      </c>
      <c r="W42" s="0" t="s">
        <v>34</v>
      </c>
      <c r="X42" s="0" t="s">
        <v>34</v>
      </c>
      <c r="Y42" s="0" t="s">
        <v>34</v>
      </c>
      <c r="Z42" s="0" t="s">
        <v>42</v>
      </c>
      <c r="AA42" s="0" t="s">
        <v>43</v>
      </c>
      <c r="AB42" s="0" t="s">
        <v>34</v>
      </c>
      <c r="AC42" s="0" t="s">
        <v>590</v>
      </c>
      <c r="AD42" s="0">
        <f>IF($AC42="","NEW","Live")</f>
      </c>
      <c r="AE42" s="8" t="s">
        <v>34</v>
      </c>
    </row>
    <row r="43">
      <c r="A43" s="0" t="s">
        <v>591</v>
      </c>
      <c r="B43" s="0">
        <v>1</v>
      </c>
      <c r="C43" s="0" t="s">
        <v>62</v>
      </c>
      <c r="D43" s="0" t="s">
        <v>592</v>
      </c>
      <c r="E43" s="0" t="s">
        <v>34</v>
      </c>
      <c r="F43" s="0" t="s">
        <v>34</v>
      </c>
      <c r="G43" s="8" t="s">
        <v>593</v>
      </c>
      <c r="H43" s="0" t="s">
        <v>101</v>
      </c>
      <c r="I43" s="0">
        <v>1</v>
      </c>
      <c r="J43" s="0">
        <v>3</v>
      </c>
      <c r="K43" s="0" t="s">
        <v>591</v>
      </c>
      <c r="L43" s="0" t="s">
        <v>446</v>
      </c>
      <c r="M43" s="0" t="s">
        <v>199</v>
      </c>
      <c r="N43" s="0" t="s">
        <v>34</v>
      </c>
      <c r="O43" s="0" t="s">
        <v>102</v>
      </c>
      <c r="P43" s="0" t="s">
        <v>41</v>
      </c>
      <c r="Q43" s="0" t="s">
        <v>34</v>
      </c>
      <c r="R43" s="0" t="s">
        <v>34</v>
      </c>
      <c r="S43" s="0" t="s">
        <v>34</v>
      </c>
      <c r="T43" s="0" t="s">
        <v>34</v>
      </c>
      <c r="U43" s="0" t="s">
        <v>34</v>
      </c>
      <c r="V43" s="0" t="s">
        <v>34</v>
      </c>
      <c r="W43" s="0" t="s">
        <v>34</v>
      </c>
      <c r="X43" s="0" t="s">
        <v>34</v>
      </c>
      <c r="Y43" s="0" t="s">
        <v>34</v>
      </c>
      <c r="Z43" s="0" t="s">
        <v>43</v>
      </c>
      <c r="AA43" s="0" t="s">
        <v>43</v>
      </c>
      <c r="AB43" s="0" t="s">
        <v>34</v>
      </c>
      <c r="AC43" s="0" t="s">
        <v>594</v>
      </c>
      <c r="AD43" s="0">
        <f>IF($AC43="","NEW","Live")</f>
      </c>
      <c r="AE43" s="8" t="s">
        <v>34</v>
      </c>
    </row>
    <row r="44">
      <c r="A44" s="0" t="s">
        <v>595</v>
      </c>
      <c r="B44" s="0">
        <v>2</v>
      </c>
      <c r="C44" s="0" t="s">
        <v>32</v>
      </c>
      <c r="D44" s="0" t="s">
        <v>596</v>
      </c>
      <c r="E44" s="0" t="s">
        <v>34</v>
      </c>
      <c r="F44" s="0" t="s">
        <v>34</v>
      </c>
      <c r="G44" s="8" t="s">
        <v>597</v>
      </c>
      <c r="H44" s="0" t="s">
        <v>101</v>
      </c>
      <c r="I44" s="0">
        <v>1</v>
      </c>
      <c r="J44" s="0">
        <v>3</v>
      </c>
      <c r="K44" s="0" t="s">
        <v>595</v>
      </c>
      <c r="L44" s="0" t="s">
        <v>446</v>
      </c>
      <c r="M44" s="0" t="s">
        <v>199</v>
      </c>
      <c r="N44" s="0" t="s">
        <v>34</v>
      </c>
      <c r="O44" s="0" t="s">
        <v>102</v>
      </c>
      <c r="P44" s="0" t="s">
        <v>41</v>
      </c>
      <c r="Q44" s="0" t="s">
        <v>34</v>
      </c>
      <c r="R44" s="0" t="s">
        <v>34</v>
      </c>
      <c r="S44" s="0" t="s">
        <v>34</v>
      </c>
      <c r="T44" s="0" t="s">
        <v>34</v>
      </c>
      <c r="U44" s="0" t="s">
        <v>34</v>
      </c>
      <c r="V44" s="0" t="s">
        <v>34</v>
      </c>
      <c r="W44" s="0" t="s">
        <v>34</v>
      </c>
      <c r="X44" s="0" t="s">
        <v>34</v>
      </c>
      <c r="Y44" s="0" t="s">
        <v>34</v>
      </c>
      <c r="Z44" s="0" t="s">
        <v>43</v>
      </c>
      <c r="AA44" s="0" t="s">
        <v>43</v>
      </c>
      <c r="AB44" s="0" t="s">
        <v>34</v>
      </c>
      <c r="AC44" s="0" t="s">
        <v>598</v>
      </c>
      <c r="AD44" s="0">
        <f>IF($AC44="","NEW","Live")</f>
      </c>
      <c r="AE44" s="8" t="s">
        <v>34</v>
      </c>
    </row>
    <row r="45">
      <c r="A45" s="0" t="s">
        <v>599</v>
      </c>
      <c r="B45" s="0">
        <v>2</v>
      </c>
      <c r="C45" s="0" t="s">
        <v>32</v>
      </c>
      <c r="D45" s="0" t="s">
        <v>600</v>
      </c>
      <c r="E45" s="0" t="s">
        <v>34</v>
      </c>
      <c r="F45" s="0" t="s">
        <v>34</v>
      </c>
      <c r="G45" s="8" t="s">
        <v>601</v>
      </c>
      <c r="H45" s="0" t="s">
        <v>101</v>
      </c>
      <c r="I45" s="0">
        <v>1</v>
      </c>
      <c r="J45" s="0">
        <v>3</v>
      </c>
      <c r="K45" s="0" t="s">
        <v>599</v>
      </c>
      <c r="L45" s="0" t="s">
        <v>446</v>
      </c>
      <c r="M45" s="0" t="s">
        <v>199</v>
      </c>
      <c r="N45" s="0" t="s">
        <v>34</v>
      </c>
      <c r="O45" s="0" t="s">
        <v>102</v>
      </c>
      <c r="P45" s="0" t="s">
        <v>41</v>
      </c>
      <c r="Q45" s="0" t="s">
        <v>34</v>
      </c>
      <c r="R45" s="0" t="s">
        <v>34</v>
      </c>
      <c r="S45" s="0" t="s">
        <v>34</v>
      </c>
      <c r="T45" s="0" t="s">
        <v>34</v>
      </c>
      <c r="U45" s="0" t="s">
        <v>34</v>
      </c>
      <c r="V45" s="0" t="s">
        <v>34</v>
      </c>
      <c r="W45" s="0" t="s">
        <v>34</v>
      </c>
      <c r="X45" s="0" t="s">
        <v>34</v>
      </c>
      <c r="Y45" s="0" t="s">
        <v>34</v>
      </c>
      <c r="Z45" s="0" t="s">
        <v>43</v>
      </c>
      <c r="AA45" s="0" t="s">
        <v>43</v>
      </c>
      <c r="AB45" s="0" t="s">
        <v>34</v>
      </c>
      <c r="AC45" s="0" t="s">
        <v>602</v>
      </c>
      <c r="AD45" s="0">
        <f>IF($AC45="","NEW","Live")</f>
      </c>
      <c r="AE45" s="8" t="s">
        <v>34</v>
      </c>
    </row>
    <row r="46">
      <c r="A46" s="0" t="s">
        <v>603</v>
      </c>
      <c r="B46" s="0">
        <v>2</v>
      </c>
      <c r="C46" s="0" t="s">
        <v>62</v>
      </c>
      <c r="D46" s="0" t="s">
        <v>604</v>
      </c>
      <c r="E46" s="0" t="s">
        <v>34</v>
      </c>
      <c r="F46" s="0" t="s">
        <v>34</v>
      </c>
      <c r="G46" s="8" t="s">
        <v>605</v>
      </c>
      <c r="H46" s="0" t="s">
        <v>101</v>
      </c>
      <c r="I46" s="0">
        <v>1</v>
      </c>
      <c r="J46" s="0">
        <v>3</v>
      </c>
      <c r="K46" s="0" t="s">
        <v>603</v>
      </c>
      <c r="L46" s="0" t="s">
        <v>446</v>
      </c>
      <c r="M46" s="0" t="s">
        <v>199</v>
      </c>
      <c r="N46" s="0" t="s">
        <v>34</v>
      </c>
      <c r="O46" s="0" t="s">
        <v>102</v>
      </c>
      <c r="P46" s="0" t="s">
        <v>41</v>
      </c>
      <c r="Q46" s="0" t="s">
        <v>34</v>
      </c>
      <c r="R46" s="0" t="s">
        <v>34</v>
      </c>
      <c r="S46" s="0" t="s">
        <v>34</v>
      </c>
      <c r="T46" s="0" t="s">
        <v>34</v>
      </c>
      <c r="U46" s="0" t="s">
        <v>34</v>
      </c>
      <c r="V46" s="0" t="s">
        <v>34</v>
      </c>
      <c r="W46" s="0" t="s">
        <v>34</v>
      </c>
      <c r="X46" s="0" t="s">
        <v>34</v>
      </c>
      <c r="Y46" s="0" t="s">
        <v>34</v>
      </c>
      <c r="Z46" s="0" t="s">
        <v>43</v>
      </c>
      <c r="AA46" s="0" t="s">
        <v>43</v>
      </c>
      <c r="AB46" s="0" t="s">
        <v>34</v>
      </c>
      <c r="AC46" s="0" t="s">
        <v>606</v>
      </c>
      <c r="AD46" s="0">
        <f>IF($AC46="","NEW","Live")</f>
      </c>
      <c r="AE46" s="8" t="s">
        <v>34</v>
      </c>
    </row>
    <row r="47">
      <c r="A47" s="0" t="s">
        <v>607</v>
      </c>
      <c r="B47" s="0">
        <v>2</v>
      </c>
      <c r="C47" s="0" t="s">
        <v>32</v>
      </c>
      <c r="D47" s="0" t="s">
        <v>608</v>
      </c>
      <c r="E47" s="0" t="s">
        <v>34</v>
      </c>
      <c r="F47" s="0" t="s">
        <v>34</v>
      </c>
      <c r="G47" s="8" t="s">
        <v>609</v>
      </c>
      <c r="H47" s="0" t="s">
        <v>101</v>
      </c>
      <c r="I47" s="0">
        <v>1</v>
      </c>
      <c r="J47" s="0">
        <v>3</v>
      </c>
      <c r="K47" s="0" t="s">
        <v>607</v>
      </c>
      <c r="L47" s="0" t="s">
        <v>446</v>
      </c>
      <c r="M47" s="0" t="s">
        <v>199</v>
      </c>
      <c r="N47" s="0" t="s">
        <v>34</v>
      </c>
      <c r="O47" s="0" t="s">
        <v>102</v>
      </c>
      <c r="P47" s="0" t="s">
        <v>41</v>
      </c>
      <c r="Q47" s="0" t="s">
        <v>34</v>
      </c>
      <c r="R47" s="0" t="s">
        <v>34</v>
      </c>
      <c r="S47" s="0" t="s">
        <v>34</v>
      </c>
      <c r="T47" s="0" t="s">
        <v>34</v>
      </c>
      <c r="U47" s="0" t="s">
        <v>34</v>
      </c>
      <c r="V47" s="0" t="s">
        <v>34</v>
      </c>
      <c r="W47" s="0" t="s">
        <v>34</v>
      </c>
      <c r="X47" s="0" t="s">
        <v>34</v>
      </c>
      <c r="Y47" s="0" t="s">
        <v>34</v>
      </c>
      <c r="Z47" s="0" t="s">
        <v>42</v>
      </c>
      <c r="AA47" s="0" t="s">
        <v>43</v>
      </c>
      <c r="AB47" s="0" t="s">
        <v>34</v>
      </c>
      <c r="AC47" s="0" t="s">
        <v>610</v>
      </c>
      <c r="AD47" s="0">
        <f>IF($AC47="","NEW","Live")</f>
      </c>
      <c r="AE47" s="8" t="s">
        <v>34</v>
      </c>
    </row>
    <row r="48">
      <c r="A48" s="0" t="s">
        <v>611</v>
      </c>
      <c r="B48" s="0">
        <v>2</v>
      </c>
      <c r="C48" s="0" t="s">
        <v>62</v>
      </c>
      <c r="D48" s="0" t="s">
        <v>612</v>
      </c>
      <c r="E48" s="0" t="s">
        <v>34</v>
      </c>
      <c r="F48" s="0" t="s">
        <v>34</v>
      </c>
      <c r="G48" s="8" t="s">
        <v>613</v>
      </c>
      <c r="H48" s="0" t="s">
        <v>101</v>
      </c>
      <c r="I48" s="0">
        <v>1</v>
      </c>
      <c r="J48" s="0">
        <v>3</v>
      </c>
      <c r="K48" s="0" t="s">
        <v>611</v>
      </c>
      <c r="L48" s="0" t="s">
        <v>446</v>
      </c>
      <c r="M48" s="0" t="s">
        <v>199</v>
      </c>
      <c r="N48" s="0" t="s">
        <v>34</v>
      </c>
      <c r="O48" s="0" t="s">
        <v>102</v>
      </c>
      <c r="P48" s="0" t="s">
        <v>41</v>
      </c>
      <c r="Q48" s="0" t="s">
        <v>34</v>
      </c>
      <c r="R48" s="0" t="s">
        <v>34</v>
      </c>
      <c r="S48" s="0" t="s">
        <v>34</v>
      </c>
      <c r="T48" s="0" t="s">
        <v>34</v>
      </c>
      <c r="U48" s="0" t="s">
        <v>34</v>
      </c>
      <c r="V48" s="0" t="s">
        <v>34</v>
      </c>
      <c r="W48" s="0" t="s">
        <v>34</v>
      </c>
      <c r="X48" s="0" t="s">
        <v>34</v>
      </c>
      <c r="Y48" s="0" t="s">
        <v>34</v>
      </c>
      <c r="Z48" s="0" t="s">
        <v>42</v>
      </c>
      <c r="AA48" s="0" t="s">
        <v>43</v>
      </c>
      <c r="AB48" s="0" t="s">
        <v>34</v>
      </c>
      <c r="AC48" s="0" t="s">
        <v>614</v>
      </c>
      <c r="AD48" s="0">
        <f>IF($AC48="","NEW","Live")</f>
      </c>
      <c r="AE48" s="8" t="s">
        <v>34</v>
      </c>
    </row>
    <row r="49">
      <c r="A49" s="0" t="s">
        <v>615</v>
      </c>
      <c r="B49" s="0">
        <v>2</v>
      </c>
      <c r="C49" s="0" t="s">
        <v>32</v>
      </c>
      <c r="D49" s="0" t="s">
        <v>616</v>
      </c>
      <c r="E49" s="0" t="s">
        <v>34</v>
      </c>
      <c r="F49" s="0" t="s">
        <v>34</v>
      </c>
      <c r="G49" s="8" t="s">
        <v>617</v>
      </c>
      <c r="H49" s="0" t="s">
        <v>101</v>
      </c>
      <c r="I49" s="0">
        <v>1</v>
      </c>
      <c r="J49" s="0">
        <v>3</v>
      </c>
      <c r="K49" s="0" t="s">
        <v>615</v>
      </c>
      <c r="L49" s="0" t="s">
        <v>446</v>
      </c>
      <c r="M49" s="0" t="s">
        <v>199</v>
      </c>
      <c r="N49" s="0" t="s">
        <v>34</v>
      </c>
      <c r="O49" s="0" t="s">
        <v>102</v>
      </c>
      <c r="P49" s="0" t="s">
        <v>41</v>
      </c>
      <c r="Q49" s="0" t="s">
        <v>34</v>
      </c>
      <c r="R49" s="0" t="s">
        <v>34</v>
      </c>
      <c r="S49" s="0" t="s">
        <v>34</v>
      </c>
      <c r="T49" s="0" t="s">
        <v>34</v>
      </c>
      <c r="U49" s="0" t="s">
        <v>34</v>
      </c>
      <c r="V49" s="0" t="s">
        <v>34</v>
      </c>
      <c r="W49" s="0" t="s">
        <v>34</v>
      </c>
      <c r="X49" s="0" t="s">
        <v>34</v>
      </c>
      <c r="Y49" s="0" t="s">
        <v>34</v>
      </c>
      <c r="Z49" s="0" t="s">
        <v>43</v>
      </c>
      <c r="AA49" s="0" t="s">
        <v>43</v>
      </c>
      <c r="AB49" s="0" t="s">
        <v>34</v>
      </c>
      <c r="AC49" s="0" t="s">
        <v>618</v>
      </c>
      <c r="AD49" s="0">
        <f>IF($AC49="","NEW","Live")</f>
      </c>
      <c r="AE49" s="8" t="s">
        <v>34</v>
      </c>
    </row>
    <row r="50">
      <c r="A50" s="0" t="s">
        <v>619</v>
      </c>
      <c r="B50" s="0">
        <v>2</v>
      </c>
      <c r="C50" s="0" t="s">
        <v>32</v>
      </c>
      <c r="D50" s="0" t="s">
        <v>620</v>
      </c>
      <c r="E50" s="0" t="s">
        <v>34</v>
      </c>
      <c r="F50" s="0" t="s">
        <v>34</v>
      </c>
      <c r="G50" s="8" t="s">
        <v>621</v>
      </c>
      <c r="H50" s="0" t="s">
        <v>101</v>
      </c>
      <c r="I50" s="0">
        <v>1</v>
      </c>
      <c r="J50" s="0">
        <v>3</v>
      </c>
      <c r="K50" s="0" t="s">
        <v>619</v>
      </c>
      <c r="L50" s="0" t="s">
        <v>446</v>
      </c>
      <c r="M50" s="0" t="s">
        <v>199</v>
      </c>
      <c r="N50" s="0" t="s">
        <v>34</v>
      </c>
      <c r="O50" s="0" t="s">
        <v>102</v>
      </c>
      <c r="P50" s="0" t="s">
        <v>41</v>
      </c>
      <c r="Q50" s="0" t="s">
        <v>34</v>
      </c>
      <c r="R50" s="0" t="s">
        <v>34</v>
      </c>
      <c r="S50" s="0" t="s">
        <v>34</v>
      </c>
      <c r="T50" s="0" t="s">
        <v>34</v>
      </c>
      <c r="U50" s="0" t="s">
        <v>34</v>
      </c>
      <c r="V50" s="0" t="s">
        <v>34</v>
      </c>
      <c r="W50" s="0" t="s">
        <v>34</v>
      </c>
      <c r="X50" s="0" t="s">
        <v>34</v>
      </c>
      <c r="Y50" s="0" t="s">
        <v>34</v>
      </c>
      <c r="Z50" s="0" t="s">
        <v>42</v>
      </c>
      <c r="AA50" s="0" t="s">
        <v>43</v>
      </c>
      <c r="AB50" s="0" t="s">
        <v>34</v>
      </c>
      <c r="AC50" s="0" t="s">
        <v>622</v>
      </c>
      <c r="AD50" s="0">
        <f>IF($AC50="","NEW","Live")</f>
      </c>
      <c r="AE50" s="8" t="s">
        <v>34</v>
      </c>
    </row>
    <row r="51">
      <c r="A51" s="0" t="s">
        <v>623</v>
      </c>
      <c r="B51" s="0">
        <v>2</v>
      </c>
      <c r="C51" s="0" t="s">
        <v>32</v>
      </c>
      <c r="D51" s="0" t="s">
        <v>624</v>
      </c>
      <c r="E51" s="0" t="s">
        <v>34</v>
      </c>
      <c r="F51" s="0" t="s">
        <v>34</v>
      </c>
      <c r="G51" s="8" t="s">
        <v>625</v>
      </c>
      <c r="H51" s="0" t="s">
        <v>101</v>
      </c>
      <c r="I51" s="0">
        <v>1</v>
      </c>
      <c r="J51" s="0">
        <v>3</v>
      </c>
      <c r="K51" s="0" t="s">
        <v>623</v>
      </c>
      <c r="L51" s="0" t="s">
        <v>446</v>
      </c>
      <c r="M51" s="0" t="s">
        <v>199</v>
      </c>
      <c r="N51" s="0" t="s">
        <v>34</v>
      </c>
      <c r="O51" s="0" t="s">
        <v>102</v>
      </c>
      <c r="P51" s="0" t="s">
        <v>41</v>
      </c>
      <c r="Q51" s="0" t="s">
        <v>34</v>
      </c>
      <c r="R51" s="0" t="s">
        <v>34</v>
      </c>
      <c r="S51" s="0" t="s">
        <v>34</v>
      </c>
      <c r="T51" s="0" t="s">
        <v>34</v>
      </c>
      <c r="U51" s="0" t="s">
        <v>34</v>
      </c>
      <c r="V51" s="0" t="s">
        <v>34</v>
      </c>
      <c r="W51" s="0" t="s">
        <v>34</v>
      </c>
      <c r="X51" s="0" t="s">
        <v>34</v>
      </c>
      <c r="Y51" s="0" t="s">
        <v>34</v>
      </c>
      <c r="Z51" s="0" t="s">
        <v>42</v>
      </c>
      <c r="AA51" s="0" t="s">
        <v>43</v>
      </c>
      <c r="AB51" s="0" t="s">
        <v>34</v>
      </c>
      <c r="AC51" s="0" t="s">
        <v>626</v>
      </c>
      <c r="AD51" s="0">
        <f>IF($AC51="","NEW","Live")</f>
      </c>
      <c r="AE51" s="8" t="s">
        <v>34</v>
      </c>
    </row>
    <row r="52">
      <c r="A52" s="0" t="s">
        <v>627</v>
      </c>
      <c r="B52" s="0">
        <v>2</v>
      </c>
      <c r="C52" s="0" t="s">
        <v>32</v>
      </c>
      <c r="D52" s="0" t="s">
        <v>628</v>
      </c>
      <c r="E52" s="0" t="s">
        <v>34</v>
      </c>
      <c r="F52" s="0" t="s">
        <v>34</v>
      </c>
      <c r="G52" s="8" t="s">
        <v>629</v>
      </c>
      <c r="H52" s="0" t="s">
        <v>101</v>
      </c>
      <c r="I52" s="0">
        <v>1</v>
      </c>
      <c r="J52" s="0">
        <v>3</v>
      </c>
      <c r="K52" s="0" t="s">
        <v>627</v>
      </c>
      <c r="L52" s="0" t="s">
        <v>446</v>
      </c>
      <c r="M52" s="0" t="s">
        <v>199</v>
      </c>
      <c r="N52" s="0" t="s">
        <v>34</v>
      </c>
      <c r="O52" s="0" t="s">
        <v>102</v>
      </c>
      <c r="P52" s="0" t="s">
        <v>41</v>
      </c>
      <c r="Q52" s="0" t="s">
        <v>34</v>
      </c>
      <c r="R52" s="0" t="s">
        <v>34</v>
      </c>
      <c r="S52" s="0" t="s">
        <v>34</v>
      </c>
      <c r="T52" s="0" t="s">
        <v>34</v>
      </c>
      <c r="U52" s="0" t="s">
        <v>34</v>
      </c>
      <c r="V52" s="0" t="s">
        <v>34</v>
      </c>
      <c r="W52" s="0" t="s">
        <v>34</v>
      </c>
      <c r="X52" s="0" t="s">
        <v>34</v>
      </c>
      <c r="Y52" s="0" t="s">
        <v>34</v>
      </c>
      <c r="Z52" s="0" t="s">
        <v>43</v>
      </c>
      <c r="AA52" s="0" t="s">
        <v>43</v>
      </c>
      <c r="AB52" s="0" t="s">
        <v>34</v>
      </c>
      <c r="AC52" s="0" t="s">
        <v>630</v>
      </c>
      <c r="AD52" s="0">
        <f>IF($AC52="","NEW","Live")</f>
      </c>
      <c r="AE52" s="8" t="s">
        <v>34</v>
      </c>
    </row>
    <row r="53">
      <c r="A53" s="0" t="s">
        <v>631</v>
      </c>
      <c r="B53" s="0">
        <v>2</v>
      </c>
      <c r="C53" s="0" t="s">
        <v>32</v>
      </c>
      <c r="D53" s="0" t="s">
        <v>632</v>
      </c>
      <c r="E53" s="0" t="s">
        <v>34</v>
      </c>
      <c r="F53" s="0" t="s">
        <v>34</v>
      </c>
      <c r="G53" s="8" t="s">
        <v>633</v>
      </c>
      <c r="H53" s="0" t="s">
        <v>101</v>
      </c>
      <c r="I53" s="0">
        <v>1</v>
      </c>
      <c r="J53" s="0">
        <v>3</v>
      </c>
      <c r="K53" s="0" t="s">
        <v>631</v>
      </c>
      <c r="L53" s="0" t="s">
        <v>446</v>
      </c>
      <c r="M53" s="0" t="s">
        <v>199</v>
      </c>
      <c r="N53" s="0" t="s">
        <v>34</v>
      </c>
      <c r="O53" s="0" t="s">
        <v>102</v>
      </c>
      <c r="P53" s="0" t="s">
        <v>41</v>
      </c>
      <c r="Q53" s="0" t="s">
        <v>34</v>
      </c>
      <c r="R53" s="0" t="s">
        <v>34</v>
      </c>
      <c r="S53" s="0" t="s">
        <v>34</v>
      </c>
      <c r="T53" s="0" t="s">
        <v>34</v>
      </c>
      <c r="U53" s="0" t="s">
        <v>34</v>
      </c>
      <c r="V53" s="0" t="s">
        <v>34</v>
      </c>
      <c r="W53" s="0" t="s">
        <v>34</v>
      </c>
      <c r="X53" s="0" t="s">
        <v>34</v>
      </c>
      <c r="Y53" s="0" t="s">
        <v>34</v>
      </c>
      <c r="Z53" s="0" t="s">
        <v>43</v>
      </c>
      <c r="AA53" s="0" t="s">
        <v>43</v>
      </c>
      <c r="AB53" s="0" t="s">
        <v>34</v>
      </c>
      <c r="AC53" s="0" t="s">
        <v>634</v>
      </c>
      <c r="AD53" s="0">
        <f>IF($AC53="","NEW","Live")</f>
      </c>
      <c r="AE53" s="8" t="s">
        <v>34</v>
      </c>
    </row>
    <row r="54">
      <c r="A54" s="0" t="s">
        <v>635</v>
      </c>
      <c r="B54" s="0">
        <v>3</v>
      </c>
      <c r="C54" s="0" t="s">
        <v>62</v>
      </c>
      <c r="D54" s="0" t="s">
        <v>636</v>
      </c>
      <c r="E54" s="0" t="s">
        <v>34</v>
      </c>
      <c r="F54" s="0" t="s">
        <v>34</v>
      </c>
      <c r="G54" s="8" t="s">
        <v>637</v>
      </c>
      <c r="H54" s="0" t="s">
        <v>101</v>
      </c>
      <c r="I54" s="0">
        <v>1</v>
      </c>
      <c r="J54" s="0">
        <v>3</v>
      </c>
      <c r="K54" s="0" t="s">
        <v>638</v>
      </c>
      <c r="L54" s="0" t="s">
        <v>446</v>
      </c>
      <c r="M54" s="0" t="s">
        <v>199</v>
      </c>
      <c r="N54" s="0" t="s">
        <v>199</v>
      </c>
      <c r="O54" s="0" t="s">
        <v>102</v>
      </c>
      <c r="P54" s="0" t="s">
        <v>41</v>
      </c>
      <c r="Q54" s="0" t="s">
        <v>34</v>
      </c>
      <c r="R54" s="0" t="s">
        <v>34</v>
      </c>
      <c r="S54" s="0" t="s">
        <v>34</v>
      </c>
      <c r="T54" s="0" t="s">
        <v>34</v>
      </c>
      <c r="U54" s="0" t="s">
        <v>34</v>
      </c>
      <c r="V54" s="0" t="s">
        <v>34</v>
      </c>
      <c r="W54" s="0" t="s">
        <v>34</v>
      </c>
      <c r="X54" s="0" t="s">
        <v>34</v>
      </c>
      <c r="Y54" s="0" t="s">
        <v>34</v>
      </c>
      <c r="Z54" s="0" t="s">
        <v>43</v>
      </c>
      <c r="AA54" s="0" t="s">
        <v>43</v>
      </c>
      <c r="AB54" s="0" t="s">
        <v>34</v>
      </c>
      <c r="AC54" s="0" t="s">
        <v>639</v>
      </c>
      <c r="AD54" s="0">
        <f>IF($AC54="","NEW","Live")</f>
      </c>
      <c r="AE54" s="8" t="s">
        <v>34</v>
      </c>
    </row>
  </sheetData>
  <autoFilter ref="A1:AE54"/>
  <conditionalFormatting sqref="AD2:AD54">
    <cfRule priority="1" type="cellIs" operator="equal" dxfId="0">
      <formula>"NEW"</formula>
    </cfRule>
  </conditionalFormatting>
  <dataValidations count="16">
    <dataValidation type="list" sqref="L2:L254" showErrorMessage="0" allowBlank="1">
      <formula1>=list_Class</formula1>
    </dataValidation>
    <dataValidation type="list" sqref="M2:M254" showErrorMessage="0" allowBlank="1">
      <formula1>=list_Folder</formula1>
    </dataValidation>
    <dataValidation type="list" sqref="C2:C254" showErrorMessage="0" allowBlank="1">
      <formula1>=list_Rarity</formula1>
    </dataValidation>
    <dataValidation type="list" sqref="H2:H254" showErrorMessage="0" allowBlank="1">
      <formula1>=list_Shape</formula1>
    </dataValidation>
    <dataValidation type="list" sqref="O2:O254" showErrorMessage="0" allowBlank="1">
      <formula1>=list_Aim</formula1>
    </dataValidation>
    <dataValidation type="list" sqref="R2:R254" showErrorMessage="0" allowBlank="1">
      <formula1>=list_Aim</formula1>
    </dataValidation>
    <dataValidation type="list" sqref="U2:U254" showErrorMessage="0" allowBlank="1">
      <formula1>=list_Aim</formula1>
    </dataValidation>
    <dataValidation type="list" sqref="D2:D254" showErrorMessage="0" allowBlank="1">
      <formula1>=list_Effect</formula1>
    </dataValidation>
    <dataValidation type="list" sqref="E2:E254" showErrorMessage="0" allowBlank="1">
      <formula1>=list_Effect</formula1>
    </dataValidation>
    <dataValidation type="list" sqref="F2:F254" showErrorMessage="0" allowBlank="1">
      <formula1>=list_Effect</formula1>
    </dataValidation>
    <dataValidation type="list" sqref="Q2:Q254" showErrorMessage="0" allowBlank="1">
      <formula1>=list_Condition</formula1>
    </dataValidation>
    <dataValidation type="list" sqref="T2:T254" showErrorMessage="0" allowBlank="1">
      <formula1>=list_Condition</formula1>
    </dataValidation>
    <dataValidation type="list" sqref="W2:W254" showErrorMessage="0" allowBlank="1">
      <formula1>=list_Condition</formula1>
    </dataValidation>
    <dataValidation type="list" sqref="X2:X254" showErrorMessage="0" allowBlank="1">
      <formula1>=list_CostCond</formula1>
    </dataValidation>
    <dataValidation type="list" sqref="Z2:Z254" showErrorMessage="0" allowBlank="1">
      <formula1>=list_Bool</formula1>
    </dataValidation>
    <dataValidation type="list" sqref="AA2:AA254" showErrorMessage="0" allowBlank="1">
      <formula1>=list_Bool</formula1>
    </dataValidation>
  </dataValidations>
  <headerFooter/>
</worksheet>
</file>

<file path=xl/worksheets/sheet5.xml><?xml version="1.0" encoding="utf-8"?>
<worksheet xmlns:r="http://schemas.openxmlformats.org/officeDocument/2006/relationships" xmlns="http://schemas.openxmlformats.org/spreadsheetml/2006/main">
  <dimension ref="A1:AE55"/>
  <sheetViews>
    <sheetView workbookViewId="0" tabSelected="0">
      <pane xSplit="2" ySplit="1" topLeftCell="C2" state="frozen" activePane="bottomRight"/>
      <selection pane="topRight" activeCell="C1" sqref="C1"/>
      <selection pane="bottomLeft" activeCell="A2" sqref="A2"/>
      <selection pane="bottomRight" activeCell="A1" sqref="A1"/>
    </sheetView>
  </sheetViews>
  <sheetFormatPr defaultRowHeight="15"/>
  <cols>
    <col min="1" max="1" width="24.6853885650635" customWidth="1"/>
    <col min="2" max="2" width="9.140625" customWidth="1"/>
    <col min="3" max="3" width="11.4479455947876" customWidth="1"/>
    <col min="4" max="4" width="26.5934047698975" customWidth="1"/>
    <col min="5" max="5" width="10.961989402771" customWidth="1"/>
    <col min="6" max="6" width="10.961989402771" customWidth="1"/>
    <col min="7" max="7" width="52" customWidth="1" style="8"/>
    <col min="8" max="8" width="12.6950616836548" customWidth="1"/>
    <col min="9" max="9" width="10.8034143447876" customWidth="1"/>
    <col min="10" max="10" width="11.1430721282959" customWidth="1"/>
    <col min="11" max="11" width="23.7093830108643" customWidth="1"/>
    <col min="12" max="12" width="9.140625" customWidth="1"/>
    <col min="13" max="13" width="16.7484474182129" customWidth="1"/>
    <col min="14" max="14" width="11.1001033782959" customWidth="1"/>
    <col min="15" max="15" width="9.140625" customWidth="1"/>
    <col min="16" max="16" width="14.245005607605" customWidth="1"/>
    <col min="17" max="17" width="9.140625" customWidth="1"/>
    <col min="18" max="18" width="9.140625" customWidth="1"/>
    <col min="19" max="19" width="14.245005607605" customWidth="1"/>
    <col min="20" max="20" width="9.140625" customWidth="1"/>
    <col min="21" max="21" width="9.140625" customWidth="1"/>
    <col min="22" max="22" width="9.140625" customWidth="1"/>
    <col min="23" max="23" width="9.140625" customWidth="1"/>
    <col min="24" max="24" width="10.3123426437378" customWidth="1"/>
    <col min="25" max="25" width="25.6378612518311" customWidth="1"/>
    <col min="26" max="26" width="11.1389799118042" customWidth="1"/>
    <col min="27" max="27" width="9.93790149688721" customWidth="1"/>
    <col min="28" max="28" width="12.8086223602295" customWidth="1"/>
    <col min="29" max="29" width="36.4301795959473" customWidth="1"/>
    <col min="30" max="30" width="9.140625" customWidth="1"/>
    <col min="31" max="31" width="46" customWidth="1" style="8"/>
  </cols>
  <sheetData>
    <row r="1">
      <c r="A1" s="7" t="s">
        <v>0</v>
      </c>
      <c r="B1" s="7" t="s">
        <v>1</v>
      </c>
      <c r="C1" s="7" t="s">
        <v>2</v>
      </c>
      <c r="D1" s="7" t="s">
        <v>3</v>
      </c>
      <c r="E1" s="7" t="s">
        <v>4</v>
      </c>
      <c r="F1" s="7" t="s">
        <v>5</v>
      </c>
      <c r="G1" s="9"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c r="Y1" s="7" t="s">
        <v>24</v>
      </c>
      <c r="Z1" s="7" t="s">
        <v>25</v>
      </c>
      <c r="AA1" s="7" t="s">
        <v>26</v>
      </c>
      <c r="AB1" s="7" t="s">
        <v>27</v>
      </c>
      <c r="AC1" s="7" t="s">
        <v>28</v>
      </c>
      <c r="AD1" s="7" t="s">
        <v>29</v>
      </c>
      <c r="AE1" s="9" t="s">
        <v>30</v>
      </c>
    </row>
    <row r="2">
      <c r="A2" s="0" t="s">
        <v>640</v>
      </c>
      <c r="B2" s="0">
        <v>0</v>
      </c>
      <c r="C2" s="0" t="s">
        <v>174</v>
      </c>
      <c r="D2" s="0" t="s">
        <v>641</v>
      </c>
      <c r="E2" s="0" t="s">
        <v>34</v>
      </c>
      <c r="F2" s="0" t="s">
        <v>34</v>
      </c>
      <c r="G2" s="8" t="s">
        <v>642</v>
      </c>
      <c r="H2" s="0" t="s">
        <v>36</v>
      </c>
      <c r="I2" s="0">
        <v>0</v>
      </c>
      <c r="J2" s="0">
        <v>0</v>
      </c>
      <c r="K2" s="0" t="s">
        <v>640</v>
      </c>
      <c r="L2" s="0" t="s">
        <v>393</v>
      </c>
      <c r="M2" s="0" t="s">
        <v>34</v>
      </c>
      <c r="N2" s="0" t="s">
        <v>34</v>
      </c>
      <c r="O2" s="0" t="s">
        <v>40</v>
      </c>
      <c r="P2" s="0" t="s">
        <v>41</v>
      </c>
      <c r="Q2" s="0" t="s">
        <v>34</v>
      </c>
      <c r="R2" s="0" t="s">
        <v>34</v>
      </c>
      <c r="S2" s="0" t="s">
        <v>34</v>
      </c>
      <c r="T2" s="0" t="s">
        <v>34</v>
      </c>
      <c r="U2" s="0" t="s">
        <v>34</v>
      </c>
      <c r="V2" s="0" t="s">
        <v>34</v>
      </c>
      <c r="W2" s="0" t="s">
        <v>34</v>
      </c>
      <c r="X2" s="0" t="s">
        <v>34</v>
      </c>
      <c r="Y2" s="0" t="s">
        <v>643</v>
      </c>
      <c r="Z2" s="0" t="s">
        <v>42</v>
      </c>
      <c r="AA2" s="0" t="s">
        <v>43</v>
      </c>
      <c r="AB2" s="0" t="s">
        <v>34</v>
      </c>
      <c r="AC2" s="0" t="s">
        <v>644</v>
      </c>
      <c r="AD2" s="0">
        <f>IF($AC2="","NEW","Live")</f>
      </c>
      <c r="AE2" s="8" t="s">
        <v>34</v>
      </c>
    </row>
    <row r="3">
      <c r="A3" s="0" t="s">
        <v>645</v>
      </c>
      <c r="B3" s="0">
        <v>0</v>
      </c>
      <c r="C3" s="0" t="s">
        <v>174</v>
      </c>
      <c r="D3" s="0" t="s">
        <v>646</v>
      </c>
      <c r="E3" s="0" t="s">
        <v>34</v>
      </c>
      <c r="F3" s="0" t="s">
        <v>34</v>
      </c>
      <c r="G3" s="8" t="s">
        <v>647</v>
      </c>
      <c r="H3" s="0" t="s">
        <v>101</v>
      </c>
      <c r="I3" s="0">
        <v>1</v>
      </c>
      <c r="J3" s="0">
        <v>5</v>
      </c>
      <c r="K3" s="0" t="s">
        <v>646</v>
      </c>
      <c r="L3" s="0" t="s">
        <v>393</v>
      </c>
      <c r="M3" s="0" t="s">
        <v>34</v>
      </c>
      <c r="N3" s="0" t="s">
        <v>34</v>
      </c>
      <c r="O3" s="0" t="s">
        <v>102</v>
      </c>
      <c r="P3" s="0" t="s">
        <v>41</v>
      </c>
      <c r="Q3" s="0" t="s">
        <v>34</v>
      </c>
      <c r="R3" s="0" t="s">
        <v>34</v>
      </c>
      <c r="S3" s="0" t="s">
        <v>34</v>
      </c>
      <c r="T3" s="0" t="s">
        <v>34</v>
      </c>
      <c r="U3" s="0" t="s">
        <v>34</v>
      </c>
      <c r="V3" s="0" t="s">
        <v>34</v>
      </c>
      <c r="W3" s="0" t="s">
        <v>34</v>
      </c>
      <c r="X3" s="0" t="s">
        <v>34</v>
      </c>
      <c r="Y3" s="0" t="s">
        <v>648</v>
      </c>
      <c r="Z3" s="0" t="s">
        <v>43</v>
      </c>
      <c r="AA3" s="0" t="s">
        <v>43</v>
      </c>
      <c r="AB3" s="0" t="s">
        <v>34</v>
      </c>
      <c r="AC3" s="0" t="s">
        <v>649</v>
      </c>
      <c r="AD3" s="0">
        <f>IF($AC3="","NEW","Live")</f>
      </c>
      <c r="AE3" s="8" t="s">
        <v>34</v>
      </c>
    </row>
    <row r="4">
      <c r="A4" s="0" t="s">
        <v>650</v>
      </c>
      <c r="B4" s="0">
        <v>1</v>
      </c>
      <c r="C4" s="0" t="s">
        <v>174</v>
      </c>
      <c r="D4" s="0" t="s">
        <v>272</v>
      </c>
      <c r="E4" s="0" t="s">
        <v>178</v>
      </c>
      <c r="F4" s="0" t="s">
        <v>34</v>
      </c>
      <c r="G4" s="8" t="s">
        <v>651</v>
      </c>
      <c r="H4" s="0" t="s">
        <v>101</v>
      </c>
      <c r="I4" s="0">
        <v>1</v>
      </c>
      <c r="J4" s="0">
        <v>4</v>
      </c>
      <c r="K4" s="0" t="s">
        <v>650</v>
      </c>
      <c r="L4" s="0" t="s">
        <v>393</v>
      </c>
      <c r="M4" s="0" t="s">
        <v>34</v>
      </c>
      <c r="N4" s="0" t="s">
        <v>34</v>
      </c>
      <c r="O4" s="0" t="s">
        <v>102</v>
      </c>
      <c r="P4" s="0" t="s">
        <v>41</v>
      </c>
      <c r="Q4" s="0" t="s">
        <v>34</v>
      </c>
      <c r="R4" s="0" t="s">
        <v>102</v>
      </c>
      <c r="S4" s="0" t="s">
        <v>41</v>
      </c>
      <c r="T4" s="0" t="s">
        <v>34</v>
      </c>
      <c r="U4" s="0" t="s">
        <v>34</v>
      </c>
      <c r="V4" s="0" t="s">
        <v>34</v>
      </c>
      <c r="W4" s="0" t="s">
        <v>34</v>
      </c>
      <c r="X4" s="0" t="s">
        <v>34</v>
      </c>
      <c r="Y4" s="0" t="s">
        <v>34</v>
      </c>
      <c r="Z4" s="0" t="s">
        <v>43</v>
      </c>
      <c r="AA4" s="0" t="s">
        <v>43</v>
      </c>
      <c r="AB4" s="0" t="s">
        <v>650</v>
      </c>
      <c r="AC4" s="0" t="s">
        <v>652</v>
      </c>
      <c r="AD4" s="0">
        <f>IF($AC4="","NEW","Live")</f>
      </c>
      <c r="AE4" s="8" t="s">
        <v>34</v>
      </c>
    </row>
    <row r="5">
      <c r="A5" s="0" t="s">
        <v>34</v>
      </c>
      <c r="B5" s="0">
        <v>1</v>
      </c>
      <c r="C5" s="0" t="s">
        <v>174</v>
      </c>
      <c r="D5" s="0" t="s">
        <v>167</v>
      </c>
      <c r="E5" s="0" t="s">
        <v>34</v>
      </c>
      <c r="F5" s="0" t="s">
        <v>34</v>
      </c>
      <c r="G5" s="8" t="s">
        <v>284</v>
      </c>
      <c r="H5" s="0" t="s">
        <v>101</v>
      </c>
      <c r="I5" s="0">
        <v>1</v>
      </c>
      <c r="J5" s="0">
        <v>1</v>
      </c>
      <c r="K5" s="0" t="s">
        <v>653</v>
      </c>
      <c r="L5" s="0" t="s">
        <v>393</v>
      </c>
      <c r="M5" s="0" t="s">
        <v>34</v>
      </c>
      <c r="N5" s="0" t="s">
        <v>34</v>
      </c>
      <c r="O5" s="0" t="s">
        <v>102</v>
      </c>
      <c r="P5" s="0" t="s">
        <v>41</v>
      </c>
      <c r="Q5" s="0" t="s">
        <v>34</v>
      </c>
      <c r="R5" s="0" t="s">
        <v>34</v>
      </c>
      <c r="S5" s="0" t="s">
        <v>34</v>
      </c>
      <c r="T5" s="0" t="s">
        <v>34</v>
      </c>
      <c r="U5" s="0" t="s">
        <v>34</v>
      </c>
      <c r="V5" s="0" t="s">
        <v>34</v>
      </c>
      <c r="W5" s="0" t="s">
        <v>34</v>
      </c>
      <c r="X5" s="0" t="s">
        <v>34</v>
      </c>
      <c r="Y5" s="0" t="s">
        <v>34</v>
      </c>
      <c r="Z5" s="0" t="s">
        <v>43</v>
      </c>
      <c r="AA5" s="0" t="s">
        <v>43</v>
      </c>
      <c r="AB5" s="0" t="s">
        <v>34</v>
      </c>
      <c r="AC5" s="0" t="s">
        <v>654</v>
      </c>
      <c r="AD5" s="0">
        <f>IF($AC5="","NEW","Live")</f>
      </c>
      <c r="AE5" s="8" t="s">
        <v>34</v>
      </c>
    </row>
    <row r="6">
      <c r="A6" s="0" t="s">
        <v>655</v>
      </c>
      <c r="B6" s="0">
        <v>1</v>
      </c>
      <c r="C6" s="0" t="s">
        <v>81</v>
      </c>
      <c r="D6" s="0" t="s">
        <v>278</v>
      </c>
      <c r="E6" s="0" t="s">
        <v>34</v>
      </c>
      <c r="F6" s="0" t="s">
        <v>34</v>
      </c>
      <c r="G6" s="8" t="s">
        <v>656</v>
      </c>
      <c r="H6" s="0" t="s">
        <v>101</v>
      </c>
      <c r="I6" s="0">
        <v>1</v>
      </c>
      <c r="J6" s="0">
        <v>1</v>
      </c>
      <c r="K6" s="0" t="s">
        <v>278</v>
      </c>
      <c r="L6" s="0" t="s">
        <v>393</v>
      </c>
      <c r="M6" s="0" t="s">
        <v>34</v>
      </c>
      <c r="N6" s="0" t="s">
        <v>281</v>
      </c>
      <c r="O6" s="0" t="s">
        <v>102</v>
      </c>
      <c r="P6" s="0" t="s">
        <v>41</v>
      </c>
      <c r="Q6" s="0" t="s">
        <v>34</v>
      </c>
      <c r="R6" s="0" t="s">
        <v>34</v>
      </c>
      <c r="S6" s="0" t="s">
        <v>34</v>
      </c>
      <c r="T6" s="0" t="s">
        <v>34</v>
      </c>
      <c r="U6" s="0" t="s">
        <v>34</v>
      </c>
      <c r="V6" s="0" t="s">
        <v>34</v>
      </c>
      <c r="W6" s="0" t="s">
        <v>34</v>
      </c>
      <c r="X6" s="0" t="s">
        <v>34</v>
      </c>
      <c r="Y6" s="0" t="s">
        <v>34</v>
      </c>
      <c r="Z6" s="0" t="s">
        <v>42</v>
      </c>
      <c r="AA6" s="0" t="s">
        <v>43</v>
      </c>
      <c r="AB6" s="0" t="s">
        <v>34</v>
      </c>
      <c r="AC6" s="0" t="s">
        <v>657</v>
      </c>
      <c r="AD6" s="0">
        <f>IF($AC6="","NEW","Live")</f>
      </c>
      <c r="AE6" s="8" t="s">
        <v>34</v>
      </c>
    </row>
    <row r="7">
      <c r="A7" s="0" t="s">
        <v>655</v>
      </c>
      <c r="B7" s="0">
        <v>1</v>
      </c>
      <c r="C7" s="0" t="s">
        <v>174</v>
      </c>
      <c r="D7" s="0" t="s">
        <v>278</v>
      </c>
      <c r="E7" s="0" t="s">
        <v>34</v>
      </c>
      <c r="F7" s="0" t="s">
        <v>34</v>
      </c>
      <c r="G7" s="8" t="s">
        <v>656</v>
      </c>
      <c r="H7" s="0" t="s">
        <v>101</v>
      </c>
      <c r="I7" s="0">
        <v>1</v>
      </c>
      <c r="J7" s="0">
        <v>1</v>
      </c>
      <c r="K7" s="0" t="s">
        <v>658</v>
      </c>
      <c r="L7" s="0" t="s">
        <v>393</v>
      </c>
      <c r="M7" s="0" t="s">
        <v>34</v>
      </c>
      <c r="N7" s="0" t="s">
        <v>34</v>
      </c>
      <c r="O7" s="0" t="s">
        <v>102</v>
      </c>
      <c r="P7" s="0" t="s">
        <v>41</v>
      </c>
      <c r="Q7" s="0" t="s">
        <v>34</v>
      </c>
      <c r="R7" s="0" t="s">
        <v>34</v>
      </c>
      <c r="S7" s="0" t="s">
        <v>34</v>
      </c>
      <c r="T7" s="0" t="s">
        <v>34</v>
      </c>
      <c r="U7" s="0" t="s">
        <v>34</v>
      </c>
      <c r="V7" s="0" t="s">
        <v>34</v>
      </c>
      <c r="W7" s="0" t="s">
        <v>34</v>
      </c>
      <c r="X7" s="0" t="s">
        <v>34</v>
      </c>
      <c r="Y7" s="0" t="s">
        <v>659</v>
      </c>
      <c r="Z7" s="0" t="s">
        <v>43</v>
      </c>
      <c r="AA7" s="0" t="s">
        <v>43</v>
      </c>
      <c r="AB7" s="0" t="s">
        <v>34</v>
      </c>
      <c r="AC7" s="0" t="s">
        <v>660</v>
      </c>
      <c r="AD7" s="0">
        <f>IF($AC7="","NEW","Live")</f>
      </c>
      <c r="AE7" s="8" t="s">
        <v>34</v>
      </c>
    </row>
    <row r="8">
      <c r="A8" s="0" t="s">
        <v>661</v>
      </c>
      <c r="B8" s="0">
        <v>1</v>
      </c>
      <c r="C8" s="0" t="s">
        <v>174</v>
      </c>
      <c r="D8" s="0" t="s">
        <v>278</v>
      </c>
      <c r="E8" s="0" t="s">
        <v>34</v>
      </c>
      <c r="F8" s="0" t="s">
        <v>34</v>
      </c>
      <c r="G8" s="8" t="s">
        <v>662</v>
      </c>
      <c r="H8" s="0" t="s">
        <v>101</v>
      </c>
      <c r="I8" s="0">
        <v>1</v>
      </c>
      <c r="J8" s="0">
        <v>2</v>
      </c>
      <c r="K8" s="0" t="s">
        <v>663</v>
      </c>
      <c r="L8" s="0" t="s">
        <v>393</v>
      </c>
      <c r="M8" s="0" t="s">
        <v>34</v>
      </c>
      <c r="N8" s="0" t="s">
        <v>34</v>
      </c>
      <c r="O8" s="0" t="s">
        <v>102</v>
      </c>
      <c r="P8" s="0" t="s">
        <v>41</v>
      </c>
      <c r="Q8" s="0" t="s">
        <v>34</v>
      </c>
      <c r="R8" s="0" t="s">
        <v>34</v>
      </c>
      <c r="S8" s="0" t="s">
        <v>34</v>
      </c>
      <c r="T8" s="0" t="s">
        <v>34</v>
      </c>
      <c r="U8" s="0" t="s">
        <v>34</v>
      </c>
      <c r="V8" s="0" t="s">
        <v>34</v>
      </c>
      <c r="W8" s="0" t="s">
        <v>34</v>
      </c>
      <c r="X8" s="0" t="s">
        <v>34</v>
      </c>
      <c r="Y8" s="0" t="s">
        <v>659</v>
      </c>
      <c r="Z8" s="0" t="s">
        <v>43</v>
      </c>
      <c r="AA8" s="0" t="s">
        <v>43</v>
      </c>
      <c r="AB8" s="0" t="s">
        <v>34</v>
      </c>
      <c r="AC8" s="0" t="s">
        <v>664</v>
      </c>
      <c r="AD8" s="0">
        <f>IF($AC8="","NEW","Live")</f>
      </c>
      <c r="AE8" s="8" t="s">
        <v>34</v>
      </c>
    </row>
    <row r="9">
      <c r="A9" s="0" t="s">
        <v>277</v>
      </c>
      <c r="B9" s="0">
        <v>1</v>
      </c>
      <c r="C9" s="0" t="s">
        <v>174</v>
      </c>
      <c r="D9" s="0" t="s">
        <v>278</v>
      </c>
      <c r="E9" s="0" t="s">
        <v>34</v>
      </c>
      <c r="F9" s="0" t="s">
        <v>34</v>
      </c>
      <c r="G9" s="8" t="s">
        <v>665</v>
      </c>
      <c r="H9" s="0" t="s">
        <v>101</v>
      </c>
      <c r="I9" s="0">
        <v>1</v>
      </c>
      <c r="J9" s="0">
        <v>3</v>
      </c>
      <c r="K9" s="0" t="s">
        <v>666</v>
      </c>
      <c r="L9" s="0" t="s">
        <v>393</v>
      </c>
      <c r="M9" s="0" t="s">
        <v>34</v>
      </c>
      <c r="N9" s="0" t="s">
        <v>34</v>
      </c>
      <c r="O9" s="0" t="s">
        <v>102</v>
      </c>
      <c r="P9" s="0" t="s">
        <v>41</v>
      </c>
      <c r="Q9" s="0" t="s">
        <v>34</v>
      </c>
      <c r="R9" s="0" t="s">
        <v>34</v>
      </c>
      <c r="S9" s="0" t="s">
        <v>34</v>
      </c>
      <c r="T9" s="0" t="s">
        <v>34</v>
      </c>
      <c r="U9" s="0" t="s">
        <v>34</v>
      </c>
      <c r="V9" s="0" t="s">
        <v>34</v>
      </c>
      <c r="W9" s="0" t="s">
        <v>34</v>
      </c>
      <c r="X9" s="0" t="s">
        <v>34</v>
      </c>
      <c r="Y9" s="0" t="s">
        <v>659</v>
      </c>
      <c r="Z9" s="0" t="s">
        <v>42</v>
      </c>
      <c r="AA9" s="0" t="s">
        <v>43</v>
      </c>
      <c r="AB9" s="0" t="s">
        <v>34</v>
      </c>
      <c r="AC9" s="0" t="s">
        <v>667</v>
      </c>
      <c r="AD9" s="0">
        <f>IF($AC9="","NEW","Live")</f>
      </c>
      <c r="AE9" s="8" t="s">
        <v>34</v>
      </c>
    </row>
    <row r="10">
      <c r="A10" s="0" t="s">
        <v>668</v>
      </c>
      <c r="B10" s="0">
        <v>1</v>
      </c>
      <c r="C10" s="0" t="s">
        <v>174</v>
      </c>
      <c r="D10" s="0" t="s">
        <v>136</v>
      </c>
      <c r="E10" s="0" t="s">
        <v>34</v>
      </c>
      <c r="F10" s="0" t="s">
        <v>34</v>
      </c>
      <c r="G10" s="8" t="s">
        <v>284</v>
      </c>
      <c r="H10" s="0" t="s">
        <v>101</v>
      </c>
      <c r="I10" s="0">
        <v>1</v>
      </c>
      <c r="J10" s="0">
        <v>1</v>
      </c>
      <c r="K10" s="0" t="s">
        <v>668</v>
      </c>
      <c r="L10" s="0" t="s">
        <v>393</v>
      </c>
      <c r="M10" s="0" t="s">
        <v>669</v>
      </c>
      <c r="N10" s="0" t="s">
        <v>139</v>
      </c>
      <c r="O10" s="0" t="s">
        <v>102</v>
      </c>
      <c r="P10" s="0" t="s">
        <v>41</v>
      </c>
      <c r="Q10" s="0" t="s">
        <v>34</v>
      </c>
      <c r="R10" s="0" t="s">
        <v>34</v>
      </c>
      <c r="S10" s="0" t="s">
        <v>34</v>
      </c>
      <c r="T10" s="0" t="s">
        <v>34</v>
      </c>
      <c r="U10" s="0" t="s">
        <v>34</v>
      </c>
      <c r="V10" s="0" t="s">
        <v>34</v>
      </c>
      <c r="W10" s="0" t="s">
        <v>34</v>
      </c>
      <c r="X10" s="0" t="s">
        <v>34</v>
      </c>
      <c r="Y10" s="0" t="s">
        <v>34</v>
      </c>
      <c r="Z10" s="0" t="s">
        <v>43</v>
      </c>
      <c r="AA10" s="0" t="s">
        <v>43</v>
      </c>
      <c r="AB10" s="0" t="s">
        <v>34</v>
      </c>
      <c r="AC10" s="0" t="s">
        <v>670</v>
      </c>
      <c r="AD10" s="0">
        <f>IF($AC10="","NEW","Live")</f>
      </c>
      <c r="AE10" s="8" t="s">
        <v>34</v>
      </c>
    </row>
    <row r="11">
      <c r="A11" s="0" t="s">
        <v>671</v>
      </c>
      <c r="B11" s="0">
        <v>0</v>
      </c>
      <c r="C11" s="0" t="s">
        <v>174</v>
      </c>
      <c r="D11" s="0" t="s">
        <v>672</v>
      </c>
      <c r="E11" s="0" t="s">
        <v>34</v>
      </c>
      <c r="F11" s="0" t="s">
        <v>34</v>
      </c>
      <c r="G11" s="8" t="s">
        <v>637</v>
      </c>
      <c r="H11" s="0" t="s">
        <v>101</v>
      </c>
      <c r="I11" s="0">
        <v>1</v>
      </c>
      <c r="J11" s="0">
        <v>3</v>
      </c>
      <c r="K11" s="0" t="s">
        <v>673</v>
      </c>
      <c r="L11" s="0" t="s">
        <v>393</v>
      </c>
      <c r="M11" s="0" t="s">
        <v>674</v>
      </c>
      <c r="N11" s="0" t="s">
        <v>199</v>
      </c>
      <c r="O11" s="0" t="s">
        <v>102</v>
      </c>
      <c r="P11" s="0" t="s">
        <v>41</v>
      </c>
      <c r="Q11" s="0" t="s">
        <v>34</v>
      </c>
      <c r="R11" s="0" t="s">
        <v>34</v>
      </c>
      <c r="S11" s="0" t="s">
        <v>34</v>
      </c>
      <c r="T11" s="0" t="s">
        <v>34</v>
      </c>
      <c r="U11" s="0" t="s">
        <v>34</v>
      </c>
      <c r="V11" s="0" t="s">
        <v>34</v>
      </c>
      <c r="W11" s="0" t="s">
        <v>34</v>
      </c>
      <c r="X11" s="0" t="s">
        <v>34</v>
      </c>
      <c r="Y11" s="0" t="s">
        <v>675</v>
      </c>
      <c r="Z11" s="0" t="s">
        <v>43</v>
      </c>
      <c r="AA11" s="0" t="s">
        <v>43</v>
      </c>
      <c r="AB11" s="0" t="s">
        <v>34</v>
      </c>
      <c r="AC11" s="0" t="s">
        <v>676</v>
      </c>
      <c r="AD11" s="0">
        <f>IF($AC11="","NEW","Live")</f>
      </c>
      <c r="AE11" s="8" t="s">
        <v>34</v>
      </c>
    </row>
    <row r="12">
      <c r="A12" s="0" t="s">
        <v>677</v>
      </c>
      <c r="B12" s="0">
        <v>1</v>
      </c>
      <c r="C12" s="0" t="s">
        <v>174</v>
      </c>
      <c r="D12" s="0" t="s">
        <v>136</v>
      </c>
      <c r="E12" s="0" t="s">
        <v>34</v>
      </c>
      <c r="F12" s="0" t="s">
        <v>34</v>
      </c>
      <c r="G12" s="8" t="s">
        <v>284</v>
      </c>
      <c r="H12" s="0" t="s">
        <v>101</v>
      </c>
      <c r="I12" s="0">
        <v>1</v>
      </c>
      <c r="J12" s="0">
        <v>1</v>
      </c>
      <c r="K12" s="0" t="s">
        <v>678</v>
      </c>
      <c r="L12" s="0" t="s">
        <v>393</v>
      </c>
      <c r="M12" s="0" t="s">
        <v>674</v>
      </c>
      <c r="N12" s="0" t="s">
        <v>139</v>
      </c>
      <c r="O12" s="0" t="s">
        <v>102</v>
      </c>
      <c r="P12" s="0" t="s">
        <v>41</v>
      </c>
      <c r="Q12" s="0" t="s">
        <v>34</v>
      </c>
      <c r="R12" s="0" t="s">
        <v>34</v>
      </c>
      <c r="S12" s="0" t="s">
        <v>34</v>
      </c>
      <c r="T12" s="0" t="s">
        <v>34</v>
      </c>
      <c r="U12" s="0" t="s">
        <v>34</v>
      </c>
      <c r="V12" s="0" t="s">
        <v>34</v>
      </c>
      <c r="W12" s="0" t="s">
        <v>34</v>
      </c>
      <c r="X12" s="0" t="s">
        <v>34</v>
      </c>
      <c r="Y12" s="0" t="s">
        <v>34</v>
      </c>
      <c r="Z12" s="0" t="s">
        <v>43</v>
      </c>
      <c r="AA12" s="0" t="s">
        <v>43</v>
      </c>
      <c r="AB12" s="0" t="s">
        <v>34</v>
      </c>
      <c r="AC12" s="0" t="s">
        <v>679</v>
      </c>
      <c r="AD12" s="0">
        <f>IF($AC12="","NEW","Live")</f>
      </c>
      <c r="AE12" s="8" t="s">
        <v>34</v>
      </c>
    </row>
    <row r="13">
      <c r="A13" s="0" t="s">
        <v>680</v>
      </c>
      <c r="B13" s="0">
        <v>1</v>
      </c>
      <c r="C13" s="0" t="s">
        <v>174</v>
      </c>
      <c r="D13" s="0" t="s">
        <v>167</v>
      </c>
      <c r="E13" s="0" t="s">
        <v>34</v>
      </c>
      <c r="F13" s="0" t="s">
        <v>34</v>
      </c>
      <c r="G13" s="8" t="s">
        <v>681</v>
      </c>
      <c r="H13" s="0" t="s">
        <v>101</v>
      </c>
      <c r="I13" s="0">
        <v>1</v>
      </c>
      <c r="J13" s="0">
        <v>1</v>
      </c>
      <c r="K13" s="0" t="s">
        <v>682</v>
      </c>
      <c r="L13" s="0" t="s">
        <v>393</v>
      </c>
      <c r="M13" s="0" t="s">
        <v>674</v>
      </c>
      <c r="N13" s="0" t="s">
        <v>139</v>
      </c>
      <c r="O13" s="0" t="s">
        <v>102</v>
      </c>
      <c r="P13" s="0" t="s">
        <v>78</v>
      </c>
      <c r="Q13" s="0" t="s">
        <v>34</v>
      </c>
      <c r="R13" s="0" t="s">
        <v>34</v>
      </c>
      <c r="S13" s="0" t="s">
        <v>34</v>
      </c>
      <c r="T13" s="0" t="s">
        <v>34</v>
      </c>
      <c r="U13" s="0" t="s">
        <v>34</v>
      </c>
      <c r="V13" s="0" t="s">
        <v>34</v>
      </c>
      <c r="W13" s="0" t="s">
        <v>34</v>
      </c>
      <c r="X13" s="0" t="s">
        <v>34</v>
      </c>
      <c r="Y13" s="0" t="s">
        <v>34</v>
      </c>
      <c r="Z13" s="0" t="s">
        <v>43</v>
      </c>
      <c r="AA13" s="0" t="s">
        <v>43</v>
      </c>
      <c r="AB13" s="0" t="s">
        <v>34</v>
      </c>
      <c r="AC13" s="0" t="s">
        <v>683</v>
      </c>
      <c r="AD13" s="0">
        <f>IF($AC13="","NEW","Live")</f>
      </c>
      <c r="AE13" s="8" t="s">
        <v>34</v>
      </c>
    </row>
    <row r="14">
      <c r="A14" s="0" t="s">
        <v>684</v>
      </c>
      <c r="B14" s="0">
        <v>1</v>
      </c>
      <c r="C14" s="0" t="s">
        <v>174</v>
      </c>
      <c r="D14" s="0" t="s">
        <v>193</v>
      </c>
      <c r="E14" s="0" t="s">
        <v>153</v>
      </c>
      <c r="F14" s="0" t="s">
        <v>34</v>
      </c>
      <c r="G14" s="8" t="s">
        <v>685</v>
      </c>
      <c r="H14" s="0" t="s">
        <v>101</v>
      </c>
      <c r="I14" s="0">
        <v>1</v>
      </c>
      <c r="J14" s="0">
        <v>1</v>
      </c>
      <c r="K14" s="0" t="s">
        <v>686</v>
      </c>
      <c r="L14" s="0" t="s">
        <v>393</v>
      </c>
      <c r="M14" s="0" t="s">
        <v>687</v>
      </c>
      <c r="N14" s="0" t="s">
        <v>139</v>
      </c>
      <c r="O14" s="0" t="s">
        <v>102</v>
      </c>
      <c r="P14" s="0" t="s">
        <v>41</v>
      </c>
      <c r="Q14" s="0" t="s">
        <v>34</v>
      </c>
      <c r="R14" s="0" t="s">
        <v>40</v>
      </c>
      <c r="S14" s="0" t="s">
        <v>41</v>
      </c>
      <c r="T14" s="0" t="s">
        <v>34</v>
      </c>
      <c r="U14" s="0" t="s">
        <v>34</v>
      </c>
      <c r="V14" s="0" t="s">
        <v>34</v>
      </c>
      <c r="W14" s="0" t="s">
        <v>34</v>
      </c>
      <c r="X14" s="0" t="s">
        <v>34</v>
      </c>
      <c r="Y14" s="0" t="s">
        <v>34</v>
      </c>
      <c r="Z14" s="0" t="s">
        <v>43</v>
      </c>
      <c r="AA14" s="0" t="s">
        <v>43</v>
      </c>
      <c r="AB14" s="0" t="s">
        <v>34</v>
      </c>
      <c r="AC14" s="0" t="s">
        <v>688</v>
      </c>
      <c r="AD14" s="0">
        <f>IF($AC14="","NEW","Live")</f>
      </c>
      <c r="AE14" s="8" t="s">
        <v>34</v>
      </c>
    </row>
    <row r="15">
      <c r="A15" s="0" t="s">
        <v>689</v>
      </c>
      <c r="B15" s="0">
        <v>0</v>
      </c>
      <c r="C15" s="0" t="s">
        <v>174</v>
      </c>
      <c r="D15" s="0" t="s">
        <v>690</v>
      </c>
      <c r="E15" s="0" t="s">
        <v>34</v>
      </c>
      <c r="F15" s="0" t="s">
        <v>34</v>
      </c>
      <c r="G15" s="8" t="s">
        <v>691</v>
      </c>
      <c r="H15" s="0" t="s">
        <v>101</v>
      </c>
      <c r="I15" s="0">
        <v>1</v>
      </c>
      <c r="J15" s="0">
        <v>3</v>
      </c>
      <c r="K15" s="0" t="s">
        <v>692</v>
      </c>
      <c r="L15" s="0" t="s">
        <v>393</v>
      </c>
      <c r="M15" s="0" t="s">
        <v>693</v>
      </c>
      <c r="N15" s="0" t="s">
        <v>199</v>
      </c>
      <c r="O15" s="0" t="s">
        <v>102</v>
      </c>
      <c r="P15" s="0" t="s">
        <v>41</v>
      </c>
      <c r="Q15" s="0" t="s">
        <v>34</v>
      </c>
      <c r="R15" s="0" t="s">
        <v>34</v>
      </c>
      <c r="S15" s="0" t="s">
        <v>34</v>
      </c>
      <c r="T15" s="0" t="s">
        <v>34</v>
      </c>
      <c r="U15" s="0" t="s">
        <v>34</v>
      </c>
      <c r="V15" s="0" t="s">
        <v>34</v>
      </c>
      <c r="W15" s="0" t="s">
        <v>34</v>
      </c>
      <c r="X15" s="0" t="s">
        <v>34</v>
      </c>
      <c r="Y15" s="0" t="s">
        <v>675</v>
      </c>
      <c r="Z15" s="0" t="s">
        <v>43</v>
      </c>
      <c r="AA15" s="0" t="s">
        <v>43</v>
      </c>
      <c r="AB15" s="0" t="s">
        <v>34</v>
      </c>
      <c r="AC15" s="0" t="s">
        <v>694</v>
      </c>
      <c r="AD15" s="0">
        <f>IF($AC15="","NEW","Live")</f>
      </c>
      <c r="AE15" s="8" t="s">
        <v>34</v>
      </c>
    </row>
    <row r="16">
      <c r="A16" s="0" t="s">
        <v>695</v>
      </c>
      <c r="B16" s="0">
        <v>1</v>
      </c>
      <c r="C16" s="0" t="s">
        <v>174</v>
      </c>
      <c r="D16" s="0" t="s">
        <v>193</v>
      </c>
      <c r="E16" s="0" t="s">
        <v>34</v>
      </c>
      <c r="F16" s="0" t="s">
        <v>34</v>
      </c>
      <c r="G16" s="8" t="s">
        <v>194</v>
      </c>
      <c r="H16" s="0" t="s">
        <v>101</v>
      </c>
      <c r="I16" s="0">
        <v>1</v>
      </c>
      <c r="J16" s="0">
        <v>1</v>
      </c>
      <c r="K16" s="0" t="s">
        <v>696</v>
      </c>
      <c r="L16" s="0" t="s">
        <v>393</v>
      </c>
      <c r="M16" s="0" t="s">
        <v>693</v>
      </c>
      <c r="N16" s="0" t="s">
        <v>139</v>
      </c>
      <c r="O16" s="0" t="s">
        <v>102</v>
      </c>
      <c r="P16" s="0" t="s">
        <v>41</v>
      </c>
      <c r="Q16" s="0" t="s">
        <v>34</v>
      </c>
      <c r="R16" s="0" t="s">
        <v>34</v>
      </c>
      <c r="S16" s="0" t="s">
        <v>34</v>
      </c>
      <c r="T16" s="0" t="s">
        <v>34</v>
      </c>
      <c r="U16" s="0" t="s">
        <v>34</v>
      </c>
      <c r="V16" s="0" t="s">
        <v>34</v>
      </c>
      <c r="W16" s="0" t="s">
        <v>34</v>
      </c>
      <c r="X16" s="0" t="s">
        <v>34</v>
      </c>
      <c r="Y16" s="0" t="s">
        <v>34</v>
      </c>
      <c r="Z16" s="0" t="s">
        <v>43</v>
      </c>
      <c r="AA16" s="0" t="s">
        <v>43</v>
      </c>
      <c r="AB16" s="0" t="s">
        <v>34</v>
      </c>
      <c r="AC16" s="0" t="s">
        <v>697</v>
      </c>
      <c r="AD16" s="0">
        <f>IF($AC16="","NEW","Live")</f>
      </c>
      <c r="AE16" s="8" t="s">
        <v>34</v>
      </c>
    </row>
    <row r="17">
      <c r="A17" s="0" t="s">
        <v>698</v>
      </c>
      <c r="B17" s="0">
        <v>1</v>
      </c>
      <c r="C17" s="0" t="s">
        <v>174</v>
      </c>
      <c r="D17" s="0" t="s">
        <v>272</v>
      </c>
      <c r="E17" s="0" t="s">
        <v>34</v>
      </c>
      <c r="F17" s="0" t="s">
        <v>34</v>
      </c>
      <c r="G17" s="8" t="s">
        <v>699</v>
      </c>
      <c r="H17" s="0" t="s">
        <v>101</v>
      </c>
      <c r="I17" s="0">
        <v>1</v>
      </c>
      <c r="J17" s="0">
        <v>1</v>
      </c>
      <c r="K17" s="0" t="s">
        <v>700</v>
      </c>
      <c r="L17" s="0" t="s">
        <v>393</v>
      </c>
      <c r="M17" s="0" t="s">
        <v>693</v>
      </c>
      <c r="N17" s="0" t="s">
        <v>139</v>
      </c>
      <c r="O17" s="0" t="s">
        <v>102</v>
      </c>
      <c r="P17" s="0" t="s">
        <v>78</v>
      </c>
      <c r="Q17" s="0" t="s">
        <v>34</v>
      </c>
      <c r="R17" s="0" t="s">
        <v>34</v>
      </c>
      <c r="S17" s="0" t="s">
        <v>34</v>
      </c>
      <c r="T17" s="0" t="s">
        <v>34</v>
      </c>
      <c r="U17" s="0" t="s">
        <v>34</v>
      </c>
      <c r="V17" s="0" t="s">
        <v>34</v>
      </c>
      <c r="W17" s="0" t="s">
        <v>34</v>
      </c>
      <c r="X17" s="0" t="s">
        <v>34</v>
      </c>
      <c r="Y17" s="0" t="s">
        <v>34</v>
      </c>
      <c r="Z17" s="0" t="s">
        <v>43</v>
      </c>
      <c r="AA17" s="0" t="s">
        <v>43</v>
      </c>
      <c r="AB17" s="0" t="s">
        <v>34</v>
      </c>
      <c r="AC17" s="0" t="s">
        <v>701</v>
      </c>
      <c r="AD17" s="0">
        <f>IF($AC17="","NEW","Live")</f>
      </c>
      <c r="AE17" s="8" t="s">
        <v>34</v>
      </c>
    </row>
    <row r="18">
      <c r="A18" s="0" t="s">
        <v>702</v>
      </c>
      <c r="B18" s="0">
        <v>0</v>
      </c>
      <c r="C18" s="0" t="s">
        <v>174</v>
      </c>
      <c r="D18" s="0" t="s">
        <v>703</v>
      </c>
      <c r="E18" s="0" t="s">
        <v>34</v>
      </c>
      <c r="F18" s="0" t="s">
        <v>34</v>
      </c>
      <c r="G18" s="8" t="s">
        <v>704</v>
      </c>
      <c r="H18" s="0" t="s">
        <v>101</v>
      </c>
      <c r="I18" s="0">
        <v>1</v>
      </c>
      <c r="J18" s="0">
        <v>3</v>
      </c>
      <c r="K18" s="0" t="s">
        <v>702</v>
      </c>
      <c r="L18" s="0" t="s">
        <v>393</v>
      </c>
      <c r="M18" s="0" t="s">
        <v>705</v>
      </c>
      <c r="N18" s="0" t="s">
        <v>199</v>
      </c>
      <c r="O18" s="0" t="s">
        <v>102</v>
      </c>
      <c r="P18" s="3" t="s">
        <v>144</v>
      </c>
      <c r="Q18" s="0" t="s">
        <v>34</v>
      </c>
      <c r="R18" s="0" t="s">
        <v>34</v>
      </c>
      <c r="S18" s="0" t="s">
        <v>34</v>
      </c>
      <c r="T18" s="0" t="s">
        <v>34</v>
      </c>
      <c r="U18" s="0" t="s">
        <v>34</v>
      </c>
      <c r="V18" s="0" t="s">
        <v>34</v>
      </c>
      <c r="W18" s="0" t="s">
        <v>34</v>
      </c>
      <c r="X18" s="0" t="s">
        <v>34</v>
      </c>
      <c r="Y18" s="0" t="s">
        <v>706</v>
      </c>
      <c r="Z18" s="0" t="s">
        <v>43</v>
      </c>
      <c r="AA18" s="0" t="s">
        <v>43</v>
      </c>
      <c r="AB18" s="0" t="s">
        <v>34</v>
      </c>
      <c r="AC18" s="0" t="s">
        <v>707</v>
      </c>
      <c r="AD18" s="0">
        <f>IF($AC18="","NEW","Live")</f>
      </c>
      <c r="AE18" s="8" t="s">
        <v>34</v>
      </c>
    </row>
    <row r="19">
      <c r="A19" s="0" t="s">
        <v>708</v>
      </c>
      <c r="B19" s="0">
        <v>1</v>
      </c>
      <c r="C19" s="0" t="s">
        <v>174</v>
      </c>
      <c r="D19" s="0" t="s">
        <v>161</v>
      </c>
      <c r="E19" s="0" t="s">
        <v>73</v>
      </c>
      <c r="F19" s="0" t="s">
        <v>34</v>
      </c>
      <c r="G19" s="8" t="s">
        <v>709</v>
      </c>
      <c r="H19" s="0" t="s">
        <v>101</v>
      </c>
      <c r="I19" s="0">
        <v>1</v>
      </c>
      <c r="J19" s="0">
        <v>1</v>
      </c>
      <c r="K19" s="0" t="s">
        <v>708</v>
      </c>
      <c r="L19" s="0" t="s">
        <v>393</v>
      </c>
      <c r="M19" s="0" t="s">
        <v>705</v>
      </c>
      <c r="N19" s="0" t="s">
        <v>139</v>
      </c>
      <c r="O19" s="0" t="s">
        <v>102</v>
      </c>
      <c r="P19" s="0" t="s">
        <v>41</v>
      </c>
      <c r="Q19" s="0" t="s">
        <v>34</v>
      </c>
      <c r="R19" s="0" t="s">
        <v>40</v>
      </c>
      <c r="S19" s="0" t="s">
        <v>41</v>
      </c>
      <c r="T19" s="0" t="s">
        <v>34</v>
      </c>
      <c r="U19" s="0" t="s">
        <v>34</v>
      </c>
      <c r="V19" s="0" t="s">
        <v>34</v>
      </c>
      <c r="W19" s="0" t="s">
        <v>34</v>
      </c>
      <c r="X19" s="0" t="s">
        <v>34</v>
      </c>
      <c r="Y19" s="0" t="s">
        <v>34</v>
      </c>
      <c r="Z19" s="0" t="s">
        <v>43</v>
      </c>
      <c r="AA19" s="0" t="s">
        <v>43</v>
      </c>
      <c r="AB19" s="0" t="s">
        <v>34</v>
      </c>
      <c r="AC19" s="0" t="s">
        <v>710</v>
      </c>
      <c r="AD19" s="0">
        <f>IF($AC19="","NEW","Live")</f>
      </c>
      <c r="AE19" s="8" t="s">
        <v>34</v>
      </c>
    </row>
    <row r="20">
      <c r="A20" s="0" t="s">
        <v>157</v>
      </c>
      <c r="B20" s="0">
        <v>1</v>
      </c>
      <c r="C20" s="0" t="s">
        <v>174</v>
      </c>
      <c r="D20" s="0" t="s">
        <v>193</v>
      </c>
      <c r="E20" s="0" t="s">
        <v>449</v>
      </c>
      <c r="F20" s="0" t="s">
        <v>367</v>
      </c>
      <c r="G20" s="8" t="s">
        <v>711</v>
      </c>
      <c r="H20" s="0" t="s">
        <v>101</v>
      </c>
      <c r="I20" s="0">
        <v>1</v>
      </c>
      <c r="J20" s="0">
        <v>1</v>
      </c>
      <c r="K20" s="0" t="s">
        <v>712</v>
      </c>
      <c r="L20" s="0" t="s">
        <v>393</v>
      </c>
      <c r="M20" s="0" t="s">
        <v>705</v>
      </c>
      <c r="N20" s="0" t="s">
        <v>139</v>
      </c>
      <c r="O20" s="0" t="s">
        <v>102</v>
      </c>
      <c r="P20" s="0" t="s">
        <v>41</v>
      </c>
      <c r="Q20" s="0" t="s">
        <v>34</v>
      </c>
      <c r="R20" s="0" t="s">
        <v>40</v>
      </c>
      <c r="S20" s="0" t="s">
        <v>41</v>
      </c>
      <c r="T20" s="0" t="s">
        <v>34</v>
      </c>
      <c r="U20" s="0" t="s">
        <v>40</v>
      </c>
      <c r="V20" s="0" t="s">
        <v>41</v>
      </c>
      <c r="W20" s="0" t="s">
        <v>34</v>
      </c>
      <c r="X20" s="0" t="s">
        <v>34</v>
      </c>
      <c r="Y20" s="0" t="s">
        <v>34</v>
      </c>
      <c r="Z20" s="0" t="s">
        <v>43</v>
      </c>
      <c r="AA20" s="0" t="s">
        <v>43</v>
      </c>
      <c r="AB20" s="0" t="s">
        <v>34</v>
      </c>
      <c r="AC20" s="0" t="s">
        <v>713</v>
      </c>
      <c r="AD20" s="0">
        <f>IF($AC20="","NEW","Live")</f>
      </c>
      <c r="AE20" s="8" t="s">
        <v>34</v>
      </c>
    </row>
    <row r="21">
      <c r="A21" s="0" t="s">
        <v>714</v>
      </c>
      <c r="B21" s="0">
        <v>0</v>
      </c>
      <c r="C21" s="0" t="s">
        <v>174</v>
      </c>
      <c r="D21" s="0" t="s">
        <v>715</v>
      </c>
      <c r="E21" s="0" t="s">
        <v>34</v>
      </c>
      <c r="F21" s="0" t="s">
        <v>34</v>
      </c>
      <c r="G21" s="8" t="s">
        <v>716</v>
      </c>
      <c r="H21" s="0" t="s">
        <v>101</v>
      </c>
      <c r="I21" s="0">
        <v>1</v>
      </c>
      <c r="J21" s="0">
        <v>3</v>
      </c>
      <c r="K21" s="0" t="s">
        <v>717</v>
      </c>
      <c r="L21" s="0" t="s">
        <v>393</v>
      </c>
      <c r="M21" s="0" t="s">
        <v>718</v>
      </c>
      <c r="N21" s="0" t="s">
        <v>199</v>
      </c>
      <c r="O21" s="0" t="s">
        <v>102</v>
      </c>
      <c r="P21" s="0" t="s">
        <v>41</v>
      </c>
      <c r="Q21" s="0" t="s">
        <v>34</v>
      </c>
      <c r="R21" s="0" t="s">
        <v>34</v>
      </c>
      <c r="S21" s="0" t="s">
        <v>34</v>
      </c>
      <c r="T21" s="0" t="s">
        <v>34</v>
      </c>
      <c r="U21" s="0" t="s">
        <v>34</v>
      </c>
      <c r="V21" s="0" t="s">
        <v>34</v>
      </c>
      <c r="W21" s="0" t="s">
        <v>34</v>
      </c>
      <c r="X21" s="0" t="s">
        <v>34</v>
      </c>
      <c r="Y21" s="0" t="s">
        <v>675</v>
      </c>
      <c r="Z21" s="0" t="s">
        <v>43</v>
      </c>
      <c r="AA21" s="0" t="s">
        <v>43</v>
      </c>
      <c r="AB21" s="0" t="s">
        <v>34</v>
      </c>
      <c r="AC21" s="0" t="s">
        <v>719</v>
      </c>
      <c r="AD21" s="0">
        <f>IF($AC21="","NEW","Live")</f>
      </c>
      <c r="AE21" s="8" t="s">
        <v>34</v>
      </c>
    </row>
    <row r="22">
      <c r="A22" s="0" t="s">
        <v>720</v>
      </c>
      <c r="B22" s="0">
        <v>1</v>
      </c>
      <c r="C22" s="0" t="s">
        <v>174</v>
      </c>
      <c r="D22" s="0" t="s">
        <v>136</v>
      </c>
      <c r="E22" s="0" t="s">
        <v>34</v>
      </c>
      <c r="F22" s="0" t="s">
        <v>34</v>
      </c>
      <c r="G22" s="8" t="s">
        <v>721</v>
      </c>
      <c r="H22" s="0" t="s">
        <v>101</v>
      </c>
      <c r="I22" s="0">
        <v>2</v>
      </c>
      <c r="J22" s="0">
        <v>5</v>
      </c>
      <c r="K22" s="0" t="s">
        <v>722</v>
      </c>
      <c r="L22" s="0" t="s">
        <v>393</v>
      </c>
      <c r="M22" s="0" t="s">
        <v>718</v>
      </c>
      <c r="N22" s="0" t="s">
        <v>139</v>
      </c>
      <c r="O22" s="0" t="s">
        <v>102</v>
      </c>
      <c r="P22" s="0" t="s">
        <v>78</v>
      </c>
      <c r="Q22" s="0" t="s">
        <v>34</v>
      </c>
      <c r="R22" s="0" t="s">
        <v>34</v>
      </c>
      <c r="S22" s="0" t="s">
        <v>34</v>
      </c>
      <c r="T22" s="0" t="s">
        <v>34</v>
      </c>
      <c r="U22" s="0" t="s">
        <v>34</v>
      </c>
      <c r="V22" s="0" t="s">
        <v>34</v>
      </c>
      <c r="W22" s="0" t="s">
        <v>34</v>
      </c>
      <c r="X22" s="0" t="s">
        <v>34</v>
      </c>
      <c r="Y22" s="0" t="s">
        <v>34</v>
      </c>
      <c r="Z22" s="0" t="s">
        <v>43</v>
      </c>
      <c r="AA22" s="0" t="s">
        <v>43</v>
      </c>
      <c r="AB22" s="0" t="s">
        <v>283</v>
      </c>
      <c r="AC22" s="0" t="s">
        <v>723</v>
      </c>
      <c r="AD22" s="0">
        <f>IF($AC22="","NEW","Live")</f>
      </c>
      <c r="AE22" s="8" t="s">
        <v>34</v>
      </c>
    </row>
    <row r="23">
      <c r="A23" s="0" t="s">
        <v>724</v>
      </c>
      <c r="B23" s="0">
        <v>1</v>
      </c>
      <c r="C23" s="0" t="s">
        <v>174</v>
      </c>
      <c r="D23" s="0" t="s">
        <v>272</v>
      </c>
      <c r="E23" s="0" t="s">
        <v>82</v>
      </c>
      <c r="F23" s="0" t="s">
        <v>34</v>
      </c>
      <c r="G23" s="8" t="s">
        <v>725</v>
      </c>
      <c r="H23" s="0" t="s">
        <v>101</v>
      </c>
      <c r="I23" s="0">
        <v>1</v>
      </c>
      <c r="J23" s="0">
        <v>4</v>
      </c>
      <c r="K23" s="0" t="s">
        <v>726</v>
      </c>
      <c r="L23" s="0" t="s">
        <v>393</v>
      </c>
      <c r="M23" s="0" t="s">
        <v>718</v>
      </c>
      <c r="N23" s="0" t="s">
        <v>139</v>
      </c>
      <c r="O23" s="0" t="s">
        <v>102</v>
      </c>
      <c r="P23" s="0" t="s">
        <v>41</v>
      </c>
      <c r="Q23" s="0" t="s">
        <v>34</v>
      </c>
      <c r="R23" s="0" t="s">
        <v>40</v>
      </c>
      <c r="S23" s="0" t="s">
        <v>41</v>
      </c>
      <c r="T23" s="0" t="s">
        <v>34</v>
      </c>
      <c r="U23" s="0" t="s">
        <v>34</v>
      </c>
      <c r="V23" s="0" t="s">
        <v>34</v>
      </c>
      <c r="W23" s="0" t="s">
        <v>34</v>
      </c>
      <c r="X23" s="0" t="s">
        <v>34</v>
      </c>
      <c r="Y23" s="0" t="s">
        <v>34</v>
      </c>
      <c r="Z23" s="0" t="s">
        <v>43</v>
      </c>
      <c r="AA23" s="0" t="s">
        <v>43</v>
      </c>
      <c r="AB23" s="0" t="s">
        <v>259</v>
      </c>
      <c r="AC23" s="0" t="s">
        <v>727</v>
      </c>
      <c r="AD23" s="0">
        <f>IF($AC23="","NEW","Live")</f>
      </c>
      <c r="AE23" s="8" t="s">
        <v>34</v>
      </c>
    </row>
    <row r="24">
      <c r="A24" s="0" t="s">
        <v>728</v>
      </c>
      <c r="B24" s="0">
        <v>0</v>
      </c>
      <c r="C24" s="0" t="s">
        <v>174</v>
      </c>
      <c r="D24" s="0" t="s">
        <v>729</v>
      </c>
      <c r="E24" s="0" t="s">
        <v>34</v>
      </c>
      <c r="F24" s="0" t="s">
        <v>34</v>
      </c>
      <c r="G24" s="8" t="s">
        <v>730</v>
      </c>
      <c r="H24" s="0" t="s">
        <v>101</v>
      </c>
      <c r="I24" s="0">
        <v>1</v>
      </c>
      <c r="J24" s="0">
        <v>3</v>
      </c>
      <c r="K24" s="0" t="s">
        <v>731</v>
      </c>
      <c r="L24" s="0" t="s">
        <v>393</v>
      </c>
      <c r="M24" s="0" t="s">
        <v>732</v>
      </c>
      <c r="N24" s="0" t="s">
        <v>199</v>
      </c>
      <c r="O24" s="0" t="s">
        <v>102</v>
      </c>
      <c r="P24" s="0" t="s">
        <v>41</v>
      </c>
      <c r="Q24" s="0" t="s">
        <v>34</v>
      </c>
      <c r="R24" s="0" t="s">
        <v>34</v>
      </c>
      <c r="S24" s="0" t="s">
        <v>34</v>
      </c>
      <c r="T24" s="0" t="s">
        <v>34</v>
      </c>
      <c r="U24" s="0" t="s">
        <v>34</v>
      </c>
      <c r="V24" s="0" t="s">
        <v>34</v>
      </c>
      <c r="W24" s="0" t="s">
        <v>34</v>
      </c>
      <c r="X24" s="0" t="s">
        <v>34</v>
      </c>
      <c r="Y24" s="0" t="s">
        <v>733</v>
      </c>
      <c r="Z24" s="0" t="s">
        <v>43</v>
      </c>
      <c r="AA24" s="0" t="s">
        <v>43</v>
      </c>
      <c r="AB24" s="0" t="s">
        <v>34</v>
      </c>
      <c r="AC24" s="0" t="s">
        <v>734</v>
      </c>
      <c r="AD24" s="0">
        <f>IF($AC24="","NEW","Live")</f>
      </c>
      <c r="AE24" s="8" t="s">
        <v>34</v>
      </c>
    </row>
    <row r="25">
      <c r="A25" s="0" t="s">
        <v>735</v>
      </c>
      <c r="B25" s="0">
        <v>1</v>
      </c>
      <c r="C25" s="0" t="s">
        <v>174</v>
      </c>
      <c r="D25" s="0" t="s">
        <v>161</v>
      </c>
      <c r="E25" s="0" t="s">
        <v>34</v>
      </c>
      <c r="F25" s="0" t="s">
        <v>34</v>
      </c>
      <c r="G25" s="8" t="s">
        <v>736</v>
      </c>
      <c r="H25" s="0" t="s">
        <v>101</v>
      </c>
      <c r="I25" s="0">
        <v>2</v>
      </c>
      <c r="J25" s="0">
        <v>5</v>
      </c>
      <c r="K25" s="0" t="s">
        <v>737</v>
      </c>
      <c r="L25" s="0" t="s">
        <v>393</v>
      </c>
      <c r="M25" s="0" t="s">
        <v>732</v>
      </c>
      <c r="N25" s="0" t="s">
        <v>139</v>
      </c>
      <c r="O25" s="0" t="s">
        <v>102</v>
      </c>
      <c r="P25" s="0" t="s">
        <v>41</v>
      </c>
      <c r="Q25" s="0" t="s">
        <v>34</v>
      </c>
      <c r="R25" s="0" t="s">
        <v>34</v>
      </c>
      <c r="S25" s="0" t="s">
        <v>34</v>
      </c>
      <c r="T25" s="0" t="s">
        <v>34</v>
      </c>
      <c r="U25" s="0" t="s">
        <v>34</v>
      </c>
      <c r="V25" s="0" t="s">
        <v>34</v>
      </c>
      <c r="W25" s="0" t="s">
        <v>34</v>
      </c>
      <c r="X25" s="0" t="s">
        <v>34</v>
      </c>
      <c r="Y25" s="0" t="s">
        <v>34</v>
      </c>
      <c r="Z25" s="0" t="s">
        <v>43</v>
      </c>
      <c r="AA25" s="0" t="s">
        <v>43</v>
      </c>
      <c r="AB25" s="0" t="s">
        <v>259</v>
      </c>
      <c r="AC25" s="0" t="s">
        <v>738</v>
      </c>
      <c r="AD25" s="0">
        <f>IF($AC25="","NEW","Live")</f>
      </c>
      <c r="AE25" s="8" t="s">
        <v>34</v>
      </c>
    </row>
    <row r="26">
      <c r="A26" s="0" t="s">
        <v>739</v>
      </c>
      <c r="B26" s="0">
        <v>1</v>
      </c>
      <c r="C26" s="0" t="s">
        <v>174</v>
      </c>
      <c r="D26" s="0" t="s">
        <v>272</v>
      </c>
      <c r="E26" s="0" t="s">
        <v>255</v>
      </c>
      <c r="F26" s="0" t="s">
        <v>178</v>
      </c>
      <c r="G26" s="8" t="s">
        <v>740</v>
      </c>
      <c r="H26" s="0" t="s">
        <v>101</v>
      </c>
      <c r="I26" s="0">
        <v>1</v>
      </c>
      <c r="J26" s="0">
        <v>4</v>
      </c>
      <c r="K26" s="0" t="s">
        <v>741</v>
      </c>
      <c r="L26" s="0" t="s">
        <v>393</v>
      </c>
      <c r="M26" s="0" t="s">
        <v>732</v>
      </c>
      <c r="N26" s="0" t="s">
        <v>139</v>
      </c>
      <c r="O26" s="0" t="s">
        <v>102</v>
      </c>
      <c r="P26" s="0" t="s">
        <v>41</v>
      </c>
      <c r="Q26" s="0" t="s">
        <v>34</v>
      </c>
      <c r="R26" s="0" t="s">
        <v>102</v>
      </c>
      <c r="S26" s="0" t="s">
        <v>41</v>
      </c>
      <c r="T26" s="0" t="s">
        <v>34</v>
      </c>
      <c r="U26" s="0" t="s">
        <v>102</v>
      </c>
      <c r="V26" s="0" t="s">
        <v>41</v>
      </c>
      <c r="W26" s="0" t="s">
        <v>34</v>
      </c>
      <c r="X26" s="0" t="s">
        <v>34</v>
      </c>
      <c r="Y26" s="0" t="s">
        <v>742</v>
      </c>
      <c r="Z26" s="0" t="s">
        <v>43</v>
      </c>
      <c r="AA26" s="0" t="s">
        <v>43</v>
      </c>
      <c r="AB26" s="0" t="s">
        <v>259</v>
      </c>
      <c r="AC26" s="0" t="s">
        <v>743</v>
      </c>
      <c r="AD26" s="0">
        <f>IF($AC26="","NEW","Live")</f>
      </c>
      <c r="AE26" s="8" t="s">
        <v>34</v>
      </c>
    </row>
    <row r="27">
      <c r="A27" s="0" t="s">
        <v>744</v>
      </c>
      <c r="B27" s="0">
        <v>0</v>
      </c>
      <c r="C27" s="0" t="s">
        <v>174</v>
      </c>
      <c r="D27" s="0" t="s">
        <v>745</v>
      </c>
      <c r="E27" s="0" t="s">
        <v>34</v>
      </c>
      <c r="F27" s="0" t="s">
        <v>34</v>
      </c>
      <c r="G27" s="8" t="s">
        <v>746</v>
      </c>
      <c r="H27" s="0" t="s">
        <v>101</v>
      </c>
      <c r="I27" s="0">
        <v>1</v>
      </c>
      <c r="J27" s="0">
        <v>3</v>
      </c>
      <c r="K27" s="0" t="s">
        <v>747</v>
      </c>
      <c r="L27" s="0" t="s">
        <v>393</v>
      </c>
      <c r="M27" s="0" t="s">
        <v>748</v>
      </c>
      <c r="N27" s="0" t="s">
        <v>199</v>
      </c>
      <c r="O27" s="0" t="s">
        <v>102</v>
      </c>
      <c r="P27" s="0" t="s">
        <v>41</v>
      </c>
      <c r="Q27" s="0" t="s">
        <v>34</v>
      </c>
      <c r="R27" s="0" t="s">
        <v>34</v>
      </c>
      <c r="S27" s="0" t="s">
        <v>34</v>
      </c>
      <c r="T27" s="0" t="s">
        <v>34</v>
      </c>
      <c r="U27" s="0" t="s">
        <v>34</v>
      </c>
      <c r="V27" s="0" t="s">
        <v>34</v>
      </c>
      <c r="W27" s="0" t="s">
        <v>34</v>
      </c>
      <c r="X27" s="0" t="s">
        <v>34</v>
      </c>
      <c r="Y27" s="0" t="s">
        <v>675</v>
      </c>
      <c r="Z27" s="0" t="s">
        <v>43</v>
      </c>
      <c r="AA27" s="0" t="s">
        <v>43</v>
      </c>
      <c r="AB27" s="0" t="s">
        <v>34</v>
      </c>
      <c r="AC27" s="0" t="s">
        <v>749</v>
      </c>
      <c r="AD27" s="0">
        <f>IF($AC27="","NEW","Live")</f>
      </c>
      <c r="AE27" s="8" t="s">
        <v>34</v>
      </c>
    </row>
    <row r="28">
      <c r="A28" s="0" t="s">
        <v>750</v>
      </c>
      <c r="B28" s="0">
        <v>1</v>
      </c>
      <c r="C28" s="0" t="s">
        <v>174</v>
      </c>
      <c r="D28" s="0" t="s">
        <v>193</v>
      </c>
      <c r="E28" s="0" t="s">
        <v>82</v>
      </c>
      <c r="F28" s="0" t="s">
        <v>34</v>
      </c>
      <c r="G28" s="8" t="s">
        <v>751</v>
      </c>
      <c r="H28" s="0" t="s">
        <v>101</v>
      </c>
      <c r="I28" s="0">
        <v>1</v>
      </c>
      <c r="J28" s="0">
        <v>4</v>
      </c>
      <c r="K28" s="0" t="s">
        <v>752</v>
      </c>
      <c r="L28" s="0" t="s">
        <v>393</v>
      </c>
      <c r="M28" s="0" t="s">
        <v>748</v>
      </c>
      <c r="N28" s="0" t="s">
        <v>350</v>
      </c>
      <c r="O28" s="0" t="s">
        <v>102</v>
      </c>
      <c r="P28" s="0" t="s">
        <v>41</v>
      </c>
      <c r="Q28" s="0" t="s">
        <v>34</v>
      </c>
      <c r="R28" s="0" t="s">
        <v>40</v>
      </c>
      <c r="S28" s="0" t="s">
        <v>41</v>
      </c>
      <c r="T28" s="0" t="s">
        <v>34</v>
      </c>
      <c r="U28" s="0" t="s">
        <v>34</v>
      </c>
      <c r="V28" s="0" t="s">
        <v>34</v>
      </c>
      <c r="W28" s="0" t="s">
        <v>34</v>
      </c>
      <c r="X28" s="0" t="s">
        <v>34</v>
      </c>
      <c r="Y28" s="0" t="s">
        <v>34</v>
      </c>
      <c r="Z28" s="0" t="s">
        <v>43</v>
      </c>
      <c r="AA28" s="0" t="s">
        <v>43</v>
      </c>
      <c r="AB28" s="0" t="s">
        <v>283</v>
      </c>
      <c r="AC28" s="0" t="s">
        <v>753</v>
      </c>
      <c r="AD28" s="0">
        <f>IF($AC28="","NEW","Live")</f>
      </c>
      <c r="AE28" s="8" t="s">
        <v>34</v>
      </c>
    </row>
    <row r="29">
      <c r="A29" s="0" t="s">
        <v>754</v>
      </c>
      <c r="B29" s="0">
        <v>1</v>
      </c>
      <c r="C29" s="0" t="s">
        <v>174</v>
      </c>
      <c r="D29" s="0" t="s">
        <v>167</v>
      </c>
      <c r="E29" s="0" t="s">
        <v>34</v>
      </c>
      <c r="F29" s="0" t="s">
        <v>34</v>
      </c>
      <c r="G29" s="8" t="s">
        <v>755</v>
      </c>
      <c r="H29" s="0" t="s">
        <v>101</v>
      </c>
      <c r="I29" s="0">
        <v>2</v>
      </c>
      <c r="J29" s="0">
        <v>5</v>
      </c>
      <c r="K29" s="0" t="s">
        <v>756</v>
      </c>
      <c r="L29" s="0" t="s">
        <v>393</v>
      </c>
      <c r="M29" s="0" t="s">
        <v>748</v>
      </c>
      <c r="N29" s="0" t="s">
        <v>350</v>
      </c>
      <c r="O29" s="0" t="s">
        <v>102</v>
      </c>
      <c r="P29" s="0" t="s">
        <v>41</v>
      </c>
      <c r="Q29" s="0" t="s">
        <v>34</v>
      </c>
      <c r="R29" s="0" t="s">
        <v>34</v>
      </c>
      <c r="S29" s="0" t="s">
        <v>34</v>
      </c>
      <c r="T29" s="0" t="s">
        <v>34</v>
      </c>
      <c r="U29" s="0" t="s">
        <v>34</v>
      </c>
      <c r="V29" s="0" t="s">
        <v>34</v>
      </c>
      <c r="W29" s="0" t="s">
        <v>34</v>
      </c>
      <c r="X29" s="0" t="s">
        <v>34</v>
      </c>
      <c r="Y29" s="0" t="s">
        <v>34</v>
      </c>
      <c r="Z29" s="0" t="s">
        <v>43</v>
      </c>
      <c r="AA29" s="0" t="s">
        <v>43</v>
      </c>
      <c r="AB29" s="0" t="s">
        <v>283</v>
      </c>
      <c r="AC29" s="0" t="s">
        <v>757</v>
      </c>
      <c r="AD29" s="0">
        <f>IF($AC29="","NEW","Live")</f>
      </c>
      <c r="AE29" s="8" t="s">
        <v>34</v>
      </c>
    </row>
    <row r="30">
      <c r="A30" s="0" t="s">
        <v>758</v>
      </c>
      <c r="B30" s="0">
        <v>1</v>
      </c>
      <c r="C30" s="0" t="s">
        <v>174</v>
      </c>
      <c r="D30" s="0" t="s">
        <v>272</v>
      </c>
      <c r="E30" s="0" t="s">
        <v>34</v>
      </c>
      <c r="F30" s="0" t="s">
        <v>34</v>
      </c>
      <c r="G30" s="8" t="s">
        <v>388</v>
      </c>
      <c r="H30" s="0" t="s">
        <v>101</v>
      </c>
      <c r="I30" s="0">
        <v>2</v>
      </c>
      <c r="J30" s="0">
        <v>4</v>
      </c>
      <c r="K30" s="0" t="s">
        <v>759</v>
      </c>
      <c r="L30" s="0" t="s">
        <v>393</v>
      </c>
      <c r="M30" s="0" t="s">
        <v>760</v>
      </c>
      <c r="N30" s="0" t="s">
        <v>139</v>
      </c>
      <c r="O30" s="0" t="s">
        <v>102</v>
      </c>
      <c r="P30" s="0" t="s">
        <v>41</v>
      </c>
      <c r="Q30" s="0" t="s">
        <v>34</v>
      </c>
      <c r="R30" s="0" t="s">
        <v>34</v>
      </c>
      <c r="S30" s="0" t="s">
        <v>34</v>
      </c>
      <c r="T30" s="0" t="s">
        <v>34</v>
      </c>
      <c r="U30" s="0" t="s">
        <v>34</v>
      </c>
      <c r="V30" s="0" t="s">
        <v>34</v>
      </c>
      <c r="W30" s="0" t="s">
        <v>34</v>
      </c>
      <c r="X30" s="0" t="s">
        <v>34</v>
      </c>
      <c r="Y30" s="0" t="s">
        <v>34</v>
      </c>
      <c r="Z30" s="0" t="s">
        <v>43</v>
      </c>
      <c r="AA30" s="0" t="s">
        <v>43</v>
      </c>
      <c r="AB30" s="0" t="s">
        <v>259</v>
      </c>
      <c r="AC30" s="0" t="s">
        <v>761</v>
      </c>
      <c r="AD30" s="0">
        <f>IF($AC30="","NEW","Live")</f>
      </c>
      <c r="AE30" s="8" t="s">
        <v>34</v>
      </c>
    </row>
    <row r="31">
      <c r="A31" s="0" t="s">
        <v>762</v>
      </c>
      <c r="B31" s="0">
        <v>1</v>
      </c>
      <c r="C31" s="0" t="s">
        <v>174</v>
      </c>
      <c r="D31" s="0" t="s">
        <v>136</v>
      </c>
      <c r="E31" s="0" t="s">
        <v>34</v>
      </c>
      <c r="F31" s="0" t="s">
        <v>34</v>
      </c>
      <c r="G31" s="8" t="s">
        <v>194</v>
      </c>
      <c r="H31" s="0" t="s">
        <v>101</v>
      </c>
      <c r="I31" s="0">
        <v>1</v>
      </c>
      <c r="J31" s="0">
        <v>1</v>
      </c>
      <c r="K31" s="0" t="s">
        <v>762</v>
      </c>
      <c r="L31" s="0" t="s">
        <v>393</v>
      </c>
      <c r="M31" s="0" t="s">
        <v>763</v>
      </c>
      <c r="N31" s="0" t="s">
        <v>139</v>
      </c>
      <c r="O31" s="0" t="s">
        <v>102</v>
      </c>
      <c r="P31" s="0" t="s">
        <v>41</v>
      </c>
      <c r="Q31" s="0" t="s">
        <v>34</v>
      </c>
      <c r="R31" s="0" t="s">
        <v>34</v>
      </c>
      <c r="S31" s="0" t="s">
        <v>34</v>
      </c>
      <c r="T31" s="0" t="s">
        <v>34</v>
      </c>
      <c r="U31" s="0" t="s">
        <v>34</v>
      </c>
      <c r="V31" s="0" t="s">
        <v>34</v>
      </c>
      <c r="W31" s="0" t="s">
        <v>34</v>
      </c>
      <c r="X31" s="0" t="s">
        <v>34</v>
      </c>
      <c r="Y31" s="0" t="s">
        <v>34</v>
      </c>
      <c r="Z31" s="0" t="s">
        <v>43</v>
      </c>
      <c r="AA31" s="0" t="s">
        <v>43</v>
      </c>
      <c r="AB31" s="0" t="s">
        <v>34</v>
      </c>
      <c r="AC31" s="0" t="s">
        <v>764</v>
      </c>
      <c r="AD31" s="0">
        <f>IF($AC31="","NEW","Live")</f>
      </c>
      <c r="AE31" s="8" t="s">
        <v>34</v>
      </c>
    </row>
    <row r="32">
      <c r="A32" s="0" t="s">
        <v>765</v>
      </c>
      <c r="B32" s="0">
        <v>1</v>
      </c>
      <c r="C32" s="0" t="s">
        <v>174</v>
      </c>
      <c r="D32" s="0" t="s">
        <v>136</v>
      </c>
      <c r="E32" s="0" t="s">
        <v>34</v>
      </c>
      <c r="F32" s="0" t="s">
        <v>34</v>
      </c>
      <c r="G32" s="8" t="s">
        <v>284</v>
      </c>
      <c r="H32" s="0" t="s">
        <v>101</v>
      </c>
      <c r="I32" s="0">
        <v>1</v>
      </c>
      <c r="J32" s="0">
        <v>1</v>
      </c>
      <c r="K32" s="0" t="s">
        <v>766</v>
      </c>
      <c r="L32" s="0" t="s">
        <v>393</v>
      </c>
      <c r="M32" s="0" t="s">
        <v>767</v>
      </c>
      <c r="N32" s="0" t="s">
        <v>139</v>
      </c>
      <c r="O32" s="0" t="s">
        <v>102</v>
      </c>
      <c r="P32" s="0" t="s">
        <v>41</v>
      </c>
      <c r="Q32" s="0" t="s">
        <v>34</v>
      </c>
      <c r="R32" s="0" t="s">
        <v>34</v>
      </c>
      <c r="S32" s="0" t="s">
        <v>34</v>
      </c>
      <c r="T32" s="0" t="s">
        <v>34</v>
      </c>
      <c r="U32" s="0" t="s">
        <v>34</v>
      </c>
      <c r="V32" s="0" t="s">
        <v>34</v>
      </c>
      <c r="W32" s="0" t="s">
        <v>34</v>
      </c>
      <c r="X32" s="0" t="s">
        <v>34</v>
      </c>
      <c r="Y32" s="0" t="s">
        <v>34</v>
      </c>
      <c r="Z32" s="0" t="s">
        <v>43</v>
      </c>
      <c r="AA32" s="0" t="s">
        <v>43</v>
      </c>
      <c r="AB32" s="0" t="s">
        <v>34</v>
      </c>
      <c r="AC32" s="0" t="s">
        <v>768</v>
      </c>
      <c r="AD32" s="0">
        <f>IF($AC32="","NEW","Live")</f>
      </c>
      <c r="AE32" s="8" t="s">
        <v>34</v>
      </c>
    </row>
    <row r="33">
      <c r="A33" s="0" t="s">
        <v>769</v>
      </c>
      <c r="B33" s="0">
        <v>1</v>
      </c>
      <c r="C33" s="0" t="s">
        <v>174</v>
      </c>
      <c r="D33" s="0" t="s">
        <v>770</v>
      </c>
      <c r="E33" s="0" t="s">
        <v>34</v>
      </c>
      <c r="F33" s="0" t="s">
        <v>34</v>
      </c>
      <c r="G33" s="8" t="s">
        <v>771</v>
      </c>
      <c r="H33" s="0" t="s">
        <v>101</v>
      </c>
      <c r="I33" s="0">
        <v>1</v>
      </c>
      <c r="J33" s="0">
        <v>1</v>
      </c>
      <c r="K33" s="0" t="s">
        <v>772</v>
      </c>
      <c r="L33" s="0" t="s">
        <v>393</v>
      </c>
      <c r="M33" s="0" t="s">
        <v>767</v>
      </c>
      <c r="N33" s="0" t="s">
        <v>34</v>
      </c>
      <c r="O33" s="0" t="s">
        <v>102</v>
      </c>
      <c r="P33" s="0" t="s">
        <v>41</v>
      </c>
      <c r="Q33" s="0" t="s">
        <v>34</v>
      </c>
      <c r="R33" s="0" t="s">
        <v>34</v>
      </c>
      <c r="S33" s="0" t="s">
        <v>34</v>
      </c>
      <c r="T33" s="0" t="s">
        <v>34</v>
      </c>
      <c r="U33" s="0" t="s">
        <v>34</v>
      </c>
      <c r="V33" s="0" t="s">
        <v>34</v>
      </c>
      <c r="W33" s="0" t="s">
        <v>34</v>
      </c>
      <c r="X33" s="0" t="s">
        <v>34</v>
      </c>
      <c r="Y33" s="0" t="s">
        <v>675</v>
      </c>
      <c r="Z33" s="0" t="s">
        <v>43</v>
      </c>
      <c r="AA33" s="0" t="s">
        <v>43</v>
      </c>
      <c r="AB33" s="0" t="s">
        <v>34</v>
      </c>
      <c r="AC33" s="0" t="s">
        <v>773</v>
      </c>
      <c r="AD33" s="0">
        <f>IF($AC33="","NEW","Live")</f>
      </c>
      <c r="AE33" s="8" t="s">
        <v>34</v>
      </c>
    </row>
    <row r="34">
      <c r="A34" s="0" t="s">
        <v>774</v>
      </c>
      <c r="B34" s="0">
        <v>1</v>
      </c>
      <c r="C34" s="0" t="s">
        <v>174</v>
      </c>
      <c r="D34" s="0" t="s">
        <v>161</v>
      </c>
      <c r="E34" s="0" t="s">
        <v>97</v>
      </c>
      <c r="F34" s="0" t="s">
        <v>367</v>
      </c>
      <c r="G34" s="8" t="s">
        <v>775</v>
      </c>
      <c r="H34" s="0" t="s">
        <v>101</v>
      </c>
      <c r="I34" s="0">
        <v>1</v>
      </c>
      <c r="J34" s="0">
        <v>1</v>
      </c>
      <c r="K34" s="0" t="s">
        <v>776</v>
      </c>
      <c r="L34" s="0" t="s">
        <v>393</v>
      </c>
      <c r="M34" s="0" t="s">
        <v>777</v>
      </c>
      <c r="N34" s="0" t="s">
        <v>139</v>
      </c>
      <c r="O34" s="0" t="s">
        <v>102</v>
      </c>
      <c r="P34" s="0" t="s">
        <v>41</v>
      </c>
      <c r="Q34" s="0" t="s">
        <v>34</v>
      </c>
      <c r="R34" s="0" t="s">
        <v>40</v>
      </c>
      <c r="S34" s="0" t="s">
        <v>41</v>
      </c>
      <c r="T34" s="0" t="s">
        <v>34</v>
      </c>
      <c r="U34" s="0" t="s">
        <v>40</v>
      </c>
      <c r="V34" s="0" t="s">
        <v>41</v>
      </c>
      <c r="W34" s="0" t="s">
        <v>34</v>
      </c>
      <c r="X34" s="0" t="s">
        <v>34</v>
      </c>
      <c r="Y34" s="0" t="s">
        <v>34</v>
      </c>
      <c r="Z34" s="0" t="s">
        <v>43</v>
      </c>
      <c r="AA34" s="0" t="s">
        <v>43</v>
      </c>
      <c r="AB34" s="0" t="s">
        <v>34</v>
      </c>
      <c r="AC34" s="0" t="s">
        <v>778</v>
      </c>
      <c r="AD34" s="0">
        <f>IF($AC34="","NEW","Live")</f>
      </c>
      <c r="AE34" s="8" t="s">
        <v>34</v>
      </c>
    </row>
    <row r="35">
      <c r="A35" s="0" t="s">
        <v>779</v>
      </c>
      <c r="B35" s="0">
        <v>1</v>
      </c>
      <c r="C35" s="0" t="s">
        <v>174</v>
      </c>
      <c r="D35" s="0" t="s">
        <v>780</v>
      </c>
      <c r="E35" s="0" t="s">
        <v>255</v>
      </c>
      <c r="F35" s="0" t="s">
        <v>34</v>
      </c>
      <c r="G35" s="8" t="s">
        <v>781</v>
      </c>
      <c r="H35" s="0" t="s">
        <v>101</v>
      </c>
      <c r="I35" s="0">
        <v>2</v>
      </c>
      <c r="J35" s="0">
        <v>4</v>
      </c>
      <c r="K35" s="0" t="s">
        <v>782</v>
      </c>
      <c r="L35" s="0" t="s">
        <v>393</v>
      </c>
      <c r="M35" s="0" t="s">
        <v>783</v>
      </c>
      <c r="N35" s="0" t="s">
        <v>139</v>
      </c>
      <c r="O35" s="0" t="s">
        <v>102</v>
      </c>
      <c r="P35" s="0" t="s">
        <v>78</v>
      </c>
      <c r="Q35" s="0" t="s">
        <v>34</v>
      </c>
      <c r="R35" s="0" t="s">
        <v>102</v>
      </c>
      <c r="S35" s="0" t="s">
        <v>78</v>
      </c>
      <c r="T35" s="0" t="s">
        <v>34</v>
      </c>
      <c r="U35" s="0" t="s">
        <v>34</v>
      </c>
      <c r="V35" s="0" t="s">
        <v>34</v>
      </c>
      <c r="W35" s="0" t="s">
        <v>34</v>
      </c>
      <c r="X35" s="0" t="s">
        <v>34</v>
      </c>
      <c r="Y35" s="0" t="s">
        <v>34</v>
      </c>
      <c r="Z35" s="0" t="s">
        <v>43</v>
      </c>
      <c r="AA35" s="0" t="s">
        <v>43</v>
      </c>
      <c r="AB35" s="0" t="s">
        <v>34</v>
      </c>
      <c r="AC35" s="0" t="s">
        <v>784</v>
      </c>
      <c r="AD35" s="0">
        <f>IF($AC35="","NEW","Live")</f>
      </c>
      <c r="AE35" s="8" t="s">
        <v>34</v>
      </c>
    </row>
    <row r="36">
      <c r="A36" s="0" t="s">
        <v>785</v>
      </c>
      <c r="B36" s="0">
        <v>1</v>
      </c>
      <c r="C36" s="0" t="s">
        <v>174</v>
      </c>
      <c r="D36" s="0" t="s">
        <v>780</v>
      </c>
      <c r="E36" s="0" t="s">
        <v>786</v>
      </c>
      <c r="F36" s="0" t="s">
        <v>34</v>
      </c>
      <c r="G36" s="8" t="s">
        <v>787</v>
      </c>
      <c r="H36" s="0" t="s">
        <v>101</v>
      </c>
      <c r="I36" s="0">
        <v>2</v>
      </c>
      <c r="J36" s="0">
        <v>4</v>
      </c>
      <c r="K36" s="0" t="s">
        <v>788</v>
      </c>
      <c r="L36" s="0" t="s">
        <v>393</v>
      </c>
      <c r="M36" s="0" t="s">
        <v>783</v>
      </c>
      <c r="N36" s="0" t="s">
        <v>139</v>
      </c>
      <c r="O36" s="0" t="s">
        <v>102</v>
      </c>
      <c r="P36" s="0" t="s">
        <v>41</v>
      </c>
      <c r="Q36" s="0" t="s">
        <v>34</v>
      </c>
      <c r="R36" s="0" t="s">
        <v>102</v>
      </c>
      <c r="S36" s="0" t="s">
        <v>41</v>
      </c>
      <c r="T36" s="0" t="s">
        <v>34</v>
      </c>
      <c r="U36" s="0" t="s">
        <v>34</v>
      </c>
      <c r="V36" s="0" t="s">
        <v>34</v>
      </c>
      <c r="W36" s="0" t="s">
        <v>34</v>
      </c>
      <c r="X36" s="0" t="s">
        <v>34</v>
      </c>
      <c r="Y36" s="0" t="s">
        <v>34</v>
      </c>
      <c r="Z36" s="0" t="s">
        <v>43</v>
      </c>
      <c r="AA36" s="0" t="s">
        <v>43</v>
      </c>
      <c r="AB36" s="0" t="s">
        <v>34</v>
      </c>
      <c r="AC36" s="0" t="s">
        <v>789</v>
      </c>
      <c r="AD36" s="0">
        <f>IF($AC36="","NEW","Live")</f>
      </c>
      <c r="AE36" s="8" t="s">
        <v>34</v>
      </c>
    </row>
    <row r="37">
      <c r="A37" s="0" t="s">
        <v>790</v>
      </c>
      <c r="B37" s="0">
        <v>1</v>
      </c>
      <c r="C37" s="0" t="s">
        <v>174</v>
      </c>
      <c r="D37" s="0" t="s">
        <v>152</v>
      </c>
      <c r="E37" s="0" t="s">
        <v>262</v>
      </c>
      <c r="F37" s="0" t="s">
        <v>34</v>
      </c>
      <c r="G37" s="8" t="s">
        <v>791</v>
      </c>
      <c r="H37" s="0" t="s">
        <v>101</v>
      </c>
      <c r="I37" s="0">
        <v>1</v>
      </c>
      <c r="J37" s="0">
        <v>1</v>
      </c>
      <c r="K37" s="0" t="s">
        <v>790</v>
      </c>
      <c r="L37" s="0" t="s">
        <v>393</v>
      </c>
      <c r="M37" s="0" t="s">
        <v>792</v>
      </c>
      <c r="N37" s="0" t="s">
        <v>139</v>
      </c>
      <c r="O37" s="0" t="s">
        <v>102</v>
      </c>
      <c r="P37" s="0" t="s">
        <v>41</v>
      </c>
      <c r="Q37" s="0" t="s">
        <v>34</v>
      </c>
      <c r="R37" s="0" t="s">
        <v>102</v>
      </c>
      <c r="S37" s="0" t="s">
        <v>41</v>
      </c>
      <c r="T37" s="0" t="s">
        <v>34</v>
      </c>
      <c r="U37" s="0" t="s">
        <v>34</v>
      </c>
      <c r="V37" s="0" t="s">
        <v>34</v>
      </c>
      <c r="W37" s="0" t="s">
        <v>34</v>
      </c>
      <c r="X37" s="0" t="s">
        <v>34</v>
      </c>
      <c r="Y37" s="0" t="s">
        <v>34</v>
      </c>
      <c r="Z37" s="0" t="s">
        <v>43</v>
      </c>
      <c r="AA37" s="0" t="s">
        <v>43</v>
      </c>
      <c r="AB37" s="0" t="s">
        <v>34</v>
      </c>
      <c r="AC37" s="0" t="s">
        <v>793</v>
      </c>
      <c r="AD37" s="0">
        <f>IF($AC37="","NEW","Live")</f>
      </c>
      <c r="AE37" s="8" t="s">
        <v>34</v>
      </c>
    </row>
    <row r="38">
      <c r="A38" s="0" t="s">
        <v>794</v>
      </c>
      <c r="B38" s="0">
        <v>1</v>
      </c>
      <c r="C38" s="0" t="s">
        <v>174</v>
      </c>
      <c r="D38" s="0" t="s">
        <v>391</v>
      </c>
      <c r="E38" s="0" t="s">
        <v>34</v>
      </c>
      <c r="F38" s="0" t="s">
        <v>34</v>
      </c>
      <c r="G38" s="8" t="s">
        <v>795</v>
      </c>
      <c r="H38" s="0" t="s">
        <v>101</v>
      </c>
      <c r="I38" s="0">
        <v>1</v>
      </c>
      <c r="J38" s="0">
        <v>3</v>
      </c>
      <c r="K38" s="0" t="s">
        <v>796</v>
      </c>
      <c r="L38" s="0" t="s">
        <v>393</v>
      </c>
      <c r="M38" s="0" t="s">
        <v>797</v>
      </c>
      <c r="N38" s="0" t="s">
        <v>798</v>
      </c>
      <c r="O38" s="0" t="s">
        <v>102</v>
      </c>
      <c r="P38" s="0" t="s">
        <v>78</v>
      </c>
      <c r="Q38" s="0" t="s">
        <v>34</v>
      </c>
      <c r="R38" s="0" t="s">
        <v>34</v>
      </c>
      <c r="S38" s="0" t="s">
        <v>34</v>
      </c>
      <c r="T38" s="0" t="s">
        <v>34</v>
      </c>
      <c r="U38" s="0" t="s">
        <v>34</v>
      </c>
      <c r="V38" s="0" t="s">
        <v>34</v>
      </c>
      <c r="W38" s="0" t="s">
        <v>34</v>
      </c>
      <c r="X38" s="0" t="s">
        <v>34</v>
      </c>
      <c r="Y38" s="0" t="s">
        <v>34</v>
      </c>
      <c r="Z38" s="0" t="s">
        <v>43</v>
      </c>
      <c r="AA38" s="0" t="s">
        <v>43</v>
      </c>
      <c r="AB38" s="0" t="s">
        <v>34</v>
      </c>
      <c r="AC38" s="0" t="s">
        <v>799</v>
      </c>
      <c r="AD38" s="0">
        <f>IF($AC38="","NEW","Live")</f>
      </c>
      <c r="AE38" s="8" t="s">
        <v>34</v>
      </c>
    </row>
    <row r="39">
      <c r="A39" s="0" t="s">
        <v>800</v>
      </c>
      <c r="B39" s="0">
        <v>1</v>
      </c>
      <c r="C39" s="0" t="s">
        <v>174</v>
      </c>
      <c r="D39" s="0" t="s">
        <v>801</v>
      </c>
      <c r="E39" s="0" t="s">
        <v>34</v>
      </c>
      <c r="F39" s="0" t="s">
        <v>34</v>
      </c>
      <c r="G39" s="8" t="s">
        <v>802</v>
      </c>
      <c r="H39" s="0" t="s">
        <v>101</v>
      </c>
      <c r="I39" s="0">
        <v>1</v>
      </c>
      <c r="J39" s="0">
        <v>1</v>
      </c>
      <c r="K39" s="0" t="s">
        <v>800</v>
      </c>
      <c r="L39" s="0" t="s">
        <v>393</v>
      </c>
      <c r="M39" s="0" t="s">
        <v>803</v>
      </c>
      <c r="N39" s="0" t="s">
        <v>139</v>
      </c>
      <c r="O39" s="0" t="s">
        <v>102</v>
      </c>
      <c r="P39" s="0" t="s">
        <v>41</v>
      </c>
      <c r="Q39" s="0" t="s">
        <v>34</v>
      </c>
      <c r="R39" s="0" t="s">
        <v>34</v>
      </c>
      <c r="S39" s="0" t="s">
        <v>34</v>
      </c>
      <c r="T39" s="0" t="s">
        <v>34</v>
      </c>
      <c r="U39" s="0" t="s">
        <v>34</v>
      </c>
      <c r="V39" s="0" t="s">
        <v>34</v>
      </c>
      <c r="W39" s="0" t="s">
        <v>34</v>
      </c>
      <c r="X39" s="0" t="s">
        <v>34</v>
      </c>
      <c r="Y39" s="0" t="s">
        <v>34</v>
      </c>
      <c r="Z39" s="0" t="s">
        <v>43</v>
      </c>
      <c r="AA39" s="0" t="s">
        <v>43</v>
      </c>
      <c r="AB39" s="0" t="s">
        <v>34</v>
      </c>
      <c r="AC39" s="0" t="s">
        <v>804</v>
      </c>
      <c r="AD39" s="0">
        <f>IF($AC39="","NEW","Live")</f>
      </c>
      <c r="AE39" s="8" t="s">
        <v>34</v>
      </c>
    </row>
    <row r="40">
      <c r="A40" s="0" t="s">
        <v>805</v>
      </c>
      <c r="B40" s="0">
        <v>1</v>
      </c>
      <c r="C40" s="0" t="s">
        <v>174</v>
      </c>
      <c r="D40" s="0" t="s">
        <v>801</v>
      </c>
      <c r="E40" s="0" t="s">
        <v>391</v>
      </c>
      <c r="F40" s="0" t="s">
        <v>34</v>
      </c>
      <c r="G40" s="8" t="s">
        <v>806</v>
      </c>
      <c r="H40" s="0" t="s">
        <v>101</v>
      </c>
      <c r="I40" s="0">
        <v>1</v>
      </c>
      <c r="J40" s="0">
        <v>1</v>
      </c>
      <c r="K40" s="0" t="s">
        <v>807</v>
      </c>
      <c r="L40" s="0" t="s">
        <v>393</v>
      </c>
      <c r="M40" s="0" t="s">
        <v>808</v>
      </c>
      <c r="N40" s="0" t="s">
        <v>798</v>
      </c>
      <c r="O40" s="0" t="s">
        <v>102</v>
      </c>
      <c r="P40" s="0" t="s">
        <v>41</v>
      </c>
      <c r="Q40" s="0" t="s">
        <v>34</v>
      </c>
      <c r="R40" s="0" t="s">
        <v>102</v>
      </c>
      <c r="S40" s="0" t="s">
        <v>41</v>
      </c>
      <c r="T40" s="0" t="s">
        <v>34</v>
      </c>
      <c r="U40" s="0" t="s">
        <v>34</v>
      </c>
      <c r="V40" s="0" t="s">
        <v>34</v>
      </c>
      <c r="W40" s="0" t="s">
        <v>34</v>
      </c>
      <c r="X40" s="0" t="s">
        <v>34</v>
      </c>
      <c r="Y40" s="0" t="s">
        <v>34</v>
      </c>
      <c r="Z40" s="0" t="s">
        <v>43</v>
      </c>
      <c r="AA40" s="0" t="s">
        <v>43</v>
      </c>
      <c r="AB40" s="0" t="s">
        <v>34</v>
      </c>
      <c r="AC40" s="0" t="s">
        <v>809</v>
      </c>
      <c r="AD40" s="0">
        <f>IF($AC40="","NEW","Live")</f>
      </c>
      <c r="AE40" s="8" t="s">
        <v>34</v>
      </c>
    </row>
    <row r="41">
      <c r="A41" s="0" t="s">
        <v>810</v>
      </c>
      <c r="B41" s="0">
        <v>1</v>
      </c>
      <c r="C41" s="0" t="s">
        <v>174</v>
      </c>
      <c r="D41" s="0" t="s">
        <v>193</v>
      </c>
      <c r="E41" s="0" t="s">
        <v>34</v>
      </c>
      <c r="F41" s="0" t="s">
        <v>34</v>
      </c>
      <c r="G41" s="8" t="s">
        <v>811</v>
      </c>
      <c r="H41" s="0" t="s">
        <v>101</v>
      </c>
      <c r="I41" s="0">
        <v>1</v>
      </c>
      <c r="J41" s="0">
        <v>1</v>
      </c>
      <c r="K41" s="0" t="s">
        <v>810</v>
      </c>
      <c r="L41" s="0" t="s">
        <v>393</v>
      </c>
      <c r="M41" s="0" t="s">
        <v>812</v>
      </c>
      <c r="N41" s="0" t="s">
        <v>798</v>
      </c>
      <c r="O41" s="0" t="s">
        <v>102</v>
      </c>
      <c r="P41" s="0" t="s">
        <v>41</v>
      </c>
      <c r="Q41" s="0" t="s">
        <v>34</v>
      </c>
      <c r="R41" s="0" t="s">
        <v>34</v>
      </c>
      <c r="S41" s="0" t="s">
        <v>34</v>
      </c>
      <c r="T41" s="0" t="s">
        <v>34</v>
      </c>
      <c r="U41" s="0" t="s">
        <v>34</v>
      </c>
      <c r="V41" s="0" t="s">
        <v>34</v>
      </c>
      <c r="W41" s="0" t="s">
        <v>34</v>
      </c>
      <c r="X41" s="0" t="s">
        <v>34</v>
      </c>
      <c r="Y41" s="0" t="s">
        <v>34</v>
      </c>
      <c r="Z41" s="0" t="s">
        <v>43</v>
      </c>
      <c r="AA41" s="0" t="s">
        <v>43</v>
      </c>
      <c r="AB41" s="0" t="s">
        <v>34</v>
      </c>
      <c r="AC41" s="0" t="s">
        <v>813</v>
      </c>
      <c r="AD41" s="0">
        <f>IF($AC41="","NEW","Live")</f>
      </c>
      <c r="AE41" s="8" t="s">
        <v>34</v>
      </c>
    </row>
    <row r="42">
      <c r="A42" s="0" t="s">
        <v>814</v>
      </c>
      <c r="B42" s="0">
        <v>0</v>
      </c>
      <c r="C42" s="0" t="s">
        <v>174</v>
      </c>
      <c r="D42" s="0" t="s">
        <v>672</v>
      </c>
      <c r="E42" s="0" t="s">
        <v>34</v>
      </c>
      <c r="F42" s="0" t="s">
        <v>34</v>
      </c>
      <c r="G42" s="8" t="s">
        <v>637</v>
      </c>
      <c r="H42" s="0" t="s">
        <v>101</v>
      </c>
      <c r="I42" s="0">
        <v>1</v>
      </c>
      <c r="J42" s="0">
        <v>4</v>
      </c>
      <c r="K42" s="0" t="s">
        <v>815</v>
      </c>
      <c r="L42" s="0" t="s">
        <v>393</v>
      </c>
      <c r="M42" s="0" t="s">
        <v>816</v>
      </c>
      <c r="N42" s="0" t="s">
        <v>199</v>
      </c>
      <c r="O42" s="0" t="s">
        <v>102</v>
      </c>
      <c r="P42" s="0" t="s">
        <v>41</v>
      </c>
      <c r="Q42" s="0" t="s">
        <v>34</v>
      </c>
      <c r="R42" s="0" t="s">
        <v>34</v>
      </c>
      <c r="S42" s="0" t="s">
        <v>34</v>
      </c>
      <c r="T42" s="0" t="s">
        <v>34</v>
      </c>
      <c r="U42" s="0" t="s">
        <v>34</v>
      </c>
      <c r="V42" s="0" t="s">
        <v>34</v>
      </c>
      <c r="W42" s="0" t="s">
        <v>34</v>
      </c>
      <c r="X42" s="0" t="s">
        <v>34</v>
      </c>
      <c r="Y42" s="0" t="s">
        <v>675</v>
      </c>
      <c r="Z42" s="0" t="s">
        <v>43</v>
      </c>
      <c r="AA42" s="0" t="s">
        <v>43</v>
      </c>
      <c r="AB42" s="0" t="s">
        <v>34</v>
      </c>
      <c r="AC42" s="0" t="s">
        <v>817</v>
      </c>
      <c r="AD42" s="0">
        <f>IF($AC42="","NEW","Live")</f>
      </c>
      <c r="AE42" s="8" t="s">
        <v>34</v>
      </c>
    </row>
    <row r="43">
      <c r="A43" s="0" t="s">
        <v>818</v>
      </c>
      <c r="B43" s="0">
        <v>1</v>
      </c>
      <c r="C43" s="0" t="s">
        <v>174</v>
      </c>
      <c r="D43" s="0" t="s">
        <v>193</v>
      </c>
      <c r="E43" s="0" t="s">
        <v>178</v>
      </c>
      <c r="F43" s="0" t="s">
        <v>34</v>
      </c>
      <c r="G43" s="8" t="s">
        <v>819</v>
      </c>
      <c r="H43" s="0" t="s">
        <v>101</v>
      </c>
      <c r="I43" s="0">
        <v>1</v>
      </c>
      <c r="J43" s="0">
        <v>4</v>
      </c>
      <c r="K43" s="0" t="s">
        <v>820</v>
      </c>
      <c r="L43" s="0" t="s">
        <v>393</v>
      </c>
      <c r="M43" s="0" t="s">
        <v>816</v>
      </c>
      <c r="N43" s="0" t="s">
        <v>139</v>
      </c>
      <c r="O43" s="0" t="s">
        <v>102</v>
      </c>
      <c r="P43" s="0" t="s">
        <v>78</v>
      </c>
      <c r="Q43" s="0" t="s">
        <v>34</v>
      </c>
      <c r="R43" s="0" t="s">
        <v>102</v>
      </c>
      <c r="S43" s="0" t="s">
        <v>78</v>
      </c>
      <c r="T43" s="0" t="s">
        <v>34</v>
      </c>
      <c r="U43" s="0" t="s">
        <v>34</v>
      </c>
      <c r="V43" s="0" t="s">
        <v>34</v>
      </c>
      <c r="W43" s="0" t="s">
        <v>34</v>
      </c>
      <c r="X43" s="0" t="s">
        <v>34</v>
      </c>
      <c r="Y43" s="0" t="s">
        <v>821</v>
      </c>
      <c r="Z43" s="0" t="s">
        <v>43</v>
      </c>
      <c r="AA43" s="0" t="s">
        <v>43</v>
      </c>
      <c r="AB43" s="0" t="s">
        <v>34</v>
      </c>
      <c r="AC43" s="0" t="s">
        <v>822</v>
      </c>
      <c r="AD43" s="0">
        <f>IF($AC43="","NEW","Live")</f>
      </c>
      <c r="AE43" s="8" t="s">
        <v>34</v>
      </c>
    </row>
    <row r="44">
      <c r="A44" s="0" t="s">
        <v>823</v>
      </c>
      <c r="B44" s="0">
        <v>1</v>
      </c>
      <c r="C44" s="0" t="s">
        <v>174</v>
      </c>
      <c r="D44" s="0" t="s">
        <v>801</v>
      </c>
      <c r="E44" s="0" t="s">
        <v>824</v>
      </c>
      <c r="F44" s="0" t="s">
        <v>34</v>
      </c>
      <c r="G44" s="8" t="s">
        <v>825</v>
      </c>
      <c r="H44" s="0" t="s">
        <v>101</v>
      </c>
      <c r="I44" s="0">
        <v>1</v>
      </c>
      <c r="J44" s="0">
        <v>3</v>
      </c>
      <c r="K44" s="0" t="s">
        <v>826</v>
      </c>
      <c r="L44" s="0" t="s">
        <v>393</v>
      </c>
      <c r="M44" s="0" t="s">
        <v>816</v>
      </c>
      <c r="N44" s="0" t="s">
        <v>34</v>
      </c>
      <c r="O44" s="0" t="s">
        <v>102</v>
      </c>
      <c r="P44" s="0" t="s">
        <v>41</v>
      </c>
      <c r="Q44" s="0" t="s">
        <v>34</v>
      </c>
      <c r="R44" s="0" t="s">
        <v>102</v>
      </c>
      <c r="S44" s="0" t="s">
        <v>41</v>
      </c>
      <c r="T44" s="0" t="s">
        <v>34</v>
      </c>
      <c r="U44" s="0" t="s">
        <v>34</v>
      </c>
      <c r="V44" s="0" t="s">
        <v>34</v>
      </c>
      <c r="W44" s="0" t="s">
        <v>34</v>
      </c>
      <c r="X44" s="0" t="s">
        <v>34</v>
      </c>
      <c r="Y44" s="0" t="s">
        <v>827</v>
      </c>
      <c r="Z44" s="0" t="s">
        <v>43</v>
      </c>
      <c r="AA44" s="0" t="s">
        <v>43</v>
      </c>
      <c r="AB44" s="0" t="s">
        <v>34</v>
      </c>
      <c r="AC44" s="0" t="s">
        <v>828</v>
      </c>
      <c r="AD44" s="0">
        <f>IF($AC44="","NEW","Live")</f>
      </c>
      <c r="AE44" s="8" t="s">
        <v>34</v>
      </c>
    </row>
    <row r="45">
      <c r="A45" s="0" t="s">
        <v>829</v>
      </c>
      <c r="B45" s="0">
        <v>1</v>
      </c>
      <c r="C45" s="0" t="s">
        <v>174</v>
      </c>
      <c r="D45" s="0" t="s">
        <v>801</v>
      </c>
      <c r="E45" s="0" t="s">
        <v>830</v>
      </c>
      <c r="F45" s="0" t="s">
        <v>34</v>
      </c>
      <c r="G45" s="8" t="s">
        <v>831</v>
      </c>
      <c r="H45" s="0" t="s">
        <v>101</v>
      </c>
      <c r="I45" s="0">
        <v>1</v>
      </c>
      <c r="J45" s="0">
        <v>3</v>
      </c>
      <c r="K45" s="0" t="s">
        <v>832</v>
      </c>
      <c r="L45" s="0" t="s">
        <v>393</v>
      </c>
      <c r="M45" s="0" t="s">
        <v>816</v>
      </c>
      <c r="N45" s="0" t="s">
        <v>34</v>
      </c>
      <c r="O45" s="0" t="s">
        <v>102</v>
      </c>
      <c r="P45" s="0" t="s">
        <v>41</v>
      </c>
      <c r="Q45" s="0" t="s">
        <v>34</v>
      </c>
      <c r="R45" s="0" t="s">
        <v>102</v>
      </c>
      <c r="S45" s="0" t="s">
        <v>41</v>
      </c>
      <c r="T45" s="0" t="s">
        <v>34</v>
      </c>
      <c r="U45" s="0" t="s">
        <v>34</v>
      </c>
      <c r="V45" s="0" t="s">
        <v>34</v>
      </c>
      <c r="W45" s="0" t="s">
        <v>34</v>
      </c>
      <c r="X45" s="0" t="s">
        <v>34</v>
      </c>
      <c r="Y45" s="0" t="s">
        <v>827</v>
      </c>
      <c r="Z45" s="0" t="s">
        <v>43</v>
      </c>
      <c r="AA45" s="0" t="s">
        <v>43</v>
      </c>
      <c r="AB45" s="0" t="s">
        <v>34</v>
      </c>
      <c r="AC45" s="0" t="s">
        <v>833</v>
      </c>
      <c r="AD45" s="0">
        <f>IF($AC45="","NEW","Live")</f>
      </c>
      <c r="AE45" s="8" t="s">
        <v>34</v>
      </c>
    </row>
    <row r="46">
      <c r="A46" s="0" t="s">
        <v>834</v>
      </c>
      <c r="B46" s="0">
        <v>1</v>
      </c>
      <c r="C46" s="0" t="s">
        <v>174</v>
      </c>
      <c r="D46" s="0" t="s">
        <v>801</v>
      </c>
      <c r="E46" s="0" t="s">
        <v>255</v>
      </c>
      <c r="F46" s="0" t="s">
        <v>34</v>
      </c>
      <c r="G46" s="8" t="s">
        <v>835</v>
      </c>
      <c r="H46" s="0" t="s">
        <v>101</v>
      </c>
      <c r="I46" s="0">
        <v>1</v>
      </c>
      <c r="J46" s="0">
        <v>2</v>
      </c>
      <c r="K46" s="0" t="s">
        <v>836</v>
      </c>
      <c r="L46" s="0" t="s">
        <v>393</v>
      </c>
      <c r="M46" s="0" t="s">
        <v>816</v>
      </c>
      <c r="N46" s="0" t="s">
        <v>139</v>
      </c>
      <c r="O46" s="0" t="s">
        <v>102</v>
      </c>
      <c r="P46" s="0" t="s">
        <v>41</v>
      </c>
      <c r="Q46" s="0" t="s">
        <v>34</v>
      </c>
      <c r="R46" s="0" t="s">
        <v>102</v>
      </c>
      <c r="S46" s="0" t="s">
        <v>41</v>
      </c>
      <c r="T46" s="0" t="s">
        <v>34</v>
      </c>
      <c r="U46" s="0" t="s">
        <v>34</v>
      </c>
      <c r="V46" s="0" t="s">
        <v>34</v>
      </c>
      <c r="W46" s="0" t="s">
        <v>34</v>
      </c>
      <c r="X46" s="0" t="s">
        <v>34</v>
      </c>
      <c r="Y46" s="0" t="s">
        <v>821</v>
      </c>
      <c r="Z46" s="0" t="s">
        <v>43</v>
      </c>
      <c r="AA46" s="0" t="s">
        <v>43</v>
      </c>
      <c r="AB46" s="0" t="s">
        <v>34</v>
      </c>
      <c r="AC46" s="0" t="s">
        <v>837</v>
      </c>
      <c r="AD46" s="0">
        <f>IF($AC46="","NEW","Live")</f>
      </c>
      <c r="AE46" s="8" t="s">
        <v>34</v>
      </c>
    </row>
    <row r="47">
      <c r="A47" s="0" t="s">
        <v>838</v>
      </c>
      <c r="B47" s="0">
        <v>1</v>
      </c>
      <c r="C47" s="0" t="s">
        <v>174</v>
      </c>
      <c r="D47" s="0" t="s">
        <v>396</v>
      </c>
      <c r="E47" s="0" t="s">
        <v>34</v>
      </c>
      <c r="F47" s="0" t="s">
        <v>34</v>
      </c>
      <c r="G47" s="8" t="s">
        <v>839</v>
      </c>
      <c r="H47" s="0" t="s">
        <v>101</v>
      </c>
      <c r="I47" s="0">
        <v>1</v>
      </c>
      <c r="J47" s="0">
        <v>4</v>
      </c>
      <c r="K47" s="0" t="s">
        <v>840</v>
      </c>
      <c r="L47" s="0" t="s">
        <v>393</v>
      </c>
      <c r="M47" s="0" t="s">
        <v>816</v>
      </c>
      <c r="N47" s="0" t="s">
        <v>34</v>
      </c>
      <c r="O47" s="0" t="s">
        <v>102</v>
      </c>
      <c r="P47" s="0" t="s">
        <v>41</v>
      </c>
      <c r="Q47" s="0" t="s">
        <v>34</v>
      </c>
      <c r="R47" s="0" t="s">
        <v>34</v>
      </c>
      <c r="S47" s="0" t="s">
        <v>34</v>
      </c>
      <c r="T47" s="0" t="s">
        <v>34</v>
      </c>
      <c r="U47" s="0" t="s">
        <v>34</v>
      </c>
      <c r="V47" s="0" t="s">
        <v>34</v>
      </c>
      <c r="W47" s="0" t="s">
        <v>34</v>
      </c>
      <c r="X47" s="0" t="s">
        <v>34</v>
      </c>
      <c r="Y47" s="0" t="s">
        <v>733</v>
      </c>
      <c r="Z47" s="0" t="s">
        <v>43</v>
      </c>
      <c r="AA47" s="0" t="s">
        <v>43</v>
      </c>
      <c r="AB47" s="0" t="s">
        <v>34</v>
      </c>
      <c r="AC47" s="0" t="s">
        <v>841</v>
      </c>
      <c r="AD47" s="0">
        <f>IF($AC47="","NEW","Live")</f>
      </c>
      <c r="AE47" s="8" t="s">
        <v>34</v>
      </c>
    </row>
    <row r="48">
      <c r="A48" s="0" t="s">
        <v>842</v>
      </c>
      <c r="B48" s="0">
        <v>0</v>
      </c>
      <c r="C48" s="0" t="s">
        <v>174</v>
      </c>
      <c r="D48" s="0" t="s">
        <v>770</v>
      </c>
      <c r="E48" s="0" t="s">
        <v>34</v>
      </c>
      <c r="F48" s="0" t="s">
        <v>34</v>
      </c>
      <c r="G48" s="8" t="s">
        <v>771</v>
      </c>
      <c r="H48" s="0" t="s">
        <v>101</v>
      </c>
      <c r="I48" s="0">
        <v>1</v>
      </c>
      <c r="J48" s="0">
        <v>2</v>
      </c>
      <c r="K48" s="0" t="s">
        <v>843</v>
      </c>
      <c r="L48" s="0" t="s">
        <v>393</v>
      </c>
      <c r="M48" s="0" t="s">
        <v>844</v>
      </c>
      <c r="N48" s="0" t="s">
        <v>199</v>
      </c>
      <c r="O48" s="0" t="s">
        <v>102</v>
      </c>
      <c r="P48" s="0" t="s">
        <v>41</v>
      </c>
      <c r="Q48" s="0" t="s">
        <v>34</v>
      </c>
      <c r="R48" s="0" t="s">
        <v>34</v>
      </c>
      <c r="S48" s="0" t="s">
        <v>34</v>
      </c>
      <c r="T48" s="0" t="s">
        <v>34</v>
      </c>
      <c r="U48" s="0" t="s">
        <v>34</v>
      </c>
      <c r="V48" s="0" t="s">
        <v>34</v>
      </c>
      <c r="W48" s="0" t="s">
        <v>34</v>
      </c>
      <c r="X48" s="0" t="s">
        <v>34</v>
      </c>
      <c r="Y48" s="0" t="s">
        <v>733</v>
      </c>
      <c r="Z48" s="0" t="s">
        <v>43</v>
      </c>
      <c r="AA48" s="0" t="s">
        <v>43</v>
      </c>
      <c r="AB48" s="0" t="s">
        <v>34</v>
      </c>
      <c r="AC48" s="0" t="s">
        <v>845</v>
      </c>
      <c r="AD48" s="0">
        <f>IF($AC48="","NEW","Live")</f>
      </c>
      <c r="AE48" s="8" t="s">
        <v>34</v>
      </c>
    </row>
    <row r="49">
      <c r="A49" s="0" t="s">
        <v>846</v>
      </c>
      <c r="B49" s="0">
        <v>1</v>
      </c>
      <c r="C49" s="0" t="s">
        <v>174</v>
      </c>
      <c r="D49" s="0" t="s">
        <v>152</v>
      </c>
      <c r="E49" s="0" t="s">
        <v>34</v>
      </c>
      <c r="F49" s="0" t="s">
        <v>34</v>
      </c>
      <c r="G49" s="8" t="s">
        <v>847</v>
      </c>
      <c r="H49" s="0" t="s">
        <v>101</v>
      </c>
      <c r="I49" s="0">
        <v>1</v>
      </c>
      <c r="J49" s="0">
        <v>1</v>
      </c>
      <c r="K49" s="0" t="s">
        <v>848</v>
      </c>
      <c r="L49" s="0" t="s">
        <v>393</v>
      </c>
      <c r="M49" s="0" t="s">
        <v>844</v>
      </c>
      <c r="N49" s="0" t="s">
        <v>139</v>
      </c>
      <c r="O49" s="0" t="s">
        <v>102</v>
      </c>
      <c r="P49" s="0" t="s">
        <v>78</v>
      </c>
      <c r="Q49" s="0" t="s">
        <v>34</v>
      </c>
      <c r="R49" s="0" t="s">
        <v>34</v>
      </c>
      <c r="S49" s="0" t="s">
        <v>34</v>
      </c>
      <c r="T49" s="0" t="s">
        <v>34</v>
      </c>
      <c r="U49" s="0" t="s">
        <v>34</v>
      </c>
      <c r="V49" s="0" t="s">
        <v>34</v>
      </c>
      <c r="W49" s="0" t="s">
        <v>34</v>
      </c>
      <c r="X49" s="0" t="s">
        <v>34</v>
      </c>
      <c r="Y49" s="0" t="s">
        <v>34</v>
      </c>
      <c r="Z49" s="0" t="s">
        <v>43</v>
      </c>
      <c r="AA49" s="0" t="s">
        <v>43</v>
      </c>
      <c r="AB49" s="0" t="s">
        <v>34</v>
      </c>
      <c r="AC49" s="0" t="s">
        <v>849</v>
      </c>
      <c r="AD49" s="0">
        <f>IF($AC49="","NEW","Live")</f>
      </c>
      <c r="AE49" s="8" t="s">
        <v>34</v>
      </c>
    </row>
    <row r="50">
      <c r="A50" s="0" t="s">
        <v>850</v>
      </c>
      <c r="B50" s="0">
        <v>1</v>
      </c>
      <c r="C50" s="0" t="s">
        <v>174</v>
      </c>
      <c r="D50" s="0" t="s">
        <v>193</v>
      </c>
      <c r="E50" s="0" t="s">
        <v>449</v>
      </c>
      <c r="F50" s="0" t="s">
        <v>34</v>
      </c>
      <c r="G50" s="8" t="s">
        <v>851</v>
      </c>
      <c r="H50" s="0" t="s">
        <v>101</v>
      </c>
      <c r="I50" s="0">
        <v>1</v>
      </c>
      <c r="J50" s="0">
        <v>1</v>
      </c>
      <c r="K50" s="0" t="s">
        <v>852</v>
      </c>
      <c r="L50" s="0" t="s">
        <v>393</v>
      </c>
      <c r="M50" s="0" t="s">
        <v>844</v>
      </c>
      <c r="N50" s="0" t="s">
        <v>139</v>
      </c>
      <c r="O50" s="0" t="s">
        <v>102</v>
      </c>
      <c r="P50" s="0" t="s">
        <v>41</v>
      </c>
      <c r="Q50" s="0" t="s">
        <v>34</v>
      </c>
      <c r="R50" s="0" t="s">
        <v>40</v>
      </c>
      <c r="S50" s="0" t="s">
        <v>41</v>
      </c>
      <c r="T50" s="0" t="s">
        <v>34</v>
      </c>
      <c r="U50" s="0" t="s">
        <v>34</v>
      </c>
      <c r="V50" s="0" t="s">
        <v>34</v>
      </c>
      <c r="W50" s="0" t="s">
        <v>34</v>
      </c>
      <c r="X50" s="0" t="s">
        <v>34</v>
      </c>
      <c r="Y50" s="0" t="s">
        <v>34</v>
      </c>
      <c r="Z50" s="0" t="s">
        <v>43</v>
      </c>
      <c r="AA50" s="0" t="s">
        <v>43</v>
      </c>
      <c r="AB50" s="0" t="s">
        <v>34</v>
      </c>
      <c r="AC50" s="0" t="s">
        <v>853</v>
      </c>
      <c r="AD50" s="0">
        <f>IF($AC50="","NEW","Live")</f>
      </c>
      <c r="AE50" s="8" t="s">
        <v>34</v>
      </c>
    </row>
    <row r="51">
      <c r="A51" s="0" t="s">
        <v>854</v>
      </c>
      <c r="B51" s="0">
        <v>1</v>
      </c>
      <c r="C51" s="0" t="s">
        <v>174</v>
      </c>
      <c r="D51" s="0" t="s">
        <v>272</v>
      </c>
      <c r="E51" s="0" t="s">
        <v>97</v>
      </c>
      <c r="F51" s="0" t="s">
        <v>34</v>
      </c>
      <c r="G51" s="8" t="s">
        <v>855</v>
      </c>
      <c r="H51" s="0" t="s">
        <v>101</v>
      </c>
      <c r="I51" s="0">
        <v>1</v>
      </c>
      <c r="J51" s="0">
        <v>1</v>
      </c>
      <c r="K51" s="0" t="s">
        <v>856</v>
      </c>
      <c r="L51" s="0" t="s">
        <v>393</v>
      </c>
      <c r="M51" s="0" t="s">
        <v>857</v>
      </c>
      <c r="N51" s="0" t="s">
        <v>139</v>
      </c>
      <c r="O51" s="0" t="s">
        <v>102</v>
      </c>
      <c r="P51" s="0" t="s">
        <v>41</v>
      </c>
      <c r="Q51" s="0" t="s">
        <v>34</v>
      </c>
      <c r="R51" s="0" t="s">
        <v>40</v>
      </c>
      <c r="S51" s="0" t="s">
        <v>41</v>
      </c>
      <c r="T51" s="0" t="s">
        <v>34</v>
      </c>
      <c r="U51" s="0" t="s">
        <v>34</v>
      </c>
      <c r="V51" s="0" t="s">
        <v>34</v>
      </c>
      <c r="W51" s="0" t="s">
        <v>34</v>
      </c>
      <c r="X51" s="0" t="s">
        <v>34</v>
      </c>
      <c r="Y51" s="0" t="s">
        <v>34</v>
      </c>
      <c r="Z51" s="0" t="s">
        <v>43</v>
      </c>
      <c r="AA51" s="0" t="s">
        <v>43</v>
      </c>
      <c r="AB51" s="0" t="s">
        <v>34</v>
      </c>
      <c r="AC51" s="0" t="s">
        <v>858</v>
      </c>
      <c r="AD51" s="0">
        <f>IF($AC51="","NEW","Live")</f>
      </c>
      <c r="AE51" s="8" t="s">
        <v>34</v>
      </c>
    </row>
    <row r="52">
      <c r="A52" s="0" t="s">
        <v>859</v>
      </c>
      <c r="B52" s="0">
        <v>1</v>
      </c>
      <c r="C52" s="0" t="s">
        <v>174</v>
      </c>
      <c r="D52" s="0" t="s">
        <v>272</v>
      </c>
      <c r="E52" s="0" t="s">
        <v>178</v>
      </c>
      <c r="F52" s="0" t="s">
        <v>34</v>
      </c>
      <c r="G52" s="8" t="s">
        <v>860</v>
      </c>
      <c r="H52" s="0" t="s">
        <v>101</v>
      </c>
      <c r="I52" s="0">
        <v>1</v>
      </c>
      <c r="J52" s="0">
        <v>3</v>
      </c>
      <c r="K52" s="0" t="s">
        <v>861</v>
      </c>
      <c r="L52" s="0" t="s">
        <v>393</v>
      </c>
      <c r="M52" s="0" t="s">
        <v>862</v>
      </c>
      <c r="N52" s="0" t="s">
        <v>139</v>
      </c>
      <c r="O52" s="0" t="s">
        <v>102</v>
      </c>
      <c r="P52" s="0" t="s">
        <v>41</v>
      </c>
      <c r="Q52" s="0" t="s">
        <v>34</v>
      </c>
      <c r="R52" s="0" t="s">
        <v>102</v>
      </c>
      <c r="S52" s="0" t="s">
        <v>41</v>
      </c>
      <c r="T52" s="0" t="s">
        <v>34</v>
      </c>
      <c r="U52" s="0" t="s">
        <v>34</v>
      </c>
      <c r="V52" s="0" t="s">
        <v>34</v>
      </c>
      <c r="W52" s="0" t="s">
        <v>34</v>
      </c>
      <c r="X52" s="0" t="s">
        <v>34</v>
      </c>
      <c r="Y52" s="0" t="s">
        <v>34</v>
      </c>
      <c r="Z52" s="0" t="s">
        <v>43</v>
      </c>
      <c r="AA52" s="0" t="s">
        <v>43</v>
      </c>
      <c r="AB52" s="0" t="s">
        <v>259</v>
      </c>
      <c r="AC52" s="0" t="s">
        <v>863</v>
      </c>
      <c r="AD52" s="0">
        <f>IF($AC52="","NEW","Live")</f>
      </c>
      <c r="AE52" s="8" t="s">
        <v>34</v>
      </c>
    </row>
    <row r="53">
      <c r="A53" s="0" t="s">
        <v>864</v>
      </c>
      <c r="B53" s="0">
        <v>1</v>
      </c>
      <c r="C53" s="0" t="s">
        <v>174</v>
      </c>
      <c r="D53" s="0" t="s">
        <v>272</v>
      </c>
      <c r="E53" s="0" t="s">
        <v>255</v>
      </c>
      <c r="F53" s="0" t="s">
        <v>34</v>
      </c>
      <c r="G53" s="8" t="s">
        <v>865</v>
      </c>
      <c r="H53" s="0" t="s">
        <v>101</v>
      </c>
      <c r="I53" s="0">
        <v>1</v>
      </c>
      <c r="J53" s="0">
        <v>1</v>
      </c>
      <c r="K53" s="0" t="s">
        <v>864</v>
      </c>
      <c r="L53" s="0" t="s">
        <v>393</v>
      </c>
      <c r="M53" s="0" t="s">
        <v>866</v>
      </c>
      <c r="N53" s="0" t="s">
        <v>139</v>
      </c>
      <c r="O53" s="0" t="s">
        <v>102</v>
      </c>
      <c r="P53" s="0" t="s">
        <v>41</v>
      </c>
      <c r="Q53" s="0" t="s">
        <v>34</v>
      </c>
      <c r="R53" s="0" t="s">
        <v>102</v>
      </c>
      <c r="S53" s="0" t="s">
        <v>41</v>
      </c>
      <c r="T53" s="0" t="s">
        <v>34</v>
      </c>
      <c r="U53" s="0" t="s">
        <v>34</v>
      </c>
      <c r="V53" s="0" t="s">
        <v>34</v>
      </c>
      <c r="W53" s="0" t="s">
        <v>34</v>
      </c>
      <c r="X53" s="0" t="s">
        <v>34</v>
      </c>
      <c r="Y53" s="0" t="s">
        <v>34</v>
      </c>
      <c r="Z53" s="0" t="s">
        <v>43</v>
      </c>
      <c r="AA53" s="0" t="s">
        <v>43</v>
      </c>
      <c r="AB53" s="0" t="s">
        <v>34</v>
      </c>
      <c r="AC53" s="0" t="s">
        <v>867</v>
      </c>
      <c r="AD53" s="0">
        <f>IF($AC53="","NEW","Live")</f>
      </c>
      <c r="AE53" s="8" t="s">
        <v>34</v>
      </c>
    </row>
    <row r="54">
      <c r="A54" s="0" t="s">
        <v>868</v>
      </c>
      <c r="B54" s="0">
        <v>1</v>
      </c>
      <c r="C54" s="0" t="s">
        <v>174</v>
      </c>
      <c r="D54" s="0" t="s">
        <v>272</v>
      </c>
      <c r="E54" s="0" t="s">
        <v>255</v>
      </c>
      <c r="F54" s="0" t="s">
        <v>34</v>
      </c>
      <c r="G54" s="8" t="s">
        <v>869</v>
      </c>
      <c r="H54" s="0" t="s">
        <v>101</v>
      </c>
      <c r="I54" s="0">
        <v>1</v>
      </c>
      <c r="J54" s="0">
        <v>1</v>
      </c>
      <c r="K54" s="0" t="s">
        <v>870</v>
      </c>
      <c r="L54" s="0" t="s">
        <v>393</v>
      </c>
      <c r="M54" s="0" t="s">
        <v>871</v>
      </c>
      <c r="N54" s="0" t="s">
        <v>139</v>
      </c>
      <c r="O54" s="0" t="s">
        <v>102</v>
      </c>
      <c r="P54" s="0" t="s">
        <v>78</v>
      </c>
      <c r="Q54" s="0" t="s">
        <v>34</v>
      </c>
      <c r="R54" s="0" t="s">
        <v>102</v>
      </c>
      <c r="S54" s="0" t="s">
        <v>78</v>
      </c>
      <c r="T54" s="0" t="s">
        <v>34</v>
      </c>
      <c r="U54" s="0" t="s">
        <v>34</v>
      </c>
      <c r="V54" s="0" t="s">
        <v>34</v>
      </c>
      <c r="W54" s="0" t="s">
        <v>34</v>
      </c>
      <c r="X54" s="0" t="s">
        <v>34</v>
      </c>
      <c r="Y54" s="0" t="s">
        <v>34</v>
      </c>
      <c r="Z54" s="0" t="s">
        <v>43</v>
      </c>
      <c r="AA54" s="0" t="s">
        <v>43</v>
      </c>
      <c r="AB54" s="0" t="s">
        <v>34</v>
      </c>
      <c r="AC54" s="0" t="s">
        <v>872</v>
      </c>
      <c r="AD54" s="0">
        <f>IF($AC54="","NEW","Live")</f>
      </c>
      <c r="AE54" s="8" t="s">
        <v>34</v>
      </c>
    </row>
    <row r="55">
      <c r="A55" s="0" t="s">
        <v>873</v>
      </c>
      <c r="B55" s="0">
        <v>1</v>
      </c>
      <c r="C55" s="0" t="s">
        <v>174</v>
      </c>
      <c r="D55" s="0" t="s">
        <v>272</v>
      </c>
      <c r="E55" s="0" t="s">
        <v>273</v>
      </c>
      <c r="F55" s="0" t="s">
        <v>34</v>
      </c>
      <c r="G55" s="8" t="s">
        <v>274</v>
      </c>
      <c r="H55" s="0" t="s">
        <v>101</v>
      </c>
      <c r="I55" s="0">
        <v>1</v>
      </c>
      <c r="J55" s="0">
        <v>1</v>
      </c>
      <c r="K55" s="0" t="s">
        <v>874</v>
      </c>
      <c r="L55" s="0" t="s">
        <v>393</v>
      </c>
      <c r="M55" s="0" t="s">
        <v>875</v>
      </c>
      <c r="N55" s="0" t="s">
        <v>139</v>
      </c>
      <c r="O55" s="0" t="s">
        <v>102</v>
      </c>
      <c r="P55" s="0" t="s">
        <v>41</v>
      </c>
      <c r="Q55" s="0" t="s">
        <v>34</v>
      </c>
      <c r="R55" s="0" t="s">
        <v>40</v>
      </c>
      <c r="S55" s="0" t="s">
        <v>41</v>
      </c>
      <c r="T55" s="0" t="s">
        <v>34</v>
      </c>
      <c r="U55" s="0" t="s">
        <v>34</v>
      </c>
      <c r="V55" s="0" t="s">
        <v>34</v>
      </c>
      <c r="W55" s="0" t="s">
        <v>34</v>
      </c>
      <c r="X55" s="0" t="s">
        <v>34</v>
      </c>
      <c r="Y55" s="0" t="s">
        <v>34</v>
      </c>
      <c r="Z55" s="0" t="s">
        <v>43</v>
      </c>
      <c r="AA55" s="0" t="s">
        <v>43</v>
      </c>
      <c r="AB55" s="0" t="s">
        <v>34</v>
      </c>
      <c r="AC55" s="0" t="s">
        <v>876</v>
      </c>
      <c r="AD55" s="0">
        <f>IF($AC55="","NEW","Live")</f>
      </c>
      <c r="AE55" s="8" t="s">
        <v>34</v>
      </c>
    </row>
  </sheetData>
  <autoFilter ref="A1:AE55"/>
  <conditionalFormatting sqref="AD2:AD55">
    <cfRule priority="1" type="cellIs" operator="equal" dxfId="0">
      <formula>"NEW"</formula>
    </cfRule>
  </conditionalFormatting>
  <dataValidations count="16">
    <dataValidation type="list" sqref="L2:L255" showErrorMessage="0" allowBlank="1">
      <formula1>=list_Class</formula1>
    </dataValidation>
    <dataValidation type="list" sqref="M2:M255" showErrorMessage="0" allowBlank="1">
      <formula1>=list_Folder</formula1>
    </dataValidation>
    <dataValidation type="list" sqref="C2:C255" showErrorMessage="0" allowBlank="1">
      <formula1>=list_Rarity</formula1>
    </dataValidation>
    <dataValidation type="list" sqref="H2:H255" showErrorMessage="0" allowBlank="1">
      <formula1>=list_Shape</formula1>
    </dataValidation>
    <dataValidation type="list" sqref="O2:O255" showErrorMessage="0" allowBlank="1">
      <formula1>=list_Aim</formula1>
    </dataValidation>
    <dataValidation type="list" sqref="R2:R255" showErrorMessage="0" allowBlank="1">
      <formula1>=list_Aim</formula1>
    </dataValidation>
    <dataValidation type="list" sqref="U2:U255" showErrorMessage="0" allowBlank="1">
      <formula1>=list_Aim</formula1>
    </dataValidation>
    <dataValidation type="list" sqref="D2:D255" showErrorMessage="0" allowBlank="1">
      <formula1>=list_Effect</formula1>
    </dataValidation>
    <dataValidation type="list" sqref="E2:E255" showErrorMessage="0" allowBlank="1">
      <formula1>=list_Effect</formula1>
    </dataValidation>
    <dataValidation type="list" sqref="F2:F255" showErrorMessage="0" allowBlank="1">
      <formula1>=list_Effect</formula1>
    </dataValidation>
    <dataValidation type="list" sqref="Q2:Q255" showErrorMessage="0" allowBlank="1">
      <formula1>=list_Condition</formula1>
    </dataValidation>
    <dataValidation type="list" sqref="T2:T255" showErrorMessage="0" allowBlank="1">
      <formula1>=list_Condition</formula1>
    </dataValidation>
    <dataValidation type="list" sqref="W2:W255" showErrorMessage="0" allowBlank="1">
      <formula1>=list_Condition</formula1>
    </dataValidation>
    <dataValidation type="list" sqref="X2:X255" showErrorMessage="0" allowBlank="1">
      <formula1>=list_CostCond</formula1>
    </dataValidation>
    <dataValidation type="list" sqref="Z2:Z255" showErrorMessage="0" allowBlank="1">
      <formula1>=list_Bool</formula1>
    </dataValidation>
    <dataValidation type="list" sqref="AA2:AA255" showErrorMessage="0" allowBlank="1">
      <formula1>=list_Bool</formula1>
    </dataValidation>
  </dataValidations>
  <hyperlinks>
    <hyperlink ref="P18" r:id="rId1"/>
  </hyperlinks>
  <headerFooter/>
</worksheet>
</file>

<file path=xl/worksheets/sheet6.xml><?xml version="1.0" encoding="utf-8"?>
<worksheet xmlns:r="http://schemas.openxmlformats.org/officeDocument/2006/relationships" xmlns="http://schemas.openxmlformats.org/spreadsheetml/2006/main">
  <dimension ref="A1:AI49"/>
  <sheetViews>
    <sheetView workbookViewId="0" tabSelected="0">
      <pane xSplit="2" ySplit="1" topLeftCell="C2" state="frozen" activePane="bottomRight"/>
      <selection pane="topRight" activeCell="C1" sqref="C1"/>
      <selection pane="bottomLeft" activeCell="A2" sqref="A2"/>
      <selection pane="bottomRight" activeCell="A1" sqref="A1"/>
    </sheetView>
  </sheetViews>
  <sheetFormatPr defaultRowHeight="15"/>
  <cols>
    <col min="1" max="1" width="18.3004360198975" customWidth="1"/>
    <col min="2" max="2" width="9.140625" customWidth="1"/>
    <col min="3" max="3" width="11.6996202468872" customWidth="1"/>
    <col min="4" max="4" width="18.4395751953125" customWidth="1"/>
    <col min="5" max="5" width="13.5257921218872" customWidth="1"/>
    <col min="6" max="6" width="13.5257921218872" customWidth="1"/>
    <col min="7" max="7" width="52" customWidth="1" style="8"/>
    <col min="8" max="8" width="12.6950616836548" customWidth="1"/>
    <col min="9" max="9" width="10.8034143447876" customWidth="1"/>
    <col min="10" max="10" width="11.1430721282959" customWidth="1"/>
    <col min="11" max="11" width="17.8124351501465" customWidth="1"/>
    <col min="12" max="12" width="9.140625" customWidth="1"/>
    <col min="13" max="13" width="15.4921236038208" customWidth="1"/>
    <col min="14" max="14" width="19.3818168640137" customWidth="1"/>
    <col min="15" max="15" width="9.140625" customWidth="1"/>
    <col min="16" max="16" width="14.5416955947876" customWidth="1"/>
    <col min="17" max="17" width="9.140625" customWidth="1"/>
    <col min="18" max="18" width="9.140625" customWidth="1"/>
    <col min="19" max="19" width="14.5416955947876" customWidth="1"/>
    <col min="20" max="20" width="9.140625" customWidth="1"/>
    <col min="21" max="21" width="9.140625" customWidth="1"/>
    <col min="22" max="22" width="9.140625" customWidth="1"/>
    <col min="23" max="23" width="9.140625" customWidth="1"/>
    <col min="24" max="24" width="10.3123426437378" customWidth="1"/>
    <col min="25" max="25" width="9.995192527771" customWidth="1"/>
    <col min="26" max="26" width="11.1389799118042" customWidth="1"/>
    <col min="27" max="27" width="9.93790149688721" customWidth="1"/>
    <col min="28" max="28" width="10.5374174118042" customWidth="1"/>
    <col min="29" max="29" width="9.140625" customWidth="1"/>
    <col min="30" max="30" width="9.140625" customWidth="1"/>
    <col min="31" max="31" width="46" customWidth="1" style="8"/>
    <col min="32" max="32" width="13.7539348602295" customWidth="1"/>
    <col min="33" max="33" width="46" customWidth="1" style="8"/>
    <col min="34" max="34" width="31.1777610778809" customWidth="1"/>
    <col min="35" max="35" width="9.140625" customWidth="1"/>
  </cols>
  <sheetData>
    <row r="1">
      <c r="A1" s="7" t="s">
        <v>0</v>
      </c>
      <c r="B1" s="7" t="s">
        <v>1</v>
      </c>
      <c r="C1" s="7" t="s">
        <v>2</v>
      </c>
      <c r="D1" s="7" t="s">
        <v>3</v>
      </c>
      <c r="E1" s="7" t="s">
        <v>4</v>
      </c>
      <c r="F1" s="7" t="s">
        <v>5</v>
      </c>
      <c r="G1" s="9"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c r="Y1" s="7" t="s">
        <v>24</v>
      </c>
      <c r="Z1" s="7" t="s">
        <v>25</v>
      </c>
      <c r="AA1" s="7" t="s">
        <v>26</v>
      </c>
      <c r="AB1" s="7" t="s">
        <v>27</v>
      </c>
      <c r="AC1" s="7" t="s">
        <v>28</v>
      </c>
      <c r="AD1" s="7" t="s">
        <v>29</v>
      </c>
      <c r="AE1" s="9" t="s">
        <v>30</v>
      </c>
      <c r="AF1" s="7" t="s">
        <v>877</v>
      </c>
      <c r="AG1" s="9" t="s">
        <v>878</v>
      </c>
      <c r="AH1" s="7" t="s">
        <v>879</v>
      </c>
      <c r="AI1" s="7" t="s">
        <v>880</v>
      </c>
    </row>
    <row r="2">
      <c r="A2" s="0" t="s">
        <v>141</v>
      </c>
      <c r="B2" s="0">
        <v>1</v>
      </c>
      <c r="C2" s="0" t="s">
        <v>32</v>
      </c>
      <c r="D2" s="0" t="s">
        <v>193</v>
      </c>
      <c r="E2" s="0" t="s">
        <v>34</v>
      </c>
      <c r="F2" s="0" t="s">
        <v>34</v>
      </c>
      <c r="G2" s="8" t="s">
        <v>881</v>
      </c>
      <c r="H2" s="0" t="s">
        <v>101</v>
      </c>
      <c r="I2" s="0">
        <v>1</v>
      </c>
      <c r="J2" s="0">
        <v>1</v>
      </c>
      <c r="K2" s="0" t="s">
        <v>141</v>
      </c>
      <c r="L2" s="0" t="s">
        <v>49</v>
      </c>
      <c r="M2" s="0" t="s">
        <v>138</v>
      </c>
      <c r="N2" s="0" t="s">
        <v>139</v>
      </c>
      <c r="O2" s="0" t="s">
        <v>102</v>
      </c>
      <c r="P2" s="0" t="s">
        <v>78</v>
      </c>
      <c r="Q2" s="0" t="s">
        <v>34</v>
      </c>
      <c r="R2" s="0" t="s">
        <v>34</v>
      </c>
      <c r="S2" s="0" t="s">
        <v>34</v>
      </c>
      <c r="T2" s="0" t="s">
        <v>34</v>
      </c>
      <c r="U2" s="0" t="s">
        <v>34</v>
      </c>
      <c r="V2" s="0" t="s">
        <v>34</v>
      </c>
      <c r="W2" s="0" t="s">
        <v>34</v>
      </c>
      <c r="X2" s="0" t="s">
        <v>34</v>
      </c>
      <c r="Y2" s="0" t="s">
        <v>34</v>
      </c>
      <c r="Z2" s="0" t="s">
        <v>43</v>
      </c>
      <c r="AA2" s="0" t="s">
        <v>34</v>
      </c>
      <c r="AB2" s="0" t="s">
        <v>34</v>
      </c>
      <c r="AC2" s="0" t="s">
        <v>34</v>
      </c>
      <c r="AD2" s="0">
        <f>IF($AC2="","NEW","Live")</f>
      </c>
      <c r="AE2" s="8" t="s">
        <v>34</v>
      </c>
      <c r="AF2" s="0" t="s">
        <v>882</v>
      </c>
      <c r="AG2" s="8" t="s">
        <v>34</v>
      </c>
      <c r="AH2" s="0" t="s">
        <v>883</v>
      </c>
      <c r="AI2" s="0" t="s">
        <v>884</v>
      </c>
    </row>
    <row r="3">
      <c r="A3" s="0" t="s">
        <v>885</v>
      </c>
      <c r="B3" s="0">
        <v>2</v>
      </c>
      <c r="C3" s="0" t="s">
        <v>32</v>
      </c>
      <c r="D3" s="0" t="s">
        <v>82</v>
      </c>
      <c r="E3" s="0" t="s">
        <v>367</v>
      </c>
      <c r="F3" s="0" t="s">
        <v>34</v>
      </c>
      <c r="G3" s="8" t="s">
        <v>886</v>
      </c>
      <c r="H3" s="0" t="s">
        <v>36</v>
      </c>
      <c r="I3" s="0">
        <v>0</v>
      </c>
      <c r="J3" s="0">
        <v>0</v>
      </c>
      <c r="K3" s="0" t="s">
        <v>887</v>
      </c>
      <c r="L3" s="0" t="s">
        <v>49</v>
      </c>
      <c r="M3" s="0" t="s">
        <v>38</v>
      </c>
      <c r="N3" s="0" t="s">
        <v>39</v>
      </c>
      <c r="O3" s="0" t="s">
        <v>40</v>
      </c>
      <c r="P3" s="0" t="s">
        <v>41</v>
      </c>
      <c r="Q3" s="0" t="s">
        <v>34</v>
      </c>
      <c r="R3" s="0" t="s">
        <v>40</v>
      </c>
      <c r="S3" s="0" t="s">
        <v>41</v>
      </c>
      <c r="T3" s="0" t="s">
        <v>34</v>
      </c>
      <c r="U3" s="0" t="s">
        <v>34</v>
      </c>
      <c r="V3" s="0" t="s">
        <v>34</v>
      </c>
      <c r="W3" s="0" t="s">
        <v>34</v>
      </c>
      <c r="X3" s="0" t="s">
        <v>34</v>
      </c>
      <c r="Y3" s="0" t="s">
        <v>34</v>
      </c>
      <c r="Z3" s="0" t="s">
        <v>43</v>
      </c>
      <c r="AA3" s="0" t="s">
        <v>34</v>
      </c>
      <c r="AB3" s="0" t="s">
        <v>34</v>
      </c>
      <c r="AC3" s="0" t="s">
        <v>34</v>
      </c>
      <c r="AD3" s="0">
        <f>IF($AC3="","NEW","Live")</f>
      </c>
      <c r="AE3" s="8" t="s">
        <v>34</v>
      </c>
      <c r="AF3" s="0" t="s">
        <v>882</v>
      </c>
      <c r="AG3" s="8" t="s">
        <v>34</v>
      </c>
      <c r="AH3" s="0" t="s">
        <v>888</v>
      </c>
      <c r="AI3" s="0" t="s">
        <v>889</v>
      </c>
    </row>
    <row r="4">
      <c r="A4" s="0" t="s">
        <v>890</v>
      </c>
      <c r="B4" s="0">
        <v>1</v>
      </c>
      <c r="C4" s="0" t="s">
        <v>81</v>
      </c>
      <c r="D4" s="0" t="s">
        <v>367</v>
      </c>
      <c r="E4" s="0" t="s">
        <v>34</v>
      </c>
      <c r="F4" s="0" t="s">
        <v>34</v>
      </c>
      <c r="G4" s="8" t="s">
        <v>891</v>
      </c>
      <c r="H4" s="0" t="s">
        <v>36</v>
      </c>
      <c r="I4" s="0">
        <v>0</v>
      </c>
      <c r="J4" s="0">
        <v>0</v>
      </c>
      <c r="K4" s="0" t="s">
        <v>890</v>
      </c>
      <c r="L4" s="0" t="s">
        <v>49</v>
      </c>
      <c r="M4" s="0" t="s">
        <v>38</v>
      </c>
      <c r="N4" s="0" t="s">
        <v>39</v>
      </c>
      <c r="O4" s="0" t="s">
        <v>40</v>
      </c>
      <c r="P4" s="0" t="s">
        <v>41</v>
      </c>
      <c r="Q4" s="0" t="s">
        <v>34</v>
      </c>
      <c r="R4" s="0" t="s">
        <v>34</v>
      </c>
      <c r="S4" s="0" t="s">
        <v>34</v>
      </c>
      <c r="T4" s="0" t="s">
        <v>34</v>
      </c>
      <c r="U4" s="0" t="s">
        <v>34</v>
      </c>
      <c r="V4" s="0" t="s">
        <v>34</v>
      </c>
      <c r="W4" s="0" t="s">
        <v>34</v>
      </c>
      <c r="X4" s="0" t="s">
        <v>34</v>
      </c>
      <c r="Y4" s="0" t="s">
        <v>34</v>
      </c>
      <c r="Z4" s="0" t="s">
        <v>43</v>
      </c>
      <c r="AA4" s="0" t="s">
        <v>34</v>
      </c>
      <c r="AB4" s="0" t="s">
        <v>34</v>
      </c>
      <c r="AC4" s="0" t="s">
        <v>34</v>
      </c>
      <c r="AD4" s="0">
        <f>IF($AC4="","NEW","Live")</f>
      </c>
      <c r="AE4" s="8" t="s">
        <v>34</v>
      </c>
      <c r="AF4" s="0" t="s">
        <v>882</v>
      </c>
      <c r="AG4" s="8" t="s">
        <v>34</v>
      </c>
      <c r="AH4" s="0" t="s">
        <v>34</v>
      </c>
      <c r="AI4" s="0" t="s">
        <v>889</v>
      </c>
    </row>
    <row r="5">
      <c r="A5" s="0" t="s">
        <v>708</v>
      </c>
      <c r="B5" s="0">
        <v>2</v>
      </c>
      <c r="C5" s="0" t="s">
        <v>62</v>
      </c>
      <c r="D5" s="0" t="s">
        <v>73</v>
      </c>
      <c r="E5" s="0" t="s">
        <v>73</v>
      </c>
      <c r="F5" s="0" t="s">
        <v>34</v>
      </c>
      <c r="G5" s="8" t="s">
        <v>892</v>
      </c>
      <c r="H5" s="0" t="s">
        <v>36</v>
      </c>
      <c r="I5" s="0">
        <v>0</v>
      </c>
      <c r="J5" s="0">
        <v>0</v>
      </c>
      <c r="K5" s="0" t="s">
        <v>708</v>
      </c>
      <c r="L5" s="0" t="s">
        <v>49</v>
      </c>
      <c r="M5" s="0" t="s">
        <v>38</v>
      </c>
      <c r="N5" s="0" t="s">
        <v>39</v>
      </c>
      <c r="O5" s="0" t="s">
        <v>40</v>
      </c>
      <c r="P5" s="0" t="s">
        <v>41</v>
      </c>
      <c r="Q5" s="0" t="s">
        <v>34</v>
      </c>
      <c r="R5" s="0" t="s">
        <v>40</v>
      </c>
      <c r="S5" s="0" t="s">
        <v>41</v>
      </c>
      <c r="T5" s="0" t="s">
        <v>34</v>
      </c>
      <c r="U5" s="0" t="s">
        <v>34</v>
      </c>
      <c r="V5" s="0" t="s">
        <v>34</v>
      </c>
      <c r="W5" s="0" t="s">
        <v>34</v>
      </c>
      <c r="X5" s="0" t="s">
        <v>34</v>
      </c>
      <c r="Y5" s="0" t="s">
        <v>34</v>
      </c>
      <c r="Z5" s="0" t="s">
        <v>43</v>
      </c>
      <c r="AA5" s="0" t="s">
        <v>34</v>
      </c>
      <c r="AB5" s="0" t="s">
        <v>34</v>
      </c>
      <c r="AC5" s="0" t="s">
        <v>34</v>
      </c>
      <c r="AD5" s="0">
        <f>IF($AC5="","NEW","Live")</f>
      </c>
      <c r="AE5" s="8" t="s">
        <v>34</v>
      </c>
      <c r="AF5" s="0" t="s">
        <v>882</v>
      </c>
      <c r="AG5" s="8" t="s">
        <v>34</v>
      </c>
      <c r="AH5" s="0" t="s">
        <v>893</v>
      </c>
      <c r="AI5" s="0" t="s">
        <v>889</v>
      </c>
    </row>
    <row r="6">
      <c r="A6" s="0" t="s">
        <v>774</v>
      </c>
      <c r="B6" s="0">
        <v>2</v>
      </c>
      <c r="C6" s="0" t="s">
        <v>81</v>
      </c>
      <c r="D6" s="0" t="s">
        <v>185</v>
      </c>
      <c r="E6" s="0" t="s">
        <v>34</v>
      </c>
      <c r="F6" s="0" t="s">
        <v>34</v>
      </c>
      <c r="G6" s="8" t="s">
        <v>755</v>
      </c>
      <c r="H6" s="0" t="s">
        <v>101</v>
      </c>
      <c r="I6" s="0">
        <v>1</v>
      </c>
      <c r="J6" s="0">
        <v>1</v>
      </c>
      <c r="K6" s="0" t="s">
        <v>776</v>
      </c>
      <c r="L6" s="0" t="s">
        <v>49</v>
      </c>
      <c r="M6" s="0" t="s">
        <v>138</v>
      </c>
      <c r="N6" s="0" t="s">
        <v>139</v>
      </c>
      <c r="O6" s="0" t="s">
        <v>102</v>
      </c>
      <c r="P6" s="0" t="s">
        <v>41</v>
      </c>
      <c r="Q6" s="0" t="s">
        <v>34</v>
      </c>
      <c r="R6" s="0" t="s">
        <v>34</v>
      </c>
      <c r="S6" s="0" t="s">
        <v>34</v>
      </c>
      <c r="T6" s="0" t="s">
        <v>34</v>
      </c>
      <c r="U6" s="0" t="s">
        <v>34</v>
      </c>
      <c r="V6" s="0" t="s">
        <v>34</v>
      </c>
      <c r="W6" s="0" t="s">
        <v>34</v>
      </c>
      <c r="X6" s="0" t="s">
        <v>34</v>
      </c>
      <c r="Y6" s="0" t="s">
        <v>34</v>
      </c>
      <c r="Z6" s="0" t="s">
        <v>43</v>
      </c>
      <c r="AA6" s="0" t="s">
        <v>34</v>
      </c>
      <c r="AB6" s="0" t="s">
        <v>34</v>
      </c>
      <c r="AC6" s="0" t="s">
        <v>34</v>
      </c>
      <c r="AD6" s="0">
        <f>IF($AC6="","NEW","Live")</f>
      </c>
      <c r="AE6" s="8" t="s">
        <v>34</v>
      </c>
      <c r="AF6" s="0" t="s">
        <v>882</v>
      </c>
      <c r="AG6" s="8" t="s">
        <v>34</v>
      </c>
      <c r="AH6" s="0" t="s">
        <v>34</v>
      </c>
      <c r="AI6" s="0" t="s">
        <v>889</v>
      </c>
    </row>
    <row r="7">
      <c r="A7" s="0" t="s">
        <v>130</v>
      </c>
      <c r="B7" s="0">
        <v>1</v>
      </c>
      <c r="C7" s="0" t="s">
        <v>32</v>
      </c>
      <c r="D7" s="0" t="s">
        <v>131</v>
      </c>
      <c r="E7" s="0" t="s">
        <v>34</v>
      </c>
      <c r="F7" s="0" t="s">
        <v>34</v>
      </c>
      <c r="G7" s="8" t="s">
        <v>894</v>
      </c>
      <c r="H7" s="0" t="s">
        <v>36</v>
      </c>
      <c r="I7" s="0">
        <v>0</v>
      </c>
      <c r="J7" s="0">
        <v>0</v>
      </c>
      <c r="K7" s="0" t="s">
        <v>895</v>
      </c>
      <c r="L7" s="0" t="s">
        <v>49</v>
      </c>
      <c r="M7" s="0" t="s">
        <v>133</v>
      </c>
      <c r="N7" s="0" t="s">
        <v>454</v>
      </c>
      <c r="O7" s="0" t="s">
        <v>40</v>
      </c>
      <c r="P7" s="0" t="s">
        <v>41</v>
      </c>
      <c r="Q7" s="0" t="s">
        <v>34</v>
      </c>
      <c r="R7" s="0" t="s">
        <v>34</v>
      </c>
      <c r="S7" s="0" t="s">
        <v>34</v>
      </c>
      <c r="T7" s="0" t="s">
        <v>34</v>
      </c>
      <c r="U7" s="0" t="s">
        <v>34</v>
      </c>
      <c r="V7" s="0" t="s">
        <v>34</v>
      </c>
      <c r="W7" s="0" t="s">
        <v>34</v>
      </c>
      <c r="X7" s="0" t="s">
        <v>34</v>
      </c>
      <c r="Y7" s="0" t="s">
        <v>34</v>
      </c>
      <c r="Z7" s="0" t="s">
        <v>43</v>
      </c>
      <c r="AA7" s="0" t="s">
        <v>34</v>
      </c>
      <c r="AB7" s="0" t="s">
        <v>34</v>
      </c>
      <c r="AC7" s="0" t="s">
        <v>34</v>
      </c>
      <c r="AD7" s="0">
        <f>IF($AC7="","NEW","Live")</f>
      </c>
      <c r="AE7" s="8" t="s">
        <v>896</v>
      </c>
      <c r="AF7" s="0" t="s">
        <v>882</v>
      </c>
      <c r="AG7" s="8" t="s">
        <v>34</v>
      </c>
      <c r="AH7" s="0" t="s">
        <v>897</v>
      </c>
      <c r="AI7" s="0" t="s">
        <v>884</v>
      </c>
    </row>
    <row r="8">
      <c r="A8" s="0" t="s">
        <v>898</v>
      </c>
      <c r="B8" s="0">
        <v>0</v>
      </c>
      <c r="C8" s="0" t="s">
        <v>81</v>
      </c>
      <c r="D8" s="0" t="s">
        <v>162</v>
      </c>
      <c r="E8" s="0" t="s">
        <v>33</v>
      </c>
      <c r="F8" s="0" t="s">
        <v>34</v>
      </c>
      <c r="G8" s="8" t="s">
        <v>899</v>
      </c>
      <c r="H8" s="0" t="s">
        <v>36</v>
      </c>
      <c r="I8" s="0">
        <v>0</v>
      </c>
      <c r="J8" s="0">
        <v>0</v>
      </c>
      <c r="K8" s="0" t="s">
        <v>900</v>
      </c>
      <c r="L8" s="0" t="s">
        <v>49</v>
      </c>
      <c r="M8" s="0" t="s">
        <v>38</v>
      </c>
      <c r="N8" s="0" t="s">
        <v>39</v>
      </c>
      <c r="O8" s="0" t="s">
        <v>40</v>
      </c>
      <c r="P8" s="0" t="s">
        <v>41</v>
      </c>
      <c r="Q8" s="0" t="s">
        <v>34</v>
      </c>
      <c r="R8" s="0" t="s">
        <v>40</v>
      </c>
      <c r="S8" s="0" t="s">
        <v>41</v>
      </c>
      <c r="T8" s="0" t="s">
        <v>34</v>
      </c>
      <c r="U8" s="0" t="s">
        <v>34</v>
      </c>
      <c r="V8" s="0" t="s">
        <v>34</v>
      </c>
      <c r="W8" s="0" t="s">
        <v>34</v>
      </c>
      <c r="X8" s="0" t="s">
        <v>34</v>
      </c>
      <c r="Y8" s="0" t="s">
        <v>34</v>
      </c>
      <c r="Z8" s="0" t="s">
        <v>43</v>
      </c>
      <c r="AA8" s="0" t="s">
        <v>34</v>
      </c>
      <c r="AB8" s="0" t="s">
        <v>34</v>
      </c>
      <c r="AC8" s="0" t="s">
        <v>34</v>
      </c>
      <c r="AD8" s="0">
        <f>IF($AC8="","NEW","Live")</f>
      </c>
      <c r="AE8" s="8" t="s">
        <v>34</v>
      </c>
      <c r="AF8" s="0" t="s">
        <v>882</v>
      </c>
      <c r="AG8" s="8" t="s">
        <v>34</v>
      </c>
      <c r="AH8" s="0" t="s">
        <v>34</v>
      </c>
      <c r="AI8" s="0" t="s">
        <v>889</v>
      </c>
    </row>
    <row r="9">
      <c r="A9" s="0" t="s">
        <v>160</v>
      </c>
      <c r="B9" s="0">
        <v>2</v>
      </c>
      <c r="C9" s="0" t="s">
        <v>32</v>
      </c>
      <c r="D9" s="0" t="s">
        <v>136</v>
      </c>
      <c r="E9" s="0" t="s">
        <v>97</v>
      </c>
      <c r="F9" s="0" t="s">
        <v>34</v>
      </c>
      <c r="G9" s="8" t="s">
        <v>901</v>
      </c>
      <c r="H9" s="0" t="s">
        <v>101</v>
      </c>
      <c r="I9" s="0">
        <v>1</v>
      </c>
      <c r="J9" s="0">
        <v>1</v>
      </c>
      <c r="K9" s="0" t="s">
        <v>902</v>
      </c>
      <c r="L9" s="0" t="s">
        <v>49</v>
      </c>
      <c r="M9" s="0" t="s">
        <v>138</v>
      </c>
      <c r="N9" s="0" t="s">
        <v>903</v>
      </c>
      <c r="O9" s="0" t="s">
        <v>102</v>
      </c>
      <c r="P9" s="0" t="s">
        <v>41</v>
      </c>
      <c r="Q9" s="0" t="s">
        <v>34</v>
      </c>
      <c r="R9" s="0" t="s">
        <v>40</v>
      </c>
      <c r="S9" s="0" t="s">
        <v>41</v>
      </c>
      <c r="T9" s="0" t="s">
        <v>34</v>
      </c>
      <c r="U9" s="0" t="s">
        <v>34</v>
      </c>
      <c r="V9" s="0" t="s">
        <v>34</v>
      </c>
      <c r="W9" s="0" t="s">
        <v>34</v>
      </c>
      <c r="X9" s="0" t="s">
        <v>34</v>
      </c>
      <c r="Y9" s="0" t="s">
        <v>34</v>
      </c>
      <c r="Z9" s="0" t="s">
        <v>43</v>
      </c>
      <c r="AA9" s="0" t="s">
        <v>34</v>
      </c>
      <c r="AB9" s="0" t="s">
        <v>34</v>
      </c>
      <c r="AC9" s="0" t="s">
        <v>34</v>
      </c>
      <c r="AD9" s="0">
        <f>IF($AC9="","NEW","Live")</f>
      </c>
      <c r="AE9" s="8" t="s">
        <v>34</v>
      </c>
      <c r="AF9" s="0" t="s">
        <v>882</v>
      </c>
      <c r="AG9" s="8" t="s">
        <v>34</v>
      </c>
      <c r="AH9" s="0" t="s">
        <v>904</v>
      </c>
      <c r="AI9" s="0" t="s">
        <v>889</v>
      </c>
    </row>
    <row r="10">
      <c r="A10" s="0" t="s">
        <v>905</v>
      </c>
      <c r="B10" s="0">
        <v>3</v>
      </c>
      <c r="C10" s="0" t="s">
        <v>62</v>
      </c>
      <c r="D10" s="0" t="s">
        <v>906</v>
      </c>
      <c r="E10" s="0" t="s">
        <v>907</v>
      </c>
      <c r="F10" s="0" t="s">
        <v>34</v>
      </c>
      <c r="G10" s="8" t="s">
        <v>908</v>
      </c>
      <c r="H10" s="0" t="s">
        <v>36</v>
      </c>
      <c r="I10" s="0">
        <v>0</v>
      </c>
      <c r="J10" s="0">
        <v>0</v>
      </c>
      <c r="K10" s="0" t="s">
        <v>909</v>
      </c>
      <c r="L10" s="0" t="s">
        <v>49</v>
      </c>
      <c r="M10" s="0" t="s">
        <v>38</v>
      </c>
      <c r="N10" s="0" t="s">
        <v>39</v>
      </c>
      <c r="O10" s="0" t="s">
        <v>40</v>
      </c>
      <c r="P10" s="0" t="s">
        <v>41</v>
      </c>
      <c r="Q10" s="0" t="s">
        <v>34</v>
      </c>
      <c r="R10" s="0" t="s">
        <v>40</v>
      </c>
      <c r="S10" s="0" t="s">
        <v>41</v>
      </c>
      <c r="T10" s="0" t="s">
        <v>34</v>
      </c>
      <c r="U10" s="0" t="s">
        <v>34</v>
      </c>
      <c r="V10" s="0" t="s">
        <v>34</v>
      </c>
      <c r="W10" s="0" t="s">
        <v>34</v>
      </c>
      <c r="X10" s="0" t="s">
        <v>34</v>
      </c>
      <c r="Y10" s="0" t="s">
        <v>34</v>
      </c>
      <c r="Z10" s="0" t="s">
        <v>43</v>
      </c>
      <c r="AA10" s="0" t="s">
        <v>34</v>
      </c>
      <c r="AB10" s="0" t="s">
        <v>34</v>
      </c>
      <c r="AC10" s="0" t="s">
        <v>34</v>
      </c>
      <c r="AD10" s="0">
        <f>IF($AC10="","NEW","Live")</f>
      </c>
      <c r="AE10" s="8" t="s">
        <v>34</v>
      </c>
      <c r="AF10" s="0" t="s">
        <v>882</v>
      </c>
      <c r="AG10" s="8" t="s">
        <v>34</v>
      </c>
      <c r="AH10" s="0" t="s">
        <v>34</v>
      </c>
      <c r="AI10" s="0" t="s">
        <v>910</v>
      </c>
    </row>
    <row r="11">
      <c r="A11" s="0" t="s">
        <v>911</v>
      </c>
      <c r="B11" s="0">
        <v>2</v>
      </c>
      <c r="C11" s="0" t="s">
        <v>32</v>
      </c>
      <c r="D11" s="0" t="s">
        <v>278</v>
      </c>
      <c r="E11" s="0" t="s">
        <v>136</v>
      </c>
      <c r="F11" s="0" t="s">
        <v>34</v>
      </c>
      <c r="G11" s="8" t="s">
        <v>912</v>
      </c>
      <c r="H11" s="0" t="s">
        <v>101</v>
      </c>
      <c r="I11" s="0">
        <v>1</v>
      </c>
      <c r="J11" s="0">
        <v>3</v>
      </c>
      <c r="K11" s="0" t="s">
        <v>913</v>
      </c>
      <c r="L11" s="0" t="s">
        <v>49</v>
      </c>
      <c r="M11" s="0" t="s">
        <v>138</v>
      </c>
      <c r="N11" s="0" t="s">
        <v>914</v>
      </c>
      <c r="O11" s="0" t="s">
        <v>102</v>
      </c>
      <c r="P11" s="0" t="s">
        <v>41</v>
      </c>
      <c r="Q11" s="0" t="s">
        <v>34</v>
      </c>
      <c r="R11" s="0" t="s">
        <v>879</v>
      </c>
      <c r="S11" s="0" t="s">
        <v>78</v>
      </c>
      <c r="T11" s="0" t="s">
        <v>34</v>
      </c>
      <c r="U11" s="0" t="s">
        <v>34</v>
      </c>
      <c r="V11" s="0" t="s">
        <v>34</v>
      </c>
      <c r="W11" s="0" t="s">
        <v>34</v>
      </c>
      <c r="X11" s="0" t="s">
        <v>34</v>
      </c>
      <c r="Y11" s="0" t="s">
        <v>34</v>
      </c>
      <c r="Z11" s="0" t="s">
        <v>43</v>
      </c>
      <c r="AA11" s="0" t="s">
        <v>34</v>
      </c>
      <c r="AB11" s="0" t="s">
        <v>34</v>
      </c>
      <c r="AC11" s="0" t="s">
        <v>34</v>
      </c>
      <c r="AD11" s="0">
        <f>IF($AC11="","NEW","Live")</f>
      </c>
      <c r="AE11" s="8" t="s">
        <v>34</v>
      </c>
      <c r="AF11" s="0" t="s">
        <v>915</v>
      </c>
      <c r="AG11" s="8" t="s">
        <v>916</v>
      </c>
      <c r="AH11" s="0" t="s">
        <v>917</v>
      </c>
      <c r="AI11" s="0" t="s">
        <v>884</v>
      </c>
    </row>
    <row r="12">
      <c r="A12" s="0" t="s">
        <v>918</v>
      </c>
      <c r="B12" s="0">
        <v>1</v>
      </c>
      <c r="C12" s="0" t="s">
        <v>32</v>
      </c>
      <c r="D12" s="0" t="s">
        <v>272</v>
      </c>
      <c r="E12" s="0" t="s">
        <v>34</v>
      </c>
      <c r="F12" s="0" t="s">
        <v>34</v>
      </c>
      <c r="G12" s="8" t="s">
        <v>919</v>
      </c>
      <c r="H12" s="0" t="s">
        <v>101</v>
      </c>
      <c r="I12" s="0">
        <v>1</v>
      </c>
      <c r="J12" s="0">
        <v>1</v>
      </c>
      <c r="K12" s="0" t="s">
        <v>920</v>
      </c>
      <c r="L12" s="0" t="s">
        <v>49</v>
      </c>
      <c r="M12" s="0" t="s">
        <v>138</v>
      </c>
      <c r="N12" s="0" t="s">
        <v>914</v>
      </c>
      <c r="O12" s="0" t="s">
        <v>102</v>
      </c>
      <c r="P12" s="0" t="s">
        <v>41</v>
      </c>
      <c r="Q12" s="0" t="s">
        <v>34</v>
      </c>
      <c r="R12" s="0" t="s">
        <v>34</v>
      </c>
      <c r="S12" s="0" t="s">
        <v>34</v>
      </c>
      <c r="T12" s="0" t="s">
        <v>34</v>
      </c>
      <c r="U12" s="0" t="s">
        <v>34</v>
      </c>
      <c r="V12" s="0" t="s">
        <v>34</v>
      </c>
      <c r="W12" s="0" t="s">
        <v>34</v>
      </c>
      <c r="X12" s="0" t="s">
        <v>34</v>
      </c>
      <c r="Y12" s="0" t="s">
        <v>34</v>
      </c>
      <c r="Z12" s="0" t="s">
        <v>43</v>
      </c>
      <c r="AA12" s="0" t="s">
        <v>34</v>
      </c>
      <c r="AB12" s="0" t="s">
        <v>34</v>
      </c>
      <c r="AC12" s="0" t="s">
        <v>34</v>
      </c>
      <c r="AD12" s="0">
        <f>IF($AC12="","NEW","Live")</f>
      </c>
      <c r="AE12" s="8" t="s">
        <v>921</v>
      </c>
      <c r="AF12" s="0" t="s">
        <v>915</v>
      </c>
      <c r="AG12" s="8" t="s">
        <v>922</v>
      </c>
      <c r="AH12" s="0" t="s">
        <v>917</v>
      </c>
      <c r="AI12" s="0" t="s">
        <v>884</v>
      </c>
    </row>
    <row r="13">
      <c r="A13" s="0" t="s">
        <v>923</v>
      </c>
      <c r="B13" s="0">
        <v>1</v>
      </c>
      <c r="C13" s="0" t="s">
        <v>81</v>
      </c>
      <c r="D13" s="0" t="s">
        <v>34</v>
      </c>
      <c r="E13" s="0" t="s">
        <v>34</v>
      </c>
      <c r="F13" s="0" t="s">
        <v>34</v>
      </c>
      <c r="G13" s="8" t="s">
        <v>924</v>
      </c>
      <c r="H13" s="0" t="s">
        <v>36</v>
      </c>
      <c r="I13" s="0">
        <v>0</v>
      </c>
      <c r="J13" s="0">
        <v>0</v>
      </c>
      <c r="K13" s="0" t="s">
        <v>923</v>
      </c>
      <c r="L13" s="0" t="s">
        <v>49</v>
      </c>
      <c r="M13" s="0" t="s">
        <v>38</v>
      </c>
      <c r="N13" s="0" t="s">
        <v>39</v>
      </c>
      <c r="O13" s="0" t="s">
        <v>34</v>
      </c>
      <c r="P13" s="0" t="s">
        <v>34</v>
      </c>
      <c r="Q13" s="0" t="s">
        <v>34</v>
      </c>
      <c r="R13" s="0" t="s">
        <v>34</v>
      </c>
      <c r="S13" s="0" t="s">
        <v>34</v>
      </c>
      <c r="T13" s="0" t="s">
        <v>34</v>
      </c>
      <c r="U13" s="0" t="s">
        <v>34</v>
      </c>
      <c r="V13" s="0" t="s">
        <v>34</v>
      </c>
      <c r="W13" s="0" t="s">
        <v>34</v>
      </c>
      <c r="X13" s="0" t="s">
        <v>34</v>
      </c>
      <c r="Y13" s="0" t="s">
        <v>34</v>
      </c>
      <c r="Z13" s="0" t="s">
        <v>43</v>
      </c>
      <c r="AA13" s="0" t="s">
        <v>34</v>
      </c>
      <c r="AB13" s="0" t="s">
        <v>34</v>
      </c>
      <c r="AC13" s="0" t="s">
        <v>34</v>
      </c>
      <c r="AD13" s="0">
        <f>IF($AC13="","NEW","Live")</f>
      </c>
      <c r="AE13" s="8" t="s">
        <v>925</v>
      </c>
      <c r="AF13" s="0" t="s">
        <v>926</v>
      </c>
      <c r="AG13" s="8" t="s">
        <v>927</v>
      </c>
      <c r="AH13" s="0" t="s">
        <v>917</v>
      </c>
      <c r="AI13" s="0" t="s">
        <v>910</v>
      </c>
    </row>
    <row r="14">
      <c r="A14" s="0" t="s">
        <v>928</v>
      </c>
      <c r="B14" s="0">
        <v>1</v>
      </c>
      <c r="C14" s="0" t="s">
        <v>32</v>
      </c>
      <c r="D14" s="0" t="s">
        <v>34</v>
      </c>
      <c r="E14" s="0" t="s">
        <v>34</v>
      </c>
      <c r="F14" s="0" t="s">
        <v>34</v>
      </c>
      <c r="G14" s="8" t="s">
        <v>929</v>
      </c>
      <c r="H14" s="0" t="s">
        <v>101</v>
      </c>
      <c r="I14" s="0">
        <v>1</v>
      </c>
      <c r="J14" s="0">
        <v>2</v>
      </c>
      <c r="K14" s="0" t="s">
        <v>928</v>
      </c>
      <c r="L14" s="0" t="s">
        <v>49</v>
      </c>
      <c r="M14" s="0" t="s">
        <v>138</v>
      </c>
      <c r="N14" s="0" t="s">
        <v>914</v>
      </c>
      <c r="O14" s="0" t="s">
        <v>34</v>
      </c>
      <c r="P14" s="0" t="s">
        <v>34</v>
      </c>
      <c r="Q14" s="0" t="s">
        <v>34</v>
      </c>
      <c r="R14" s="0" t="s">
        <v>34</v>
      </c>
      <c r="S14" s="0" t="s">
        <v>34</v>
      </c>
      <c r="T14" s="0" t="s">
        <v>34</v>
      </c>
      <c r="U14" s="0" t="s">
        <v>34</v>
      </c>
      <c r="V14" s="0" t="s">
        <v>34</v>
      </c>
      <c r="W14" s="0" t="s">
        <v>34</v>
      </c>
      <c r="X14" s="0" t="s">
        <v>34</v>
      </c>
      <c r="Y14" s="0" t="s">
        <v>34</v>
      </c>
      <c r="Z14" s="0" t="s">
        <v>43</v>
      </c>
      <c r="AA14" s="0" t="s">
        <v>34</v>
      </c>
      <c r="AB14" s="0" t="s">
        <v>34</v>
      </c>
      <c r="AC14" s="0" t="s">
        <v>34</v>
      </c>
      <c r="AD14" s="0">
        <f>IF($AC14="","NEW","Live")</f>
      </c>
      <c r="AE14" s="8" t="s">
        <v>34</v>
      </c>
      <c r="AF14" s="0" t="s">
        <v>915</v>
      </c>
      <c r="AG14" s="8" t="s">
        <v>930</v>
      </c>
      <c r="AH14" s="0" t="s">
        <v>931</v>
      </c>
      <c r="AI14" s="0" t="s">
        <v>884</v>
      </c>
    </row>
    <row r="15">
      <c r="A15" s="0" t="s">
        <v>932</v>
      </c>
      <c r="B15" s="0">
        <v>2</v>
      </c>
      <c r="C15" s="0" t="s">
        <v>62</v>
      </c>
      <c r="D15" s="0" t="s">
        <v>34</v>
      </c>
      <c r="E15" s="0" t="s">
        <v>34</v>
      </c>
      <c r="F15" s="0" t="s">
        <v>34</v>
      </c>
      <c r="G15" s="8" t="s">
        <v>933</v>
      </c>
      <c r="H15" s="0" t="s">
        <v>101</v>
      </c>
      <c r="I15" s="0">
        <v>1</v>
      </c>
      <c r="J15" s="0">
        <v>2</v>
      </c>
      <c r="K15" s="0" t="s">
        <v>934</v>
      </c>
      <c r="L15" s="0" t="s">
        <v>49</v>
      </c>
      <c r="M15" s="0" t="s">
        <v>199</v>
      </c>
      <c r="N15" s="0" t="s">
        <v>935</v>
      </c>
      <c r="O15" s="0" t="s">
        <v>34</v>
      </c>
      <c r="P15" s="0" t="s">
        <v>34</v>
      </c>
      <c r="Q15" s="0" t="s">
        <v>34</v>
      </c>
      <c r="R15" s="0" t="s">
        <v>34</v>
      </c>
      <c r="S15" s="0" t="s">
        <v>34</v>
      </c>
      <c r="T15" s="0" t="s">
        <v>34</v>
      </c>
      <c r="U15" s="0" t="s">
        <v>34</v>
      </c>
      <c r="V15" s="0" t="s">
        <v>34</v>
      </c>
      <c r="W15" s="0" t="s">
        <v>34</v>
      </c>
      <c r="X15" s="0" t="s">
        <v>34</v>
      </c>
      <c r="Y15" s="0" t="s">
        <v>34</v>
      </c>
      <c r="Z15" s="0" t="s">
        <v>43</v>
      </c>
      <c r="AA15" s="0" t="s">
        <v>34</v>
      </c>
      <c r="AB15" s="0" t="s">
        <v>34</v>
      </c>
      <c r="AC15" s="0" t="s">
        <v>34</v>
      </c>
      <c r="AD15" s="0">
        <f>IF($AC15="","NEW","Live")</f>
      </c>
      <c r="AE15" s="8" t="s">
        <v>34</v>
      </c>
      <c r="AF15" s="0" t="s">
        <v>936</v>
      </c>
      <c r="AG15" s="8" t="s">
        <v>937</v>
      </c>
      <c r="AH15" s="0" t="s">
        <v>938</v>
      </c>
      <c r="AI15" s="0" t="s">
        <v>889</v>
      </c>
    </row>
    <row r="16">
      <c r="A16" s="0" t="s">
        <v>939</v>
      </c>
      <c r="B16" s="0">
        <v>1</v>
      </c>
      <c r="C16" s="0" t="s">
        <v>62</v>
      </c>
      <c r="D16" s="0" t="s">
        <v>34</v>
      </c>
      <c r="E16" s="0" t="s">
        <v>34</v>
      </c>
      <c r="F16" s="0" t="s">
        <v>34</v>
      </c>
      <c r="G16" s="8" t="s">
        <v>940</v>
      </c>
      <c r="H16" s="0" t="s">
        <v>101</v>
      </c>
      <c r="I16" s="0">
        <v>1</v>
      </c>
      <c r="J16" s="0">
        <v>1</v>
      </c>
      <c r="K16" s="0" t="s">
        <v>939</v>
      </c>
      <c r="L16" s="0" t="s">
        <v>49</v>
      </c>
      <c r="M16" s="0" t="s">
        <v>281</v>
      </c>
      <c r="N16" s="0" t="s">
        <v>941</v>
      </c>
      <c r="O16" s="0" t="s">
        <v>34</v>
      </c>
      <c r="P16" s="0" t="s">
        <v>34</v>
      </c>
      <c r="Q16" s="0" t="s">
        <v>34</v>
      </c>
      <c r="R16" s="0" t="s">
        <v>34</v>
      </c>
      <c r="S16" s="0" t="s">
        <v>34</v>
      </c>
      <c r="T16" s="0" t="s">
        <v>34</v>
      </c>
      <c r="U16" s="0" t="s">
        <v>34</v>
      </c>
      <c r="V16" s="0" t="s">
        <v>34</v>
      </c>
      <c r="W16" s="0" t="s">
        <v>34</v>
      </c>
      <c r="X16" s="0" t="s">
        <v>34</v>
      </c>
      <c r="Y16" s="0" t="s">
        <v>34</v>
      </c>
      <c r="Z16" s="0" t="s">
        <v>43</v>
      </c>
      <c r="AA16" s="0" t="s">
        <v>34</v>
      </c>
      <c r="AB16" s="0" t="s">
        <v>34</v>
      </c>
      <c r="AC16" s="0" t="s">
        <v>34</v>
      </c>
      <c r="AD16" s="0">
        <f>IF($AC16="","NEW","Live")</f>
      </c>
      <c r="AE16" s="8" t="s">
        <v>34</v>
      </c>
      <c r="AF16" s="0" t="s">
        <v>915</v>
      </c>
      <c r="AG16" s="8" t="s">
        <v>942</v>
      </c>
      <c r="AH16" s="0" t="s">
        <v>943</v>
      </c>
      <c r="AI16" s="0" t="s">
        <v>889</v>
      </c>
    </row>
    <row r="17">
      <c r="A17" s="0" t="s">
        <v>114</v>
      </c>
      <c r="B17" s="0">
        <v>2</v>
      </c>
      <c r="C17" s="0" t="s">
        <v>32</v>
      </c>
      <c r="D17" s="0" t="s">
        <v>63</v>
      </c>
      <c r="E17" s="0" t="s">
        <v>367</v>
      </c>
      <c r="F17" s="0" t="s">
        <v>34</v>
      </c>
      <c r="G17" s="8" t="s">
        <v>944</v>
      </c>
      <c r="H17" s="0" t="s">
        <v>101</v>
      </c>
      <c r="I17" s="0">
        <v>1</v>
      </c>
      <c r="J17" s="0">
        <v>3</v>
      </c>
      <c r="K17" s="0" t="s">
        <v>945</v>
      </c>
      <c r="L17" s="0" t="s">
        <v>49</v>
      </c>
      <c r="M17" s="0" t="s">
        <v>38</v>
      </c>
      <c r="N17" s="0" t="s">
        <v>39</v>
      </c>
      <c r="O17" s="0" t="s">
        <v>102</v>
      </c>
      <c r="P17" s="0" t="s">
        <v>41</v>
      </c>
      <c r="Q17" s="0" t="s">
        <v>34</v>
      </c>
      <c r="R17" s="0" t="s">
        <v>40</v>
      </c>
      <c r="S17" s="0" t="s">
        <v>41</v>
      </c>
      <c r="T17" s="0" t="s">
        <v>34</v>
      </c>
      <c r="U17" s="0" t="s">
        <v>34</v>
      </c>
      <c r="V17" s="0" t="s">
        <v>34</v>
      </c>
      <c r="W17" s="0" t="s">
        <v>34</v>
      </c>
      <c r="X17" s="0" t="s">
        <v>34</v>
      </c>
      <c r="Y17" s="0" t="s">
        <v>34</v>
      </c>
      <c r="Z17" s="0" t="s">
        <v>43</v>
      </c>
      <c r="AA17" s="0" t="s">
        <v>34</v>
      </c>
      <c r="AB17" s="0" t="s">
        <v>34</v>
      </c>
      <c r="AC17" s="0" t="s">
        <v>34</v>
      </c>
      <c r="AD17" s="0">
        <f>IF($AC17="","NEW","Live")</f>
      </c>
      <c r="AE17" s="8" t="s">
        <v>946</v>
      </c>
      <c r="AF17" s="0" t="s">
        <v>882</v>
      </c>
      <c r="AG17" s="8" t="s">
        <v>34</v>
      </c>
      <c r="AH17" s="0" t="s">
        <v>34</v>
      </c>
      <c r="AI17" s="0" t="s">
        <v>884</v>
      </c>
    </row>
    <row r="18">
      <c r="A18" s="0" t="s">
        <v>947</v>
      </c>
      <c r="B18" s="0">
        <v>1</v>
      </c>
      <c r="C18" s="0" t="s">
        <v>81</v>
      </c>
      <c r="D18" s="0" t="s">
        <v>97</v>
      </c>
      <c r="E18" s="0" t="s">
        <v>262</v>
      </c>
      <c r="F18" s="0" t="s">
        <v>34</v>
      </c>
      <c r="G18" s="8" t="s">
        <v>948</v>
      </c>
      <c r="H18" s="0" t="s">
        <v>36</v>
      </c>
      <c r="I18" s="0">
        <v>0</v>
      </c>
      <c r="J18" s="0">
        <v>0</v>
      </c>
      <c r="K18" s="0" t="s">
        <v>949</v>
      </c>
      <c r="L18" s="0" t="s">
        <v>49</v>
      </c>
      <c r="M18" s="0" t="s">
        <v>38</v>
      </c>
      <c r="N18" s="0" t="s">
        <v>39</v>
      </c>
      <c r="O18" s="0" t="s">
        <v>40</v>
      </c>
      <c r="P18" s="0" t="s">
        <v>41</v>
      </c>
      <c r="Q18" s="0" t="s">
        <v>34</v>
      </c>
      <c r="R18" s="0" t="s">
        <v>40</v>
      </c>
      <c r="S18" s="0" t="s">
        <v>41</v>
      </c>
      <c r="T18" s="0" t="s">
        <v>34</v>
      </c>
      <c r="U18" s="0" t="s">
        <v>34</v>
      </c>
      <c r="V18" s="0" t="s">
        <v>34</v>
      </c>
      <c r="W18" s="0" t="s">
        <v>34</v>
      </c>
      <c r="X18" s="0" t="s">
        <v>34</v>
      </c>
      <c r="Y18" s="0" t="s">
        <v>34</v>
      </c>
      <c r="Z18" s="0" t="s">
        <v>43</v>
      </c>
      <c r="AA18" s="0" t="s">
        <v>34</v>
      </c>
      <c r="AB18" s="0" t="s">
        <v>34</v>
      </c>
      <c r="AC18" s="0" t="s">
        <v>34</v>
      </c>
      <c r="AD18" s="0">
        <f>IF($AC18="","NEW","Live")</f>
      </c>
      <c r="AE18" s="8" t="s">
        <v>950</v>
      </c>
      <c r="AF18" s="0" t="s">
        <v>882</v>
      </c>
      <c r="AG18" s="8" t="s">
        <v>34</v>
      </c>
      <c r="AH18" s="0" t="s">
        <v>951</v>
      </c>
      <c r="AI18" s="0" t="s">
        <v>884</v>
      </c>
    </row>
    <row r="19">
      <c r="A19" s="0" t="s">
        <v>952</v>
      </c>
      <c r="B19" s="0">
        <v>2</v>
      </c>
      <c r="C19" s="0" t="s">
        <v>62</v>
      </c>
      <c r="D19" s="0" t="s">
        <v>278</v>
      </c>
      <c r="E19" s="0" t="s">
        <v>34</v>
      </c>
      <c r="F19" s="0" t="s">
        <v>34</v>
      </c>
      <c r="G19" s="8" t="s">
        <v>953</v>
      </c>
      <c r="H19" s="0" t="s">
        <v>101</v>
      </c>
      <c r="I19" s="0">
        <v>1</v>
      </c>
      <c r="J19" s="0">
        <v>3</v>
      </c>
      <c r="K19" s="0" t="s">
        <v>952</v>
      </c>
      <c r="L19" s="0" t="s">
        <v>49</v>
      </c>
      <c r="M19" s="0" t="s">
        <v>281</v>
      </c>
      <c r="N19" s="0" t="s">
        <v>941</v>
      </c>
      <c r="O19" s="0" t="s">
        <v>102</v>
      </c>
      <c r="P19" s="0" t="s">
        <v>41</v>
      </c>
      <c r="Q19" s="0" t="s">
        <v>34</v>
      </c>
      <c r="R19" s="0" t="s">
        <v>34</v>
      </c>
      <c r="S19" s="0" t="s">
        <v>34</v>
      </c>
      <c r="T19" s="0" t="s">
        <v>34</v>
      </c>
      <c r="U19" s="0" t="s">
        <v>34</v>
      </c>
      <c r="V19" s="0" t="s">
        <v>34</v>
      </c>
      <c r="W19" s="0" t="s">
        <v>34</v>
      </c>
      <c r="X19" s="0" t="s">
        <v>34</v>
      </c>
      <c r="Y19" s="0" t="s">
        <v>34</v>
      </c>
      <c r="Z19" s="0" t="s">
        <v>43</v>
      </c>
      <c r="AA19" s="0" t="s">
        <v>34</v>
      </c>
      <c r="AB19" s="0" t="s">
        <v>34</v>
      </c>
      <c r="AC19" s="0" t="s">
        <v>34</v>
      </c>
      <c r="AD19" s="0">
        <f>IF($AC19="","NEW","Live")</f>
      </c>
      <c r="AE19" s="8" t="s">
        <v>34</v>
      </c>
      <c r="AF19" s="0" t="s">
        <v>915</v>
      </c>
      <c r="AG19" s="8" t="s">
        <v>954</v>
      </c>
      <c r="AH19" s="0" t="s">
        <v>917</v>
      </c>
      <c r="AI19" s="0" t="s">
        <v>889</v>
      </c>
    </row>
    <row r="20">
      <c r="A20" s="0" t="s">
        <v>955</v>
      </c>
      <c r="B20" s="0">
        <v>2</v>
      </c>
      <c r="C20" s="0" t="s">
        <v>32</v>
      </c>
      <c r="D20" s="0" t="s">
        <v>956</v>
      </c>
      <c r="E20" s="0" t="s">
        <v>34</v>
      </c>
      <c r="F20" s="0" t="s">
        <v>34</v>
      </c>
      <c r="G20" s="8" t="s">
        <v>957</v>
      </c>
      <c r="H20" s="0" t="s">
        <v>36</v>
      </c>
      <c r="I20" s="0">
        <v>0</v>
      </c>
      <c r="J20" s="0">
        <v>0</v>
      </c>
      <c r="K20" s="0" t="s">
        <v>958</v>
      </c>
      <c r="L20" s="0" t="s">
        <v>49</v>
      </c>
      <c r="M20" s="0" t="s">
        <v>124</v>
      </c>
      <c r="N20" s="0" t="s">
        <v>139</v>
      </c>
      <c r="O20" s="0" t="s">
        <v>40</v>
      </c>
      <c r="P20" s="0" t="s">
        <v>87</v>
      </c>
      <c r="Q20" s="0" t="s">
        <v>34</v>
      </c>
      <c r="R20" s="0" t="s">
        <v>34</v>
      </c>
      <c r="S20" s="0" t="s">
        <v>34</v>
      </c>
      <c r="T20" s="0" t="s">
        <v>34</v>
      </c>
      <c r="U20" s="0" t="s">
        <v>34</v>
      </c>
      <c r="V20" s="0" t="s">
        <v>34</v>
      </c>
      <c r="W20" s="0" t="s">
        <v>34</v>
      </c>
      <c r="X20" s="0" t="s">
        <v>34</v>
      </c>
      <c r="Y20" s="0" t="s">
        <v>34</v>
      </c>
      <c r="Z20" s="0" t="s">
        <v>43</v>
      </c>
      <c r="AA20" s="0" t="s">
        <v>34</v>
      </c>
      <c r="AB20" s="0" t="s">
        <v>34</v>
      </c>
      <c r="AC20" s="0" t="s">
        <v>34</v>
      </c>
      <c r="AD20" s="0">
        <f>IF($AC20="","NEW","Live")</f>
      </c>
      <c r="AE20" s="8" t="s">
        <v>34</v>
      </c>
      <c r="AF20" s="0" t="s">
        <v>882</v>
      </c>
      <c r="AG20" s="8" t="s">
        <v>34</v>
      </c>
      <c r="AH20" s="0" t="s">
        <v>959</v>
      </c>
      <c r="AI20" s="0" t="s">
        <v>884</v>
      </c>
    </row>
    <row r="21">
      <c r="A21" s="0" t="s">
        <v>960</v>
      </c>
      <c r="B21" s="0">
        <v>1</v>
      </c>
      <c r="C21" s="0" t="s">
        <v>81</v>
      </c>
      <c r="D21" s="0" t="s">
        <v>384</v>
      </c>
      <c r="E21" s="0" t="s">
        <v>34</v>
      </c>
      <c r="F21" s="0" t="s">
        <v>34</v>
      </c>
      <c r="G21" s="8" t="s">
        <v>961</v>
      </c>
      <c r="H21" s="0" t="s">
        <v>101</v>
      </c>
      <c r="I21" s="0">
        <v>1</v>
      </c>
      <c r="J21" s="0">
        <v>3</v>
      </c>
      <c r="K21" s="0" t="s">
        <v>960</v>
      </c>
      <c r="L21" s="0" t="s">
        <v>49</v>
      </c>
      <c r="M21" s="0" t="s">
        <v>258</v>
      </c>
      <c r="N21" s="0" t="s">
        <v>139</v>
      </c>
      <c r="O21" s="0" t="s">
        <v>102</v>
      </c>
      <c r="P21" s="0" t="s">
        <v>41</v>
      </c>
      <c r="Q21" s="0" t="s">
        <v>34</v>
      </c>
      <c r="R21" s="0" t="s">
        <v>34</v>
      </c>
      <c r="S21" s="0" t="s">
        <v>34</v>
      </c>
      <c r="T21" s="0" t="s">
        <v>34</v>
      </c>
      <c r="U21" s="0" t="s">
        <v>34</v>
      </c>
      <c r="V21" s="0" t="s">
        <v>34</v>
      </c>
      <c r="W21" s="0" t="s">
        <v>34</v>
      </c>
      <c r="X21" s="0" t="s">
        <v>34</v>
      </c>
      <c r="Y21" s="0" t="s">
        <v>34</v>
      </c>
      <c r="Z21" s="0" t="s">
        <v>43</v>
      </c>
      <c r="AA21" s="0" t="s">
        <v>34</v>
      </c>
      <c r="AB21" s="0" t="s">
        <v>34</v>
      </c>
      <c r="AC21" s="0" t="s">
        <v>34</v>
      </c>
      <c r="AD21" s="0">
        <f>IF($AC21="","NEW","Live")</f>
      </c>
      <c r="AE21" s="8" t="s">
        <v>34</v>
      </c>
      <c r="AF21" s="0" t="s">
        <v>882</v>
      </c>
      <c r="AG21" s="8" t="s">
        <v>34</v>
      </c>
      <c r="AH21" s="0" t="s">
        <v>34</v>
      </c>
      <c r="AI21" s="0" t="s">
        <v>889</v>
      </c>
    </row>
    <row r="22">
      <c r="A22" s="0" t="s">
        <v>962</v>
      </c>
      <c r="B22" s="0">
        <v>2</v>
      </c>
      <c r="C22" s="0" t="s">
        <v>32</v>
      </c>
      <c r="D22" s="0" t="s">
        <v>136</v>
      </c>
      <c r="E22" s="0" t="s">
        <v>963</v>
      </c>
      <c r="F22" s="0" t="s">
        <v>34</v>
      </c>
      <c r="G22" s="8" t="s">
        <v>964</v>
      </c>
      <c r="H22" s="0" t="s">
        <v>101</v>
      </c>
      <c r="I22" s="0">
        <v>1</v>
      </c>
      <c r="J22" s="0">
        <v>1</v>
      </c>
      <c r="K22" s="0" t="s">
        <v>965</v>
      </c>
      <c r="L22" s="0" t="s">
        <v>49</v>
      </c>
      <c r="M22" s="0" t="s">
        <v>138</v>
      </c>
      <c r="N22" s="0" t="s">
        <v>139</v>
      </c>
      <c r="O22" s="0" t="s">
        <v>102</v>
      </c>
      <c r="P22" s="0" t="s">
        <v>41</v>
      </c>
      <c r="Q22" s="0" t="s">
        <v>34</v>
      </c>
      <c r="R22" s="0" t="s">
        <v>102</v>
      </c>
      <c r="S22" s="0" t="s">
        <v>41</v>
      </c>
      <c r="T22" s="0" t="s">
        <v>34</v>
      </c>
      <c r="U22" s="0" t="s">
        <v>34</v>
      </c>
      <c r="V22" s="0" t="s">
        <v>34</v>
      </c>
      <c r="W22" s="0" t="s">
        <v>34</v>
      </c>
      <c r="X22" s="0" t="s">
        <v>34</v>
      </c>
      <c r="Y22" s="0" t="s">
        <v>34</v>
      </c>
      <c r="Z22" s="0" t="s">
        <v>43</v>
      </c>
      <c r="AA22" s="0" t="s">
        <v>34</v>
      </c>
      <c r="AB22" s="0" t="s">
        <v>34</v>
      </c>
      <c r="AC22" s="0" t="s">
        <v>34</v>
      </c>
      <c r="AD22" s="0">
        <f>IF($AC22="","NEW","Live")</f>
      </c>
      <c r="AE22" s="8" t="s">
        <v>34</v>
      </c>
      <c r="AF22" s="0" t="s">
        <v>882</v>
      </c>
      <c r="AG22" s="8" t="s">
        <v>34</v>
      </c>
      <c r="AH22" s="0" t="s">
        <v>34</v>
      </c>
      <c r="AI22" s="0" t="s">
        <v>889</v>
      </c>
    </row>
    <row r="23">
      <c r="A23" s="0" t="s">
        <v>966</v>
      </c>
      <c r="B23" s="0">
        <v>1</v>
      </c>
      <c r="C23" s="0" t="s">
        <v>81</v>
      </c>
      <c r="D23" s="0" t="s">
        <v>967</v>
      </c>
      <c r="E23" s="0" t="s">
        <v>34</v>
      </c>
      <c r="F23" s="0" t="s">
        <v>34</v>
      </c>
      <c r="G23" s="8" t="s">
        <v>968</v>
      </c>
      <c r="H23" s="0" t="s">
        <v>36</v>
      </c>
      <c r="I23" s="0">
        <v>0</v>
      </c>
      <c r="J23" s="0">
        <v>0</v>
      </c>
      <c r="K23" s="0" t="s">
        <v>969</v>
      </c>
      <c r="L23" s="0" t="s">
        <v>49</v>
      </c>
      <c r="M23" s="0" t="s">
        <v>38</v>
      </c>
      <c r="N23" s="0" t="s">
        <v>39</v>
      </c>
      <c r="O23" s="0" t="s">
        <v>40</v>
      </c>
      <c r="P23" s="0" t="s">
        <v>41</v>
      </c>
      <c r="Q23" s="0" t="s">
        <v>34</v>
      </c>
      <c r="R23" s="0" t="s">
        <v>34</v>
      </c>
      <c r="S23" s="0" t="s">
        <v>34</v>
      </c>
      <c r="T23" s="0" t="s">
        <v>34</v>
      </c>
      <c r="U23" s="0" t="s">
        <v>34</v>
      </c>
      <c r="V23" s="0" t="s">
        <v>34</v>
      </c>
      <c r="W23" s="0" t="s">
        <v>34</v>
      </c>
      <c r="X23" s="0" t="s">
        <v>34</v>
      </c>
      <c r="Y23" s="0" t="s">
        <v>34</v>
      </c>
      <c r="Z23" s="0" t="s">
        <v>43</v>
      </c>
      <c r="AA23" s="0" t="s">
        <v>34</v>
      </c>
      <c r="AB23" s="0" t="s">
        <v>34</v>
      </c>
      <c r="AC23" s="0" t="s">
        <v>34</v>
      </c>
      <c r="AD23" s="0">
        <f>IF($AC23="","NEW","Live")</f>
      </c>
      <c r="AE23" s="8" t="s">
        <v>970</v>
      </c>
      <c r="AF23" s="0" t="s">
        <v>882</v>
      </c>
      <c r="AG23" s="8" t="s">
        <v>34</v>
      </c>
      <c r="AH23" s="0" t="s">
        <v>34</v>
      </c>
      <c r="AI23" s="0" t="s">
        <v>889</v>
      </c>
    </row>
    <row r="24">
      <c r="A24" s="0" t="s">
        <v>971</v>
      </c>
      <c r="B24" s="0">
        <v>2</v>
      </c>
      <c r="C24" s="0" t="s">
        <v>62</v>
      </c>
      <c r="D24" s="0" t="s">
        <v>907</v>
      </c>
      <c r="E24" s="0" t="s">
        <v>967</v>
      </c>
      <c r="F24" s="0" t="s">
        <v>34</v>
      </c>
      <c r="G24" s="8" t="s">
        <v>972</v>
      </c>
      <c r="H24" s="0" t="s">
        <v>36</v>
      </c>
      <c r="I24" s="0">
        <v>0</v>
      </c>
      <c r="J24" s="0">
        <v>0</v>
      </c>
      <c r="K24" s="0" t="s">
        <v>973</v>
      </c>
      <c r="L24" s="0" t="s">
        <v>49</v>
      </c>
      <c r="M24" s="0" t="s">
        <v>38</v>
      </c>
      <c r="N24" s="0" t="s">
        <v>39</v>
      </c>
      <c r="O24" s="0" t="s">
        <v>40</v>
      </c>
      <c r="P24" s="0" t="s">
        <v>41</v>
      </c>
      <c r="Q24" s="0" t="s">
        <v>34</v>
      </c>
      <c r="R24" s="0" t="s">
        <v>40</v>
      </c>
      <c r="S24" s="0" t="s">
        <v>41</v>
      </c>
      <c r="T24" s="0" t="s">
        <v>34</v>
      </c>
      <c r="U24" s="0" t="s">
        <v>34</v>
      </c>
      <c r="V24" s="0" t="s">
        <v>34</v>
      </c>
      <c r="W24" s="0" t="s">
        <v>34</v>
      </c>
      <c r="X24" s="0" t="s">
        <v>34</v>
      </c>
      <c r="Y24" s="0" t="s">
        <v>34</v>
      </c>
      <c r="Z24" s="0" t="s">
        <v>43</v>
      </c>
      <c r="AA24" s="0" t="s">
        <v>34</v>
      </c>
      <c r="AB24" s="0" t="s">
        <v>34</v>
      </c>
      <c r="AC24" s="0" t="s">
        <v>34</v>
      </c>
      <c r="AD24" s="0">
        <f>IF($AC24="","NEW","Live")</f>
      </c>
      <c r="AE24" s="8" t="s">
        <v>34</v>
      </c>
      <c r="AF24" s="0" t="s">
        <v>882</v>
      </c>
      <c r="AG24" s="8" t="s">
        <v>34</v>
      </c>
      <c r="AH24" s="0" t="s">
        <v>34</v>
      </c>
      <c r="AI24" s="0" t="s">
        <v>889</v>
      </c>
    </row>
    <row r="25">
      <c r="A25" s="0" t="s">
        <v>974</v>
      </c>
      <c r="B25" s="0">
        <v>1</v>
      </c>
      <c r="C25" s="0" t="s">
        <v>32</v>
      </c>
      <c r="D25" s="0" t="s">
        <v>136</v>
      </c>
      <c r="E25" s="0" t="s">
        <v>262</v>
      </c>
      <c r="F25" s="0" t="s">
        <v>34</v>
      </c>
      <c r="G25" s="8" t="s">
        <v>975</v>
      </c>
      <c r="H25" s="0" t="s">
        <v>101</v>
      </c>
      <c r="I25" s="0">
        <v>1</v>
      </c>
      <c r="J25" s="0">
        <v>1</v>
      </c>
      <c r="K25" s="0" t="s">
        <v>974</v>
      </c>
      <c r="L25" s="0" t="s">
        <v>49</v>
      </c>
      <c r="M25" s="0" t="s">
        <v>138</v>
      </c>
      <c r="N25" s="0" t="s">
        <v>139</v>
      </c>
      <c r="O25" s="0" t="s">
        <v>102</v>
      </c>
      <c r="P25" s="0" t="s">
        <v>41</v>
      </c>
      <c r="Q25" s="0" t="s">
        <v>34</v>
      </c>
      <c r="R25" s="0" t="s">
        <v>102</v>
      </c>
      <c r="S25" s="0" t="s">
        <v>41</v>
      </c>
      <c r="T25" s="0" t="s">
        <v>34</v>
      </c>
      <c r="U25" s="0" t="s">
        <v>34</v>
      </c>
      <c r="V25" s="0" t="s">
        <v>34</v>
      </c>
      <c r="W25" s="0" t="s">
        <v>34</v>
      </c>
      <c r="X25" s="0" t="s">
        <v>34</v>
      </c>
      <c r="Y25" s="0" t="s">
        <v>34</v>
      </c>
      <c r="Z25" s="0" t="s">
        <v>43</v>
      </c>
      <c r="AA25" s="0" t="s">
        <v>34</v>
      </c>
      <c r="AB25" s="0" t="s">
        <v>34</v>
      </c>
      <c r="AC25" s="0" t="s">
        <v>34</v>
      </c>
      <c r="AD25" s="0">
        <f>IF($AC25="","NEW","Live")</f>
      </c>
      <c r="AE25" s="8" t="s">
        <v>34</v>
      </c>
      <c r="AF25" s="0" t="s">
        <v>882</v>
      </c>
      <c r="AG25" s="8" t="s">
        <v>34</v>
      </c>
      <c r="AH25" s="0" t="s">
        <v>34</v>
      </c>
      <c r="AI25" s="0" t="s">
        <v>884</v>
      </c>
    </row>
    <row r="26">
      <c r="A26" s="0" t="s">
        <v>976</v>
      </c>
      <c r="B26" s="0">
        <v>1</v>
      </c>
      <c r="C26" s="0" t="s">
        <v>32</v>
      </c>
      <c r="D26" s="0" t="s">
        <v>127</v>
      </c>
      <c r="E26" s="0" t="s">
        <v>34</v>
      </c>
      <c r="F26" s="0" t="s">
        <v>34</v>
      </c>
      <c r="G26" s="8" t="s">
        <v>977</v>
      </c>
      <c r="H26" s="0" t="s">
        <v>36</v>
      </c>
      <c r="I26" s="0">
        <v>0</v>
      </c>
      <c r="J26" s="0">
        <v>0</v>
      </c>
      <c r="K26" s="0" t="s">
        <v>978</v>
      </c>
      <c r="L26" s="0" t="s">
        <v>49</v>
      </c>
      <c r="M26" s="0" t="s">
        <v>124</v>
      </c>
      <c r="N26" s="0" t="s">
        <v>139</v>
      </c>
      <c r="O26" s="0" t="s">
        <v>40</v>
      </c>
      <c r="P26" s="0" t="s">
        <v>41</v>
      </c>
      <c r="Q26" s="0" t="s">
        <v>34</v>
      </c>
      <c r="R26" s="0" t="s">
        <v>34</v>
      </c>
      <c r="S26" s="0" t="s">
        <v>34</v>
      </c>
      <c r="T26" s="0" t="s">
        <v>34</v>
      </c>
      <c r="U26" s="0" t="s">
        <v>34</v>
      </c>
      <c r="V26" s="0" t="s">
        <v>34</v>
      </c>
      <c r="W26" s="0" t="s">
        <v>34</v>
      </c>
      <c r="X26" s="0" t="s">
        <v>34</v>
      </c>
      <c r="Y26" s="0" t="s">
        <v>34</v>
      </c>
      <c r="Z26" s="0" t="s">
        <v>43</v>
      </c>
      <c r="AA26" s="0" t="s">
        <v>34</v>
      </c>
      <c r="AB26" s="0" t="s">
        <v>34</v>
      </c>
      <c r="AC26" s="0" t="s">
        <v>34</v>
      </c>
      <c r="AD26" s="0">
        <f>IF($AC26="","NEW","Live")</f>
      </c>
      <c r="AE26" s="8" t="s">
        <v>34</v>
      </c>
      <c r="AF26" s="0" t="s">
        <v>882</v>
      </c>
      <c r="AG26" s="8" t="s">
        <v>34</v>
      </c>
      <c r="AH26" s="0" t="s">
        <v>34</v>
      </c>
      <c r="AI26" s="0" t="s">
        <v>889</v>
      </c>
    </row>
    <row r="27">
      <c r="A27" s="0" t="s">
        <v>979</v>
      </c>
      <c r="B27" s="0">
        <v>2</v>
      </c>
      <c r="C27" s="0" t="s">
        <v>62</v>
      </c>
      <c r="D27" s="0" t="s">
        <v>122</v>
      </c>
      <c r="E27" s="0" t="s">
        <v>47</v>
      </c>
      <c r="F27" s="0" t="s">
        <v>34</v>
      </c>
      <c r="G27" s="8" t="s">
        <v>980</v>
      </c>
      <c r="H27" s="0" t="s">
        <v>36</v>
      </c>
      <c r="I27" s="0">
        <v>0</v>
      </c>
      <c r="J27" s="0">
        <v>0</v>
      </c>
      <c r="K27" s="0" t="s">
        <v>979</v>
      </c>
      <c r="L27" s="0" t="s">
        <v>49</v>
      </c>
      <c r="M27" s="0" t="s">
        <v>124</v>
      </c>
      <c r="N27" s="0" t="s">
        <v>139</v>
      </c>
      <c r="O27" s="0" t="s">
        <v>40</v>
      </c>
      <c r="P27" s="0" t="s">
        <v>41</v>
      </c>
      <c r="Q27" s="0" t="s">
        <v>34</v>
      </c>
      <c r="R27" s="0" t="s">
        <v>40</v>
      </c>
      <c r="S27" s="0" t="s">
        <v>41</v>
      </c>
      <c r="T27" s="0" t="s">
        <v>34</v>
      </c>
      <c r="U27" s="0" t="s">
        <v>34</v>
      </c>
      <c r="V27" s="0" t="s">
        <v>34</v>
      </c>
      <c r="W27" s="0" t="s">
        <v>34</v>
      </c>
      <c r="X27" s="0" t="s">
        <v>34</v>
      </c>
      <c r="Y27" s="0" t="s">
        <v>34</v>
      </c>
      <c r="Z27" s="0" t="s">
        <v>43</v>
      </c>
      <c r="AA27" s="0" t="s">
        <v>34</v>
      </c>
      <c r="AB27" s="0" t="s">
        <v>34</v>
      </c>
      <c r="AC27" s="0" t="s">
        <v>34</v>
      </c>
      <c r="AD27" s="0">
        <f>IF($AC27="","NEW","Live")</f>
      </c>
      <c r="AE27" s="8" t="s">
        <v>34</v>
      </c>
      <c r="AF27" s="0" t="s">
        <v>882</v>
      </c>
      <c r="AG27" s="8" t="s">
        <v>34</v>
      </c>
      <c r="AH27" s="0" t="s">
        <v>34</v>
      </c>
      <c r="AI27" s="0" t="s">
        <v>889</v>
      </c>
    </row>
    <row r="28">
      <c r="A28" s="0" t="s">
        <v>457</v>
      </c>
      <c r="B28" s="0">
        <v>1</v>
      </c>
      <c r="C28" s="0" t="s">
        <v>81</v>
      </c>
      <c r="D28" s="0" t="s">
        <v>97</v>
      </c>
      <c r="E28" s="0" t="s">
        <v>34</v>
      </c>
      <c r="F28" s="0" t="s">
        <v>34</v>
      </c>
      <c r="G28" s="8" t="s">
        <v>981</v>
      </c>
      <c r="H28" s="0" t="s">
        <v>143</v>
      </c>
      <c r="I28" s="0">
        <v>1</v>
      </c>
      <c r="J28" s="0">
        <v>2</v>
      </c>
      <c r="K28" s="0" t="s">
        <v>982</v>
      </c>
      <c r="L28" s="0" t="s">
        <v>49</v>
      </c>
      <c r="M28" s="0" t="s">
        <v>38</v>
      </c>
      <c r="N28" s="0" t="s">
        <v>39</v>
      </c>
      <c r="O28" s="0" t="s">
        <v>102</v>
      </c>
      <c r="P28" s="0" t="s">
        <v>41</v>
      </c>
      <c r="Q28" s="0" t="s">
        <v>34</v>
      </c>
      <c r="R28" s="0" t="s">
        <v>34</v>
      </c>
      <c r="S28" s="0" t="s">
        <v>34</v>
      </c>
      <c r="T28" s="0" t="s">
        <v>34</v>
      </c>
      <c r="U28" s="0" t="s">
        <v>34</v>
      </c>
      <c r="V28" s="0" t="s">
        <v>34</v>
      </c>
      <c r="W28" s="0" t="s">
        <v>34</v>
      </c>
      <c r="X28" s="0" t="s">
        <v>34</v>
      </c>
      <c r="Y28" s="0" t="s">
        <v>34</v>
      </c>
      <c r="Z28" s="0" t="s">
        <v>43</v>
      </c>
      <c r="AA28" s="0" t="s">
        <v>34</v>
      </c>
      <c r="AB28" s="0" t="s">
        <v>34</v>
      </c>
      <c r="AC28" s="0" t="s">
        <v>34</v>
      </c>
      <c r="AD28" s="0">
        <f>IF($AC28="","NEW","Live")</f>
      </c>
      <c r="AE28" s="8" t="s">
        <v>34</v>
      </c>
      <c r="AF28" s="0" t="s">
        <v>882</v>
      </c>
      <c r="AG28" s="8" t="s">
        <v>34</v>
      </c>
      <c r="AH28" s="0" t="s">
        <v>983</v>
      </c>
      <c r="AI28" s="0" t="s">
        <v>889</v>
      </c>
    </row>
    <row r="29">
      <c r="A29" s="0" t="s">
        <v>984</v>
      </c>
      <c r="B29" s="0">
        <v>3</v>
      </c>
      <c r="C29" s="0" t="s">
        <v>985</v>
      </c>
      <c r="D29" s="0" t="s">
        <v>449</v>
      </c>
      <c r="E29" s="0" t="s">
        <v>986</v>
      </c>
      <c r="F29" s="0" t="s">
        <v>967</v>
      </c>
      <c r="G29" s="8" t="s">
        <v>987</v>
      </c>
      <c r="H29" s="0" t="s">
        <v>36</v>
      </c>
      <c r="I29" s="0">
        <v>0</v>
      </c>
      <c r="J29" s="0">
        <v>0</v>
      </c>
      <c r="K29" s="0" t="s">
        <v>984</v>
      </c>
      <c r="L29" s="0" t="s">
        <v>49</v>
      </c>
      <c r="M29" s="0" t="s">
        <v>38</v>
      </c>
      <c r="N29" s="0" t="s">
        <v>39</v>
      </c>
      <c r="O29" s="0" t="s">
        <v>40</v>
      </c>
      <c r="P29" s="0" t="s">
        <v>41</v>
      </c>
      <c r="Q29" s="0" t="s">
        <v>34</v>
      </c>
      <c r="R29" s="0" t="s">
        <v>40</v>
      </c>
      <c r="S29" s="0" t="s">
        <v>41</v>
      </c>
      <c r="T29" s="0" t="s">
        <v>34</v>
      </c>
      <c r="U29" s="0" t="s">
        <v>40</v>
      </c>
      <c r="V29" s="0" t="s">
        <v>41</v>
      </c>
      <c r="W29" s="0" t="s">
        <v>34</v>
      </c>
      <c r="X29" s="0" t="s">
        <v>34</v>
      </c>
      <c r="Y29" s="0" t="s">
        <v>34</v>
      </c>
      <c r="Z29" s="0" t="s">
        <v>43</v>
      </c>
      <c r="AA29" s="0" t="s">
        <v>34</v>
      </c>
      <c r="AB29" s="0" t="s">
        <v>34</v>
      </c>
      <c r="AC29" s="0" t="s">
        <v>34</v>
      </c>
      <c r="AD29" s="0">
        <f>IF($AC29="","NEW","Live")</f>
      </c>
      <c r="AE29" s="8" t="s">
        <v>34</v>
      </c>
      <c r="AF29" s="0" t="s">
        <v>882</v>
      </c>
      <c r="AG29" s="8" t="s">
        <v>34</v>
      </c>
      <c r="AH29" s="0" t="s">
        <v>34</v>
      </c>
      <c r="AI29" s="0" t="s">
        <v>910</v>
      </c>
    </row>
    <row r="30">
      <c r="A30" s="0" t="s">
        <v>988</v>
      </c>
      <c r="B30" s="0">
        <v>2</v>
      </c>
      <c r="C30" s="0" t="s">
        <v>62</v>
      </c>
      <c r="D30" s="0" t="s">
        <v>34</v>
      </c>
      <c r="E30" s="0" t="s">
        <v>34</v>
      </c>
      <c r="F30" s="0" t="s">
        <v>34</v>
      </c>
      <c r="G30" s="8" t="s">
        <v>989</v>
      </c>
      <c r="H30" s="0" t="s">
        <v>36</v>
      </c>
      <c r="I30" s="0">
        <v>0</v>
      </c>
      <c r="J30" s="0">
        <v>0</v>
      </c>
      <c r="K30" s="0" t="s">
        <v>988</v>
      </c>
      <c r="L30" s="0" t="s">
        <v>49</v>
      </c>
      <c r="M30" s="0" t="s">
        <v>38</v>
      </c>
      <c r="N30" s="0" t="s">
        <v>39</v>
      </c>
      <c r="O30" s="0" t="s">
        <v>34</v>
      </c>
      <c r="P30" s="0" t="s">
        <v>34</v>
      </c>
      <c r="Q30" s="0" t="s">
        <v>34</v>
      </c>
      <c r="R30" s="0" t="s">
        <v>34</v>
      </c>
      <c r="S30" s="0" t="s">
        <v>34</v>
      </c>
      <c r="T30" s="0" t="s">
        <v>34</v>
      </c>
      <c r="U30" s="0" t="s">
        <v>34</v>
      </c>
      <c r="V30" s="0" t="s">
        <v>34</v>
      </c>
      <c r="W30" s="0" t="s">
        <v>34</v>
      </c>
      <c r="X30" s="0" t="s">
        <v>34</v>
      </c>
      <c r="Y30" s="0" t="s">
        <v>34</v>
      </c>
      <c r="Z30" s="0" t="s">
        <v>43</v>
      </c>
      <c r="AA30" s="0" t="s">
        <v>34</v>
      </c>
      <c r="AB30" s="0" t="s">
        <v>34</v>
      </c>
      <c r="AC30" s="0" t="s">
        <v>34</v>
      </c>
      <c r="AD30" s="0">
        <f>IF($AC30="","NEW","Live")</f>
      </c>
      <c r="AE30" s="8" t="s">
        <v>990</v>
      </c>
      <c r="AF30" s="0" t="s">
        <v>926</v>
      </c>
      <c r="AG30" s="8" t="s">
        <v>991</v>
      </c>
      <c r="AH30" s="0" t="s">
        <v>992</v>
      </c>
      <c r="AI30" s="0" t="s">
        <v>884</v>
      </c>
    </row>
    <row r="31">
      <c r="A31" s="0" t="s">
        <v>993</v>
      </c>
      <c r="B31" s="0">
        <v>2</v>
      </c>
      <c r="C31" s="0" t="s">
        <v>62</v>
      </c>
      <c r="D31" s="0" t="s">
        <v>34</v>
      </c>
      <c r="E31" s="0" t="s">
        <v>34</v>
      </c>
      <c r="F31" s="0" t="s">
        <v>34</v>
      </c>
      <c r="G31" s="8" t="s">
        <v>994</v>
      </c>
      <c r="H31" s="0" t="s">
        <v>36</v>
      </c>
      <c r="I31" s="0">
        <v>0</v>
      </c>
      <c r="J31" s="0">
        <v>0</v>
      </c>
      <c r="K31" s="0" t="s">
        <v>993</v>
      </c>
      <c r="L31" s="0" t="s">
        <v>49</v>
      </c>
      <c r="M31" s="0" t="s">
        <v>38</v>
      </c>
      <c r="N31" s="0" t="s">
        <v>39</v>
      </c>
      <c r="O31" s="0" t="s">
        <v>34</v>
      </c>
      <c r="P31" s="0" t="s">
        <v>34</v>
      </c>
      <c r="Q31" s="0" t="s">
        <v>34</v>
      </c>
      <c r="R31" s="0" t="s">
        <v>34</v>
      </c>
      <c r="S31" s="0" t="s">
        <v>34</v>
      </c>
      <c r="T31" s="0" t="s">
        <v>34</v>
      </c>
      <c r="U31" s="0" t="s">
        <v>34</v>
      </c>
      <c r="V31" s="0" t="s">
        <v>34</v>
      </c>
      <c r="W31" s="0" t="s">
        <v>34</v>
      </c>
      <c r="X31" s="0" t="s">
        <v>34</v>
      </c>
      <c r="Y31" s="0" t="s">
        <v>34</v>
      </c>
      <c r="Z31" s="0" t="s">
        <v>43</v>
      </c>
      <c r="AA31" s="0" t="s">
        <v>34</v>
      </c>
      <c r="AB31" s="0" t="s">
        <v>34</v>
      </c>
      <c r="AC31" s="0" t="s">
        <v>34</v>
      </c>
      <c r="AD31" s="0">
        <f>IF($AC31="","NEW","Live")</f>
      </c>
      <c r="AE31" s="8" t="s">
        <v>995</v>
      </c>
      <c r="AF31" s="0" t="s">
        <v>926</v>
      </c>
      <c r="AG31" s="8" t="s">
        <v>996</v>
      </c>
      <c r="AH31" s="0" t="s">
        <v>888</v>
      </c>
      <c r="AI31" s="0" t="s">
        <v>884</v>
      </c>
    </row>
    <row r="32">
      <c r="A32" s="0" t="s">
        <v>997</v>
      </c>
      <c r="B32" s="0">
        <v>1</v>
      </c>
      <c r="C32" s="0" t="s">
        <v>62</v>
      </c>
      <c r="D32" s="0" t="s">
        <v>34</v>
      </c>
      <c r="E32" s="0" t="s">
        <v>34</v>
      </c>
      <c r="F32" s="0" t="s">
        <v>34</v>
      </c>
      <c r="G32" s="8" t="s">
        <v>998</v>
      </c>
      <c r="H32" s="0" t="s">
        <v>36</v>
      </c>
      <c r="I32" s="0">
        <v>0</v>
      </c>
      <c r="J32" s="0">
        <v>0</v>
      </c>
      <c r="K32" s="0" t="s">
        <v>997</v>
      </c>
      <c r="L32" s="0" t="s">
        <v>49</v>
      </c>
      <c r="M32" s="0" t="s">
        <v>38</v>
      </c>
      <c r="N32" s="0" t="s">
        <v>903</v>
      </c>
      <c r="O32" s="0" t="s">
        <v>34</v>
      </c>
      <c r="P32" s="0" t="s">
        <v>34</v>
      </c>
      <c r="Q32" s="0" t="s">
        <v>34</v>
      </c>
      <c r="R32" s="0" t="s">
        <v>34</v>
      </c>
      <c r="S32" s="0" t="s">
        <v>34</v>
      </c>
      <c r="T32" s="0" t="s">
        <v>34</v>
      </c>
      <c r="U32" s="0" t="s">
        <v>34</v>
      </c>
      <c r="V32" s="0" t="s">
        <v>34</v>
      </c>
      <c r="W32" s="0" t="s">
        <v>34</v>
      </c>
      <c r="X32" s="0" t="s">
        <v>34</v>
      </c>
      <c r="Y32" s="0" t="s">
        <v>34</v>
      </c>
      <c r="Z32" s="0" t="s">
        <v>43</v>
      </c>
      <c r="AA32" s="0" t="s">
        <v>34</v>
      </c>
      <c r="AB32" s="0" t="s">
        <v>34</v>
      </c>
      <c r="AC32" s="0" t="s">
        <v>34</v>
      </c>
      <c r="AD32" s="0">
        <f>IF($AC32="","NEW","Live")</f>
      </c>
      <c r="AE32" s="8" t="s">
        <v>34</v>
      </c>
      <c r="AF32" s="0" t="s">
        <v>999</v>
      </c>
      <c r="AG32" s="8" t="s">
        <v>1000</v>
      </c>
      <c r="AH32" s="0" t="s">
        <v>1001</v>
      </c>
      <c r="AI32" s="0" t="s">
        <v>889</v>
      </c>
    </row>
    <row r="33">
      <c r="A33" s="0" t="s">
        <v>1002</v>
      </c>
      <c r="B33" s="0">
        <v>1</v>
      </c>
      <c r="C33" s="0" t="s">
        <v>32</v>
      </c>
      <c r="D33" s="0" t="s">
        <v>34</v>
      </c>
      <c r="E33" s="0" t="s">
        <v>34</v>
      </c>
      <c r="F33" s="0" t="s">
        <v>34</v>
      </c>
      <c r="G33" s="8" t="s">
        <v>1003</v>
      </c>
      <c r="H33" s="0" t="s">
        <v>101</v>
      </c>
      <c r="I33" s="0">
        <v>1</v>
      </c>
      <c r="J33" s="0">
        <v>1</v>
      </c>
      <c r="K33" s="0" t="s">
        <v>1002</v>
      </c>
      <c r="L33" s="0" t="s">
        <v>49</v>
      </c>
      <c r="M33" s="0" t="s">
        <v>138</v>
      </c>
      <c r="N33" s="0" t="s">
        <v>139</v>
      </c>
      <c r="O33" s="0" t="s">
        <v>34</v>
      </c>
      <c r="P33" s="0" t="s">
        <v>34</v>
      </c>
      <c r="Q33" s="0" t="s">
        <v>34</v>
      </c>
      <c r="R33" s="0" t="s">
        <v>34</v>
      </c>
      <c r="S33" s="0" t="s">
        <v>34</v>
      </c>
      <c r="T33" s="0" t="s">
        <v>34</v>
      </c>
      <c r="U33" s="0" t="s">
        <v>34</v>
      </c>
      <c r="V33" s="0" t="s">
        <v>34</v>
      </c>
      <c r="W33" s="0" t="s">
        <v>34</v>
      </c>
      <c r="X33" s="0" t="s">
        <v>34</v>
      </c>
      <c r="Y33" s="0" t="s">
        <v>34</v>
      </c>
      <c r="Z33" s="0" t="s">
        <v>43</v>
      </c>
      <c r="AA33" s="0" t="s">
        <v>34</v>
      </c>
      <c r="AB33" s="0" t="s">
        <v>34</v>
      </c>
      <c r="AC33" s="0" t="s">
        <v>34</v>
      </c>
      <c r="AD33" s="0">
        <f>IF($AC33="","NEW","Live")</f>
      </c>
      <c r="AE33" s="8" t="s">
        <v>1004</v>
      </c>
      <c r="AF33" s="0" t="s">
        <v>936</v>
      </c>
      <c r="AG33" s="8" t="s">
        <v>1005</v>
      </c>
      <c r="AH33" s="0" t="s">
        <v>1006</v>
      </c>
      <c r="AI33" s="0" t="s">
        <v>884</v>
      </c>
    </row>
    <row r="34">
      <c r="A34" s="0" t="s">
        <v>1007</v>
      </c>
      <c r="B34" s="0">
        <v>2</v>
      </c>
      <c r="C34" s="0" t="s">
        <v>62</v>
      </c>
      <c r="D34" s="0" t="s">
        <v>34</v>
      </c>
      <c r="E34" s="0" t="s">
        <v>34</v>
      </c>
      <c r="F34" s="0" t="s">
        <v>34</v>
      </c>
      <c r="G34" s="8" t="s">
        <v>1008</v>
      </c>
      <c r="H34" s="0" t="s">
        <v>143</v>
      </c>
      <c r="I34" s="0">
        <v>1</v>
      </c>
      <c r="J34" s="0">
        <v>2</v>
      </c>
      <c r="K34" s="0" t="s">
        <v>1009</v>
      </c>
      <c r="L34" s="0" t="s">
        <v>49</v>
      </c>
      <c r="M34" s="0" t="s">
        <v>38</v>
      </c>
      <c r="N34" s="0" t="s">
        <v>39</v>
      </c>
      <c r="O34" s="0" t="s">
        <v>34</v>
      </c>
      <c r="P34" s="0" t="s">
        <v>34</v>
      </c>
      <c r="Q34" s="0" t="s">
        <v>34</v>
      </c>
      <c r="R34" s="0" t="s">
        <v>34</v>
      </c>
      <c r="S34" s="0" t="s">
        <v>34</v>
      </c>
      <c r="T34" s="0" t="s">
        <v>34</v>
      </c>
      <c r="U34" s="0" t="s">
        <v>34</v>
      </c>
      <c r="V34" s="0" t="s">
        <v>34</v>
      </c>
      <c r="W34" s="0" t="s">
        <v>34</v>
      </c>
      <c r="X34" s="0" t="s">
        <v>34</v>
      </c>
      <c r="Y34" s="0" t="s">
        <v>34</v>
      </c>
      <c r="Z34" s="0" t="s">
        <v>43</v>
      </c>
      <c r="AA34" s="0" t="s">
        <v>34</v>
      </c>
      <c r="AB34" s="0" t="s">
        <v>34</v>
      </c>
      <c r="AC34" s="0" t="s">
        <v>34</v>
      </c>
      <c r="AD34" s="0">
        <f>IF($AC34="","NEW","Live")</f>
      </c>
      <c r="AE34" s="8" t="s">
        <v>34</v>
      </c>
      <c r="AF34" s="0" t="s">
        <v>926</v>
      </c>
      <c r="AG34" s="8" t="s">
        <v>1010</v>
      </c>
      <c r="AH34" s="0" t="s">
        <v>1011</v>
      </c>
      <c r="AI34" s="0" t="s">
        <v>889</v>
      </c>
    </row>
    <row r="35">
      <c r="A35" s="0" t="s">
        <v>1012</v>
      </c>
      <c r="B35" s="0">
        <v>1</v>
      </c>
      <c r="C35" s="0" t="s">
        <v>81</v>
      </c>
      <c r="D35" s="0" t="s">
        <v>1013</v>
      </c>
      <c r="E35" s="0" t="s">
        <v>34</v>
      </c>
      <c r="F35" s="0" t="s">
        <v>34</v>
      </c>
      <c r="G35" s="8" t="s">
        <v>1014</v>
      </c>
      <c r="H35" s="0" t="s">
        <v>101</v>
      </c>
      <c r="I35" s="0">
        <v>1</v>
      </c>
      <c r="J35" s="0">
        <v>1</v>
      </c>
      <c r="K35" s="0" t="s">
        <v>1015</v>
      </c>
      <c r="L35" s="0" t="s">
        <v>49</v>
      </c>
      <c r="M35" s="0" t="s">
        <v>138</v>
      </c>
      <c r="N35" s="0" t="s">
        <v>139</v>
      </c>
      <c r="O35" s="0" t="s">
        <v>102</v>
      </c>
      <c r="P35" s="0" t="s">
        <v>41</v>
      </c>
      <c r="Q35" s="0" t="s">
        <v>34</v>
      </c>
      <c r="R35" s="0" t="s">
        <v>34</v>
      </c>
      <c r="S35" s="0" t="s">
        <v>34</v>
      </c>
      <c r="T35" s="0" t="s">
        <v>34</v>
      </c>
      <c r="U35" s="0" t="s">
        <v>34</v>
      </c>
      <c r="V35" s="0" t="s">
        <v>34</v>
      </c>
      <c r="W35" s="0" t="s">
        <v>34</v>
      </c>
      <c r="X35" s="0" t="s">
        <v>34</v>
      </c>
      <c r="Y35" s="0" t="s">
        <v>34</v>
      </c>
      <c r="Z35" s="0" t="s">
        <v>43</v>
      </c>
      <c r="AA35" s="0" t="s">
        <v>34</v>
      </c>
      <c r="AB35" s="0" t="s">
        <v>34</v>
      </c>
      <c r="AC35" s="0" t="s">
        <v>34</v>
      </c>
      <c r="AD35" s="0">
        <f>IF($AC35="","NEW","Live")</f>
      </c>
      <c r="AE35" s="8" t="s">
        <v>1016</v>
      </c>
      <c r="AF35" s="0" t="s">
        <v>936</v>
      </c>
      <c r="AG35" s="8" t="s">
        <v>1017</v>
      </c>
      <c r="AH35" s="0" t="s">
        <v>1018</v>
      </c>
      <c r="AI35" s="0" t="s">
        <v>884</v>
      </c>
    </row>
    <row r="36">
      <c r="A36" s="0" t="s">
        <v>1019</v>
      </c>
      <c r="B36" s="0">
        <v>2</v>
      </c>
      <c r="C36" s="0" t="s">
        <v>32</v>
      </c>
      <c r="D36" s="0" t="s">
        <v>34</v>
      </c>
      <c r="E36" s="0" t="s">
        <v>34</v>
      </c>
      <c r="F36" s="0" t="s">
        <v>34</v>
      </c>
      <c r="G36" s="8" t="s">
        <v>1020</v>
      </c>
      <c r="H36" s="0" t="s">
        <v>101</v>
      </c>
      <c r="I36" s="0">
        <v>1</v>
      </c>
      <c r="J36" s="0">
        <v>3</v>
      </c>
      <c r="K36" s="0" t="s">
        <v>1021</v>
      </c>
      <c r="L36" s="0" t="s">
        <v>49</v>
      </c>
      <c r="M36" s="0" t="s">
        <v>285</v>
      </c>
      <c r="N36" s="0" t="s">
        <v>139</v>
      </c>
      <c r="O36" s="0" t="s">
        <v>34</v>
      </c>
      <c r="P36" s="0" t="s">
        <v>34</v>
      </c>
      <c r="Q36" s="0" t="s">
        <v>34</v>
      </c>
      <c r="R36" s="0" t="s">
        <v>34</v>
      </c>
      <c r="S36" s="0" t="s">
        <v>34</v>
      </c>
      <c r="T36" s="0" t="s">
        <v>34</v>
      </c>
      <c r="U36" s="0" t="s">
        <v>34</v>
      </c>
      <c r="V36" s="0" t="s">
        <v>34</v>
      </c>
      <c r="W36" s="0" t="s">
        <v>34</v>
      </c>
      <c r="X36" s="0" t="s">
        <v>34</v>
      </c>
      <c r="Y36" s="0" t="s">
        <v>34</v>
      </c>
      <c r="Z36" s="0" t="s">
        <v>43</v>
      </c>
      <c r="AA36" s="0" t="s">
        <v>34</v>
      </c>
      <c r="AB36" s="0" t="s">
        <v>34</v>
      </c>
      <c r="AC36" s="0" t="s">
        <v>34</v>
      </c>
      <c r="AD36" s="0">
        <f>IF($AC36="","NEW","Live")</f>
      </c>
      <c r="AE36" s="8" t="s">
        <v>1022</v>
      </c>
      <c r="AF36" s="0" t="s">
        <v>915</v>
      </c>
      <c r="AG36" s="8" t="s">
        <v>1023</v>
      </c>
      <c r="AH36" s="0" t="s">
        <v>1024</v>
      </c>
      <c r="AI36" s="0" t="s">
        <v>884</v>
      </c>
    </row>
    <row r="37">
      <c r="A37" s="0" t="s">
        <v>508</v>
      </c>
      <c r="B37" s="0">
        <v>3</v>
      </c>
      <c r="C37" s="0" t="s">
        <v>985</v>
      </c>
      <c r="D37" s="0" t="s">
        <v>34</v>
      </c>
      <c r="E37" s="0" t="s">
        <v>34</v>
      </c>
      <c r="F37" s="0" t="s">
        <v>34</v>
      </c>
      <c r="G37" s="8" t="s">
        <v>1025</v>
      </c>
      <c r="H37" s="0" t="s">
        <v>101</v>
      </c>
      <c r="I37" s="0">
        <v>1</v>
      </c>
      <c r="J37" s="0">
        <v>1</v>
      </c>
      <c r="K37" s="0" t="s">
        <v>508</v>
      </c>
      <c r="L37" s="0" t="s">
        <v>49</v>
      </c>
      <c r="M37" s="0" t="s">
        <v>138</v>
      </c>
      <c r="N37" s="0" t="s">
        <v>139</v>
      </c>
      <c r="O37" s="0" t="s">
        <v>34</v>
      </c>
      <c r="P37" s="0" t="s">
        <v>34</v>
      </c>
      <c r="Q37" s="0" t="s">
        <v>34</v>
      </c>
      <c r="R37" s="0" t="s">
        <v>34</v>
      </c>
      <c r="S37" s="0" t="s">
        <v>34</v>
      </c>
      <c r="T37" s="0" t="s">
        <v>34</v>
      </c>
      <c r="U37" s="0" t="s">
        <v>34</v>
      </c>
      <c r="V37" s="0" t="s">
        <v>34</v>
      </c>
      <c r="W37" s="0" t="s">
        <v>34</v>
      </c>
      <c r="X37" s="0" t="s">
        <v>34</v>
      </c>
      <c r="Y37" s="0" t="s">
        <v>34</v>
      </c>
      <c r="Z37" s="0" t="s">
        <v>43</v>
      </c>
      <c r="AA37" s="0" t="s">
        <v>34</v>
      </c>
      <c r="AB37" s="0" t="s">
        <v>34</v>
      </c>
      <c r="AC37" s="0" t="s">
        <v>34</v>
      </c>
      <c r="AD37" s="0">
        <f>IF($AC37="","NEW","Live")</f>
      </c>
      <c r="AE37" s="8" t="s">
        <v>1026</v>
      </c>
      <c r="AF37" s="0" t="s">
        <v>915</v>
      </c>
      <c r="AG37" s="8" t="s">
        <v>1027</v>
      </c>
      <c r="AH37" s="0" t="s">
        <v>1028</v>
      </c>
      <c r="AI37" s="0" t="s">
        <v>884</v>
      </c>
    </row>
    <row r="38">
      <c r="A38" s="0" t="s">
        <v>1029</v>
      </c>
      <c r="B38" s="0">
        <v>3</v>
      </c>
      <c r="C38" s="0" t="s">
        <v>985</v>
      </c>
      <c r="D38" s="0" t="s">
        <v>34</v>
      </c>
      <c r="E38" s="0" t="s">
        <v>34</v>
      </c>
      <c r="F38" s="0" t="s">
        <v>34</v>
      </c>
      <c r="G38" s="8" t="s">
        <v>1030</v>
      </c>
      <c r="H38" s="0" t="s">
        <v>36</v>
      </c>
      <c r="I38" s="0">
        <v>0</v>
      </c>
      <c r="J38" s="0">
        <v>0</v>
      </c>
      <c r="K38" s="0" t="s">
        <v>1029</v>
      </c>
      <c r="L38" s="0" t="s">
        <v>49</v>
      </c>
      <c r="M38" s="0" t="s">
        <v>38</v>
      </c>
      <c r="N38" s="0" t="s">
        <v>39</v>
      </c>
      <c r="O38" s="0" t="s">
        <v>34</v>
      </c>
      <c r="P38" s="0" t="s">
        <v>34</v>
      </c>
      <c r="Q38" s="0" t="s">
        <v>34</v>
      </c>
      <c r="R38" s="0" t="s">
        <v>34</v>
      </c>
      <c r="S38" s="0" t="s">
        <v>34</v>
      </c>
      <c r="T38" s="0" t="s">
        <v>34</v>
      </c>
      <c r="U38" s="0" t="s">
        <v>34</v>
      </c>
      <c r="V38" s="0" t="s">
        <v>34</v>
      </c>
      <c r="W38" s="0" t="s">
        <v>34</v>
      </c>
      <c r="X38" s="0" t="s">
        <v>34</v>
      </c>
      <c r="Y38" s="0" t="s">
        <v>34</v>
      </c>
      <c r="Z38" s="0" t="s">
        <v>43</v>
      </c>
      <c r="AA38" s="0" t="s">
        <v>34</v>
      </c>
      <c r="AB38" s="0" t="s">
        <v>34</v>
      </c>
      <c r="AC38" s="0" t="s">
        <v>34</v>
      </c>
      <c r="AD38" s="0">
        <f>IF($AC38="","NEW","Live")</f>
      </c>
      <c r="AE38" s="8" t="s">
        <v>34</v>
      </c>
      <c r="AF38" s="0" t="s">
        <v>915</v>
      </c>
      <c r="AG38" s="8" t="s">
        <v>1031</v>
      </c>
      <c r="AH38" s="0" t="s">
        <v>1032</v>
      </c>
      <c r="AI38" s="0" t="s">
        <v>910</v>
      </c>
    </row>
    <row r="39">
      <c r="A39" s="0" t="s">
        <v>1033</v>
      </c>
      <c r="B39" s="0">
        <v>2</v>
      </c>
      <c r="C39" s="0" t="s">
        <v>62</v>
      </c>
      <c r="D39" s="0" t="s">
        <v>34</v>
      </c>
      <c r="E39" s="0" t="s">
        <v>34</v>
      </c>
      <c r="F39" s="0" t="s">
        <v>34</v>
      </c>
      <c r="G39" s="8" t="s">
        <v>1034</v>
      </c>
      <c r="H39" s="0" t="s">
        <v>101</v>
      </c>
      <c r="I39" s="0">
        <v>1</v>
      </c>
      <c r="J39" s="0">
        <v>1</v>
      </c>
      <c r="K39" s="0" t="s">
        <v>1033</v>
      </c>
      <c r="L39" s="0" t="s">
        <v>49</v>
      </c>
      <c r="M39" s="0" t="s">
        <v>138</v>
      </c>
      <c r="N39" s="0" t="s">
        <v>139</v>
      </c>
      <c r="O39" s="0" t="s">
        <v>34</v>
      </c>
      <c r="P39" s="0" t="s">
        <v>34</v>
      </c>
      <c r="Q39" s="0" t="s">
        <v>34</v>
      </c>
      <c r="R39" s="0" t="s">
        <v>34</v>
      </c>
      <c r="S39" s="0" t="s">
        <v>34</v>
      </c>
      <c r="T39" s="0" t="s">
        <v>34</v>
      </c>
      <c r="U39" s="0" t="s">
        <v>34</v>
      </c>
      <c r="V39" s="0" t="s">
        <v>34</v>
      </c>
      <c r="W39" s="0" t="s">
        <v>34</v>
      </c>
      <c r="X39" s="0" t="s">
        <v>34</v>
      </c>
      <c r="Y39" s="0" t="s">
        <v>34</v>
      </c>
      <c r="Z39" s="0" t="s">
        <v>43</v>
      </c>
      <c r="AA39" s="0" t="s">
        <v>34</v>
      </c>
      <c r="AB39" s="0" t="s">
        <v>34</v>
      </c>
      <c r="AC39" s="0" t="s">
        <v>34</v>
      </c>
      <c r="AD39" s="0">
        <f>IF($AC39="","NEW","Live")</f>
      </c>
      <c r="AE39" s="8" t="s">
        <v>34</v>
      </c>
      <c r="AF39" s="0" t="s">
        <v>936</v>
      </c>
      <c r="AG39" s="8" t="s">
        <v>1035</v>
      </c>
      <c r="AH39" s="0" t="s">
        <v>951</v>
      </c>
      <c r="AI39" s="0" t="s">
        <v>910</v>
      </c>
    </row>
    <row r="40">
      <c r="A40" s="0" t="s">
        <v>1036</v>
      </c>
      <c r="B40" s="0">
        <v>3</v>
      </c>
      <c r="C40" s="0" t="s">
        <v>985</v>
      </c>
      <c r="D40" s="0" t="s">
        <v>906</v>
      </c>
      <c r="E40" s="0" t="s">
        <v>122</v>
      </c>
      <c r="F40" s="0" t="s">
        <v>47</v>
      </c>
      <c r="G40" s="8" t="s">
        <v>1037</v>
      </c>
      <c r="H40" s="0" t="s">
        <v>36</v>
      </c>
      <c r="I40" s="0">
        <v>0</v>
      </c>
      <c r="J40" s="0">
        <v>0</v>
      </c>
      <c r="K40" s="0" t="s">
        <v>1038</v>
      </c>
      <c r="L40" s="0" t="s">
        <v>49</v>
      </c>
      <c r="M40" s="0" t="s">
        <v>38</v>
      </c>
      <c r="N40" s="0" t="s">
        <v>1039</v>
      </c>
      <c r="O40" s="0" t="s">
        <v>40</v>
      </c>
      <c r="P40" s="0" t="s">
        <v>41</v>
      </c>
      <c r="Q40" s="0" t="s">
        <v>34</v>
      </c>
      <c r="R40" s="0" t="s">
        <v>40</v>
      </c>
      <c r="S40" s="0" t="s">
        <v>41</v>
      </c>
      <c r="T40" s="0" t="s">
        <v>34</v>
      </c>
      <c r="U40" s="0" t="s">
        <v>40</v>
      </c>
      <c r="V40" s="0" t="s">
        <v>41</v>
      </c>
      <c r="W40" s="0" t="s">
        <v>34</v>
      </c>
      <c r="X40" s="0" t="s">
        <v>34</v>
      </c>
      <c r="Y40" s="0" t="s">
        <v>34</v>
      </c>
      <c r="Z40" s="0" t="s">
        <v>43</v>
      </c>
      <c r="AA40" s="0" t="s">
        <v>34</v>
      </c>
      <c r="AB40" s="0" t="s">
        <v>34</v>
      </c>
      <c r="AC40" s="0" t="s">
        <v>34</v>
      </c>
      <c r="AD40" s="0">
        <f>IF($AC40="","NEW","Live")</f>
      </c>
      <c r="AE40" s="8" t="s">
        <v>34</v>
      </c>
      <c r="AF40" s="0" t="s">
        <v>882</v>
      </c>
      <c r="AG40" s="8" t="s">
        <v>34</v>
      </c>
      <c r="AH40" s="0" t="s">
        <v>34</v>
      </c>
      <c r="AI40" s="0" t="s">
        <v>889</v>
      </c>
    </row>
    <row r="41">
      <c r="A41" s="0" t="s">
        <v>1040</v>
      </c>
      <c r="B41" s="0">
        <v>3</v>
      </c>
      <c r="C41" s="0" t="s">
        <v>62</v>
      </c>
      <c r="D41" s="0" t="s">
        <v>167</v>
      </c>
      <c r="E41" s="0" t="s">
        <v>34</v>
      </c>
      <c r="F41" s="0" t="s">
        <v>34</v>
      </c>
      <c r="G41" s="8" t="s">
        <v>1041</v>
      </c>
      <c r="H41" s="0" t="s">
        <v>101</v>
      </c>
      <c r="I41" s="0">
        <v>1</v>
      </c>
      <c r="J41" s="0">
        <v>2</v>
      </c>
      <c r="K41" s="0" t="s">
        <v>1040</v>
      </c>
      <c r="L41" s="0" t="s">
        <v>49</v>
      </c>
      <c r="M41" s="0" t="s">
        <v>138</v>
      </c>
      <c r="N41" s="0" t="s">
        <v>139</v>
      </c>
      <c r="O41" s="0" t="s">
        <v>102</v>
      </c>
      <c r="P41" s="0" t="s">
        <v>78</v>
      </c>
      <c r="Q41" s="0" t="s">
        <v>34</v>
      </c>
      <c r="R41" s="0" t="s">
        <v>34</v>
      </c>
      <c r="S41" s="0" t="s">
        <v>34</v>
      </c>
      <c r="T41" s="0" t="s">
        <v>34</v>
      </c>
      <c r="U41" s="0" t="s">
        <v>34</v>
      </c>
      <c r="V41" s="0" t="s">
        <v>34</v>
      </c>
      <c r="W41" s="0" t="s">
        <v>34</v>
      </c>
      <c r="X41" s="0" t="s">
        <v>34</v>
      </c>
      <c r="Y41" s="0" t="s">
        <v>34</v>
      </c>
      <c r="Z41" s="0" t="s">
        <v>43</v>
      </c>
      <c r="AA41" s="0" t="s">
        <v>34</v>
      </c>
      <c r="AB41" s="0" t="s">
        <v>34</v>
      </c>
      <c r="AC41" s="0" t="s">
        <v>34</v>
      </c>
      <c r="AD41" s="0">
        <f>IF($AC41="","NEW","Live")</f>
      </c>
      <c r="AE41" s="8" t="s">
        <v>34</v>
      </c>
      <c r="AF41" s="0" t="s">
        <v>882</v>
      </c>
      <c r="AG41" s="8" t="s">
        <v>34</v>
      </c>
      <c r="AH41" s="0" t="s">
        <v>1042</v>
      </c>
      <c r="AI41" s="0" t="s">
        <v>889</v>
      </c>
    </row>
    <row r="42">
      <c r="A42" s="0" t="s">
        <v>192</v>
      </c>
      <c r="B42" s="0">
        <v>2</v>
      </c>
      <c r="C42" s="0" t="s">
        <v>62</v>
      </c>
      <c r="D42" s="0" t="s">
        <v>161</v>
      </c>
      <c r="E42" s="0" t="s">
        <v>34</v>
      </c>
      <c r="F42" s="0" t="s">
        <v>34</v>
      </c>
      <c r="G42" s="8" t="s">
        <v>1043</v>
      </c>
      <c r="H42" s="0" t="s">
        <v>36</v>
      </c>
      <c r="I42" s="0">
        <v>0</v>
      </c>
      <c r="J42" s="0">
        <v>0</v>
      </c>
      <c r="K42" s="0" t="s">
        <v>192</v>
      </c>
      <c r="L42" s="0" t="s">
        <v>49</v>
      </c>
      <c r="M42" s="0" t="s">
        <v>138</v>
      </c>
      <c r="N42" s="0" t="s">
        <v>139</v>
      </c>
      <c r="O42" s="0" t="s">
        <v>40</v>
      </c>
      <c r="P42" s="0" t="s">
        <v>78</v>
      </c>
      <c r="Q42" s="0" t="s">
        <v>34</v>
      </c>
      <c r="R42" s="0" t="s">
        <v>34</v>
      </c>
      <c r="S42" s="0" t="s">
        <v>34</v>
      </c>
      <c r="T42" s="0" t="s">
        <v>34</v>
      </c>
      <c r="U42" s="0" t="s">
        <v>34</v>
      </c>
      <c r="V42" s="0" t="s">
        <v>34</v>
      </c>
      <c r="W42" s="0" t="s">
        <v>34</v>
      </c>
      <c r="X42" s="0" t="s">
        <v>34</v>
      </c>
      <c r="Y42" s="0" t="s">
        <v>34</v>
      </c>
      <c r="Z42" s="0" t="s">
        <v>43</v>
      </c>
      <c r="AA42" s="0" t="s">
        <v>34</v>
      </c>
      <c r="AB42" s="0" t="s">
        <v>34</v>
      </c>
      <c r="AC42" s="0" t="s">
        <v>34</v>
      </c>
      <c r="AD42" s="0">
        <f>IF($AC42="","NEW","Live")</f>
      </c>
      <c r="AE42" s="8" t="s">
        <v>34</v>
      </c>
      <c r="AF42" s="0" t="s">
        <v>882</v>
      </c>
      <c r="AG42" s="8" t="s">
        <v>34</v>
      </c>
      <c r="AH42" s="0" t="s">
        <v>1044</v>
      </c>
      <c r="AI42" s="0" t="s">
        <v>884</v>
      </c>
    </row>
    <row r="43">
      <c r="A43" s="0" t="s">
        <v>1045</v>
      </c>
      <c r="B43" s="0">
        <v>3</v>
      </c>
      <c r="C43" s="0" t="s">
        <v>985</v>
      </c>
      <c r="D43" s="0" t="s">
        <v>63</v>
      </c>
      <c r="E43" s="0" t="s">
        <v>449</v>
      </c>
      <c r="F43" s="0" t="s">
        <v>986</v>
      </c>
      <c r="G43" s="8" t="s">
        <v>1046</v>
      </c>
      <c r="H43" s="0" t="s">
        <v>101</v>
      </c>
      <c r="I43" s="0">
        <v>1</v>
      </c>
      <c r="J43" s="0">
        <v>3</v>
      </c>
      <c r="K43" s="0" t="s">
        <v>1047</v>
      </c>
      <c r="L43" s="0" t="s">
        <v>49</v>
      </c>
      <c r="M43" s="0" t="s">
        <v>38</v>
      </c>
      <c r="N43" s="0" t="s">
        <v>39</v>
      </c>
      <c r="O43" s="0" t="s">
        <v>102</v>
      </c>
      <c r="P43" s="0" t="s">
        <v>41</v>
      </c>
      <c r="Q43" s="0" t="s">
        <v>34</v>
      </c>
      <c r="R43" s="0" t="s">
        <v>40</v>
      </c>
      <c r="S43" s="0" t="s">
        <v>41</v>
      </c>
      <c r="T43" s="0" t="s">
        <v>34</v>
      </c>
      <c r="U43" s="0" t="s">
        <v>40</v>
      </c>
      <c r="V43" s="0" t="s">
        <v>41</v>
      </c>
      <c r="W43" s="0" t="s">
        <v>34</v>
      </c>
      <c r="X43" s="0" t="s">
        <v>34</v>
      </c>
      <c r="Y43" s="0" t="s">
        <v>34</v>
      </c>
      <c r="Z43" s="0" t="s">
        <v>43</v>
      </c>
      <c r="AA43" s="0" t="s">
        <v>34</v>
      </c>
      <c r="AB43" s="0" t="s">
        <v>34</v>
      </c>
      <c r="AC43" s="0" t="s">
        <v>34</v>
      </c>
      <c r="AD43" s="0">
        <f>IF($AC43="","NEW","Live")</f>
      </c>
      <c r="AE43" s="8" t="s">
        <v>34</v>
      </c>
      <c r="AF43" s="0" t="s">
        <v>882</v>
      </c>
      <c r="AG43" s="8" t="s">
        <v>34</v>
      </c>
      <c r="AH43" s="0" t="s">
        <v>34</v>
      </c>
      <c r="AI43" s="0" t="s">
        <v>889</v>
      </c>
    </row>
    <row r="44">
      <c r="A44" s="0" t="s">
        <v>1048</v>
      </c>
      <c r="B44" s="0">
        <v>3</v>
      </c>
      <c r="C44" s="0" t="s">
        <v>62</v>
      </c>
      <c r="D44" s="0" t="s">
        <v>1049</v>
      </c>
      <c r="E44" s="0" t="s">
        <v>34</v>
      </c>
      <c r="F44" s="0" t="s">
        <v>34</v>
      </c>
      <c r="G44" s="8" t="s">
        <v>1050</v>
      </c>
      <c r="H44" s="0" t="s">
        <v>101</v>
      </c>
      <c r="I44" s="0">
        <v>1</v>
      </c>
      <c r="J44" s="0">
        <v>1</v>
      </c>
      <c r="K44" s="0" t="s">
        <v>1048</v>
      </c>
      <c r="L44" s="0" t="s">
        <v>49</v>
      </c>
      <c r="M44" s="0" t="s">
        <v>138</v>
      </c>
      <c r="N44" s="0" t="s">
        <v>139</v>
      </c>
      <c r="O44" s="0" t="s">
        <v>102</v>
      </c>
      <c r="P44" s="0" t="s">
        <v>41</v>
      </c>
      <c r="Q44" s="0" t="s">
        <v>34</v>
      </c>
      <c r="R44" s="0" t="s">
        <v>34</v>
      </c>
      <c r="S44" s="0" t="s">
        <v>34</v>
      </c>
      <c r="T44" s="0" t="s">
        <v>34</v>
      </c>
      <c r="U44" s="0" t="s">
        <v>34</v>
      </c>
      <c r="V44" s="0" t="s">
        <v>34</v>
      </c>
      <c r="W44" s="0" t="s">
        <v>34</v>
      </c>
      <c r="X44" s="0" t="s">
        <v>34</v>
      </c>
      <c r="Y44" s="0" t="s">
        <v>34</v>
      </c>
      <c r="Z44" s="0" t="s">
        <v>43</v>
      </c>
      <c r="AA44" s="0" t="s">
        <v>34</v>
      </c>
      <c r="AB44" s="0" t="s">
        <v>34</v>
      </c>
      <c r="AC44" s="0" t="s">
        <v>34</v>
      </c>
      <c r="AD44" s="0">
        <f>IF($AC44="","NEW","Live")</f>
      </c>
      <c r="AE44" s="8" t="s">
        <v>34</v>
      </c>
      <c r="AF44" s="0" t="s">
        <v>882</v>
      </c>
      <c r="AG44" s="8" t="s">
        <v>34</v>
      </c>
      <c r="AH44" s="0" t="s">
        <v>34</v>
      </c>
      <c r="AI44" s="0" t="s">
        <v>910</v>
      </c>
    </row>
    <row r="45">
      <c r="A45" s="0" t="s">
        <v>1051</v>
      </c>
      <c r="B45" s="0">
        <v>3</v>
      </c>
      <c r="C45" s="0" t="s">
        <v>62</v>
      </c>
      <c r="D45" s="0" t="s">
        <v>34</v>
      </c>
      <c r="E45" s="0" t="s">
        <v>34</v>
      </c>
      <c r="F45" s="0" t="s">
        <v>34</v>
      </c>
      <c r="G45" s="8" t="s">
        <v>1052</v>
      </c>
      <c r="H45" s="0" t="s">
        <v>101</v>
      </c>
      <c r="I45" s="0">
        <v>1</v>
      </c>
      <c r="J45" s="0">
        <v>2</v>
      </c>
      <c r="K45" s="0" t="s">
        <v>1053</v>
      </c>
      <c r="L45" s="0" t="s">
        <v>49</v>
      </c>
      <c r="M45" s="0" t="s">
        <v>199</v>
      </c>
      <c r="N45" s="0" t="s">
        <v>1054</v>
      </c>
      <c r="O45" s="0" t="s">
        <v>34</v>
      </c>
      <c r="P45" s="0" t="s">
        <v>34</v>
      </c>
      <c r="Q45" s="0" t="s">
        <v>34</v>
      </c>
      <c r="R45" s="0" t="s">
        <v>34</v>
      </c>
      <c r="S45" s="0" t="s">
        <v>34</v>
      </c>
      <c r="T45" s="0" t="s">
        <v>34</v>
      </c>
      <c r="U45" s="0" t="s">
        <v>34</v>
      </c>
      <c r="V45" s="0" t="s">
        <v>34</v>
      </c>
      <c r="W45" s="0" t="s">
        <v>34</v>
      </c>
      <c r="X45" s="0" t="s">
        <v>34</v>
      </c>
      <c r="Y45" s="0" t="s">
        <v>34</v>
      </c>
      <c r="Z45" s="0" t="s">
        <v>43</v>
      </c>
      <c r="AA45" s="0" t="s">
        <v>34</v>
      </c>
      <c r="AB45" s="0" t="s">
        <v>34</v>
      </c>
      <c r="AC45" s="0" t="s">
        <v>34</v>
      </c>
      <c r="AD45" s="0">
        <f>IF($AC45="","NEW","Live")</f>
      </c>
      <c r="AE45" s="8" t="s">
        <v>1055</v>
      </c>
      <c r="AF45" s="0" t="s">
        <v>936</v>
      </c>
      <c r="AG45" s="8" t="s">
        <v>1056</v>
      </c>
      <c r="AH45" s="0" t="s">
        <v>959</v>
      </c>
      <c r="AI45" s="0" t="s">
        <v>884</v>
      </c>
    </row>
    <row r="46">
      <c r="A46" s="0" t="s">
        <v>1057</v>
      </c>
      <c r="B46" s="0">
        <v>3</v>
      </c>
      <c r="C46" s="0" t="s">
        <v>985</v>
      </c>
      <c r="D46" s="0" t="s">
        <v>489</v>
      </c>
      <c r="E46" s="0" t="s">
        <v>449</v>
      </c>
      <c r="F46" s="0" t="s">
        <v>34</v>
      </c>
      <c r="G46" s="8" t="s">
        <v>1058</v>
      </c>
      <c r="H46" s="0" t="s">
        <v>36</v>
      </c>
      <c r="I46" s="0">
        <v>0</v>
      </c>
      <c r="J46" s="0">
        <v>0</v>
      </c>
      <c r="K46" s="0" t="s">
        <v>1059</v>
      </c>
      <c r="L46" s="0" t="s">
        <v>49</v>
      </c>
      <c r="M46" s="0" t="s">
        <v>133</v>
      </c>
      <c r="N46" s="0" t="s">
        <v>1060</v>
      </c>
      <c r="O46" s="0" t="s">
        <v>40</v>
      </c>
      <c r="P46" s="0" t="s">
        <v>87</v>
      </c>
      <c r="Q46" s="0" t="s">
        <v>34</v>
      </c>
      <c r="R46" s="0" t="s">
        <v>40</v>
      </c>
      <c r="S46" s="0" t="s">
        <v>87</v>
      </c>
      <c r="T46" s="0" t="s">
        <v>34</v>
      </c>
      <c r="U46" s="0" t="s">
        <v>34</v>
      </c>
      <c r="V46" s="0" t="s">
        <v>34</v>
      </c>
      <c r="W46" s="0" t="s">
        <v>34</v>
      </c>
      <c r="X46" s="0" t="s">
        <v>34</v>
      </c>
      <c r="Y46" s="0" t="s">
        <v>34</v>
      </c>
      <c r="Z46" s="0" t="s">
        <v>43</v>
      </c>
      <c r="AA46" s="0" t="s">
        <v>34</v>
      </c>
      <c r="AB46" s="0" t="s">
        <v>34</v>
      </c>
      <c r="AC46" s="0" t="s">
        <v>34</v>
      </c>
      <c r="AD46" s="0">
        <f>IF($AC46="","NEW","Live")</f>
      </c>
      <c r="AE46" s="8" t="s">
        <v>34</v>
      </c>
      <c r="AF46" s="0" t="s">
        <v>882</v>
      </c>
      <c r="AG46" s="8" t="s">
        <v>34</v>
      </c>
      <c r="AH46" s="0" t="s">
        <v>983</v>
      </c>
      <c r="AI46" s="0" t="s">
        <v>889</v>
      </c>
    </row>
    <row r="47">
      <c r="A47" s="0" t="s">
        <v>1061</v>
      </c>
      <c r="B47" s="0">
        <v>3</v>
      </c>
      <c r="C47" s="0" t="s">
        <v>62</v>
      </c>
      <c r="D47" s="0" t="s">
        <v>1013</v>
      </c>
      <c r="E47" s="0" t="s">
        <v>34</v>
      </c>
      <c r="F47" s="0" t="s">
        <v>34</v>
      </c>
      <c r="G47" s="8" t="s">
        <v>1062</v>
      </c>
      <c r="H47" s="0" t="s">
        <v>36</v>
      </c>
      <c r="I47" s="0">
        <v>0</v>
      </c>
      <c r="J47" s="0">
        <v>0</v>
      </c>
      <c r="K47" s="0" t="s">
        <v>1063</v>
      </c>
      <c r="L47" s="0" t="s">
        <v>49</v>
      </c>
      <c r="M47" s="0" t="s">
        <v>138</v>
      </c>
      <c r="N47" s="0" t="s">
        <v>139</v>
      </c>
      <c r="O47" s="0" t="s">
        <v>40</v>
      </c>
      <c r="P47" s="0" t="s">
        <v>87</v>
      </c>
      <c r="Q47" s="0" t="s">
        <v>34</v>
      </c>
      <c r="R47" s="0" t="s">
        <v>34</v>
      </c>
      <c r="S47" s="0" t="s">
        <v>34</v>
      </c>
      <c r="T47" s="0" t="s">
        <v>34</v>
      </c>
      <c r="U47" s="0" t="s">
        <v>34</v>
      </c>
      <c r="V47" s="0" t="s">
        <v>34</v>
      </c>
      <c r="W47" s="0" t="s">
        <v>34</v>
      </c>
      <c r="X47" s="0" t="s">
        <v>34</v>
      </c>
      <c r="Y47" s="0" t="s">
        <v>34</v>
      </c>
      <c r="Z47" s="0" t="s">
        <v>43</v>
      </c>
      <c r="AA47" s="0" t="s">
        <v>34</v>
      </c>
      <c r="AB47" s="0" t="s">
        <v>34</v>
      </c>
      <c r="AC47" s="0" t="s">
        <v>34</v>
      </c>
      <c r="AD47" s="0">
        <f>IF($AC47="","NEW","Live")</f>
      </c>
      <c r="AE47" s="8" t="s">
        <v>34</v>
      </c>
      <c r="AF47" s="0" t="s">
        <v>882</v>
      </c>
      <c r="AG47" s="8" t="s">
        <v>34</v>
      </c>
      <c r="AH47" s="0" t="s">
        <v>34</v>
      </c>
      <c r="AI47" s="0" t="s">
        <v>889</v>
      </c>
    </row>
    <row r="48">
      <c r="A48" s="0" t="s">
        <v>1064</v>
      </c>
      <c r="B48" s="0">
        <v>3</v>
      </c>
      <c r="C48" s="0" t="s">
        <v>985</v>
      </c>
      <c r="D48" s="0" t="s">
        <v>986</v>
      </c>
      <c r="E48" s="0" t="s">
        <v>73</v>
      </c>
      <c r="F48" s="0" t="s">
        <v>34</v>
      </c>
      <c r="G48" s="8" t="s">
        <v>1065</v>
      </c>
      <c r="H48" s="0" t="s">
        <v>36</v>
      </c>
      <c r="I48" s="0">
        <v>0</v>
      </c>
      <c r="J48" s="0">
        <v>0</v>
      </c>
      <c r="K48" s="0" t="s">
        <v>1066</v>
      </c>
      <c r="L48" s="0" t="s">
        <v>49</v>
      </c>
      <c r="M48" s="0" t="s">
        <v>38</v>
      </c>
      <c r="N48" s="0" t="s">
        <v>39</v>
      </c>
      <c r="O48" s="0" t="s">
        <v>40</v>
      </c>
      <c r="P48" s="0" t="s">
        <v>41</v>
      </c>
      <c r="Q48" s="0" t="s">
        <v>34</v>
      </c>
      <c r="R48" s="0" t="s">
        <v>40</v>
      </c>
      <c r="S48" s="0" t="s">
        <v>41</v>
      </c>
      <c r="T48" s="0" t="s">
        <v>34</v>
      </c>
      <c r="U48" s="0" t="s">
        <v>34</v>
      </c>
      <c r="V48" s="0" t="s">
        <v>34</v>
      </c>
      <c r="W48" s="0" t="s">
        <v>34</v>
      </c>
      <c r="X48" s="0" t="s">
        <v>34</v>
      </c>
      <c r="Y48" s="0" t="s">
        <v>34</v>
      </c>
      <c r="Z48" s="0" t="s">
        <v>43</v>
      </c>
      <c r="AA48" s="0" t="s">
        <v>34</v>
      </c>
      <c r="AB48" s="0" t="s">
        <v>34</v>
      </c>
      <c r="AC48" s="0" t="s">
        <v>34</v>
      </c>
      <c r="AD48" s="0">
        <f>IF($AC48="","NEW","Live")</f>
      </c>
      <c r="AE48" s="8" t="s">
        <v>1067</v>
      </c>
      <c r="AF48" s="0" t="s">
        <v>882</v>
      </c>
      <c r="AG48" s="8" t="s">
        <v>34</v>
      </c>
      <c r="AH48" s="0" t="s">
        <v>34</v>
      </c>
      <c r="AI48" s="0" t="s">
        <v>910</v>
      </c>
    </row>
    <row r="49">
      <c r="A49" s="0" t="s">
        <v>1068</v>
      </c>
      <c r="B49" s="0">
        <v>2</v>
      </c>
      <c r="C49" s="0" t="s">
        <v>985</v>
      </c>
      <c r="D49" s="0" t="s">
        <v>34</v>
      </c>
      <c r="E49" s="0" t="s">
        <v>34</v>
      </c>
      <c r="F49" s="0" t="s">
        <v>34</v>
      </c>
      <c r="G49" s="8" t="s">
        <v>1069</v>
      </c>
      <c r="H49" s="0" t="s">
        <v>36</v>
      </c>
      <c r="I49" s="0">
        <v>0</v>
      </c>
      <c r="J49" s="0">
        <v>0</v>
      </c>
      <c r="K49" s="0" t="s">
        <v>1070</v>
      </c>
      <c r="L49" s="0" t="s">
        <v>49</v>
      </c>
      <c r="M49" s="0" t="s">
        <v>138</v>
      </c>
      <c r="N49" s="0" t="s">
        <v>139</v>
      </c>
      <c r="O49" s="0" t="s">
        <v>34</v>
      </c>
      <c r="P49" s="0" t="s">
        <v>34</v>
      </c>
      <c r="Q49" s="0" t="s">
        <v>34</v>
      </c>
      <c r="R49" s="0" t="s">
        <v>34</v>
      </c>
      <c r="S49" s="0" t="s">
        <v>34</v>
      </c>
      <c r="T49" s="0" t="s">
        <v>34</v>
      </c>
      <c r="U49" s="0" t="s">
        <v>34</v>
      </c>
      <c r="V49" s="0" t="s">
        <v>34</v>
      </c>
      <c r="W49" s="0" t="s">
        <v>34</v>
      </c>
      <c r="X49" s="0" t="s">
        <v>34</v>
      </c>
      <c r="Y49" s="0" t="s">
        <v>34</v>
      </c>
      <c r="Z49" s="0" t="s">
        <v>43</v>
      </c>
      <c r="AA49" s="0" t="s">
        <v>34</v>
      </c>
      <c r="AB49" s="0" t="s">
        <v>34</v>
      </c>
      <c r="AC49" s="0" t="s">
        <v>34</v>
      </c>
      <c r="AD49" s="0">
        <f>IF($AC49="","NEW","Live")</f>
      </c>
      <c r="AE49" s="8" t="s">
        <v>34</v>
      </c>
      <c r="AF49" s="0" t="s">
        <v>915</v>
      </c>
      <c r="AG49" s="8" t="s">
        <v>1071</v>
      </c>
      <c r="AH49" s="0" t="s">
        <v>951</v>
      </c>
      <c r="AI49" s="0" t="s">
        <v>910</v>
      </c>
    </row>
  </sheetData>
  <autoFilter ref="A1:AI49"/>
  <conditionalFormatting sqref="AD2:AD49">
    <cfRule priority="1" type="cellIs" operator="equal" dxfId="0">
      <formula>"NEW"</formula>
    </cfRule>
  </conditionalFormatting>
  <dataValidations count="18">
    <dataValidation type="list" sqref="L2:L249" showErrorMessage="0" allowBlank="1">
      <formula1>=list_Class</formula1>
    </dataValidation>
    <dataValidation type="list" sqref="M2:M249" showErrorMessage="0" allowBlank="1">
      <formula1>=list_Folder</formula1>
    </dataValidation>
    <dataValidation type="list" sqref="C2:C249" showErrorMessage="0" allowBlank="1">
      <formula1>=list_Rarity</formula1>
    </dataValidation>
    <dataValidation type="list" sqref="H2:H249" showErrorMessage="0" allowBlank="1">
      <formula1>=list_Shape</formula1>
    </dataValidation>
    <dataValidation type="list" sqref="O2:O249" showErrorMessage="0" allowBlank="1">
      <formula1>=list_Aim</formula1>
    </dataValidation>
    <dataValidation type="list" sqref="R2:R249" showErrorMessage="0" allowBlank="1">
      <formula1>=list_Aim</formula1>
    </dataValidation>
    <dataValidation type="list" sqref="U2:U249" showErrorMessage="0" allowBlank="1">
      <formula1>=list_Aim</formula1>
    </dataValidation>
    <dataValidation type="list" sqref="D2:D249" showErrorMessage="0" allowBlank="1">
      <formula1>=list_Effect</formula1>
    </dataValidation>
    <dataValidation type="list" sqref="E2:E249" showErrorMessage="0" allowBlank="1">
      <formula1>=list_Effect</formula1>
    </dataValidation>
    <dataValidation type="list" sqref="F2:F249" showErrorMessage="0" allowBlank="1">
      <formula1>=list_Effect</formula1>
    </dataValidation>
    <dataValidation type="list" sqref="Q2:Q249" showErrorMessage="0" allowBlank="1">
      <formula1>=list_Condition</formula1>
    </dataValidation>
    <dataValidation type="list" sqref="T2:T249" showErrorMessage="0" allowBlank="1">
      <formula1>=list_Condition</formula1>
    </dataValidation>
    <dataValidation type="list" sqref="W2:W249" showErrorMessage="0" allowBlank="1">
      <formula1>=list_Condition</formula1>
    </dataValidation>
    <dataValidation type="list" sqref="X2:X249" showErrorMessage="0" allowBlank="1">
      <formula1>=list_CostCond</formula1>
    </dataValidation>
    <dataValidation type="list" sqref="Z2:Z249" showErrorMessage="0" allowBlank="1">
      <formula1>=list_Bool</formula1>
    </dataValidation>
    <dataValidation type="list" sqref="AA2:AA249" showErrorMessage="0" allowBlank="1">
      <formula1>=list_Bool</formula1>
    </dataValidation>
    <dataValidation type="list" sqref="AF2:AF249" showErrorMessage="0" allowBlank="1">
      <formula1>=list_Buildable</formula1>
    </dataValidation>
    <dataValidation type="list" sqref="AI2:AI249" showErrorMessage="0" allowBlank="1">
      <formula1>=list_Priority</formula1>
    </dataValidation>
  </dataValidations>
  <headerFooter/>
</worksheet>
</file>

<file path=xl/worksheets/sheet7.xml><?xml version="1.0" encoding="utf-8"?>
<worksheet xmlns:r="http://schemas.openxmlformats.org/officeDocument/2006/relationships" xmlns="http://schemas.openxmlformats.org/spreadsheetml/2006/main">
  <dimension ref="A1:AI51"/>
  <sheetViews>
    <sheetView workbookViewId="0" tabSelected="0">
      <pane xSplit="2" ySplit="1" topLeftCell="C2" state="frozen" activePane="bottomRight"/>
      <selection pane="topRight" activeCell="C1" sqref="C1"/>
      <selection pane="bottomLeft" activeCell="A2" sqref="A2"/>
      <selection pane="bottomRight" activeCell="A1" sqref="A1"/>
    </sheetView>
  </sheetViews>
  <sheetFormatPr defaultRowHeight="15"/>
  <cols>
    <col min="1" max="1" width="18.5510883331299" customWidth="1"/>
    <col min="2" max="2" width="9.140625" customWidth="1"/>
    <col min="3" max="3" width="11.6996202468872" customWidth="1"/>
    <col min="4" max="4" width="18.4395751953125" customWidth="1"/>
    <col min="5" max="5" width="18.4395751953125" customWidth="1"/>
    <col min="6" max="6" width="9.140625" customWidth="1"/>
    <col min="7" max="7" width="52" customWidth="1" style="8"/>
    <col min="8" max="8" width="12.6950616836548" customWidth="1"/>
    <col min="9" max="9" width="10.8034143447876" customWidth="1"/>
    <col min="10" max="10" width="11.1430721282959" customWidth="1"/>
    <col min="11" max="11" width="18.0630855560303" customWidth="1"/>
    <col min="12" max="12" width="9.140625" customWidth="1"/>
    <col min="13" max="13" width="15.4921236038208" customWidth="1"/>
    <col min="14" max="14" width="19.3818168640137" customWidth="1"/>
    <col min="15" max="15" width="9.140625" customWidth="1"/>
    <col min="16" max="16" width="14.5416955947876" customWidth="1"/>
    <col min="17" max="17" width="9.140625" customWidth="1"/>
    <col min="18" max="18" width="9.140625" customWidth="1"/>
    <col min="19" max="19" width="14.5416955947876" customWidth="1"/>
    <col min="20" max="20" width="9.140625" customWidth="1"/>
    <col min="21" max="21" width="9.140625" customWidth="1"/>
    <col min="22" max="22" width="9.140625" customWidth="1"/>
    <col min="23" max="23" width="9.140625" customWidth="1"/>
    <col min="24" max="24" width="10.3123426437378" customWidth="1"/>
    <col min="25" max="25" width="9.995192527771" customWidth="1"/>
    <col min="26" max="26" width="11.1389799118042" customWidth="1"/>
    <col min="27" max="27" width="9.93790149688721" customWidth="1"/>
    <col min="28" max="28" width="10.5374174118042" customWidth="1"/>
    <col min="29" max="29" width="9.140625" customWidth="1"/>
    <col min="30" max="30" width="9.140625" customWidth="1"/>
    <col min="31" max="31" width="46" customWidth="1" style="8"/>
    <col min="32" max="32" width="13.7539348602295" customWidth="1"/>
    <col min="33" max="33" width="46" customWidth="1" style="8"/>
    <col min="34" max="34" width="20.8744697570801" customWidth="1"/>
    <col min="35" max="35" width="9.140625" customWidth="1"/>
  </cols>
  <sheetData>
    <row r="1">
      <c r="A1" s="7" t="s">
        <v>0</v>
      </c>
      <c r="B1" s="7" t="s">
        <v>1</v>
      </c>
      <c r="C1" s="7" t="s">
        <v>2</v>
      </c>
      <c r="D1" s="7" t="s">
        <v>3</v>
      </c>
      <c r="E1" s="7" t="s">
        <v>4</v>
      </c>
      <c r="F1" s="7" t="s">
        <v>5</v>
      </c>
      <c r="G1" s="9"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c r="Y1" s="7" t="s">
        <v>24</v>
      </c>
      <c r="Z1" s="7" t="s">
        <v>25</v>
      </c>
      <c r="AA1" s="7" t="s">
        <v>26</v>
      </c>
      <c r="AB1" s="7" t="s">
        <v>27</v>
      </c>
      <c r="AC1" s="7" t="s">
        <v>28</v>
      </c>
      <c r="AD1" s="7" t="s">
        <v>29</v>
      </c>
      <c r="AE1" s="9" t="s">
        <v>30</v>
      </c>
      <c r="AF1" s="7" t="s">
        <v>877</v>
      </c>
      <c r="AG1" s="9" t="s">
        <v>878</v>
      </c>
      <c r="AH1" s="7" t="s">
        <v>879</v>
      </c>
      <c r="AI1" s="7" t="s">
        <v>880</v>
      </c>
    </row>
    <row r="2">
      <c r="A2" s="0" t="s">
        <v>1072</v>
      </c>
      <c r="B2" s="0">
        <v>1</v>
      </c>
      <c r="C2" s="0" t="s">
        <v>81</v>
      </c>
      <c r="D2" s="0" t="s">
        <v>161</v>
      </c>
      <c r="E2" s="0" t="s">
        <v>34</v>
      </c>
      <c r="F2" s="0" t="s">
        <v>34</v>
      </c>
      <c r="G2" s="8" t="s">
        <v>1073</v>
      </c>
      <c r="H2" s="0" t="s">
        <v>101</v>
      </c>
      <c r="I2" s="0">
        <v>1</v>
      </c>
      <c r="J2" s="0">
        <v>4</v>
      </c>
      <c r="K2" s="0" t="s">
        <v>1072</v>
      </c>
      <c r="L2" s="0" t="s">
        <v>257</v>
      </c>
      <c r="M2" s="0" t="s">
        <v>285</v>
      </c>
      <c r="N2" s="0" t="s">
        <v>139</v>
      </c>
      <c r="O2" s="0" t="s">
        <v>102</v>
      </c>
      <c r="P2" s="0" t="s">
        <v>41</v>
      </c>
      <c r="Q2" s="0" t="s">
        <v>34</v>
      </c>
      <c r="R2" s="0" t="s">
        <v>34</v>
      </c>
      <c r="S2" s="0" t="s">
        <v>34</v>
      </c>
      <c r="T2" s="0" t="s">
        <v>34</v>
      </c>
      <c r="U2" s="0" t="s">
        <v>34</v>
      </c>
      <c r="V2" s="0" t="s">
        <v>34</v>
      </c>
      <c r="W2" s="0" t="s">
        <v>34</v>
      </c>
      <c r="X2" s="0" t="s">
        <v>34</v>
      </c>
      <c r="Y2" s="0" t="s">
        <v>34</v>
      </c>
      <c r="Z2" s="0" t="s">
        <v>43</v>
      </c>
      <c r="AA2" s="0" t="s">
        <v>34</v>
      </c>
      <c r="AB2" s="0" t="s">
        <v>34</v>
      </c>
      <c r="AC2" s="0" t="s">
        <v>34</v>
      </c>
      <c r="AD2" s="0">
        <f>IF($AC2="","NEW","Live")</f>
      </c>
      <c r="AE2" s="8" t="s">
        <v>34</v>
      </c>
      <c r="AF2" s="0" t="s">
        <v>882</v>
      </c>
      <c r="AG2" s="8" t="s">
        <v>34</v>
      </c>
      <c r="AH2" s="0" t="s">
        <v>34</v>
      </c>
      <c r="AI2" s="0" t="s">
        <v>889</v>
      </c>
    </row>
    <row r="3">
      <c r="A3" s="0" t="s">
        <v>1074</v>
      </c>
      <c r="B3" s="0">
        <v>0</v>
      </c>
      <c r="C3" s="0" t="s">
        <v>81</v>
      </c>
      <c r="D3" s="0" t="s">
        <v>272</v>
      </c>
      <c r="E3" s="0" t="s">
        <v>34</v>
      </c>
      <c r="F3" s="0" t="s">
        <v>34</v>
      </c>
      <c r="G3" s="8" t="s">
        <v>1075</v>
      </c>
      <c r="H3" s="0" t="s">
        <v>101</v>
      </c>
      <c r="I3" s="0">
        <v>1</v>
      </c>
      <c r="J3" s="0">
        <v>4</v>
      </c>
      <c r="K3" s="0" t="s">
        <v>1076</v>
      </c>
      <c r="L3" s="0" t="s">
        <v>257</v>
      </c>
      <c r="M3" s="0" t="s">
        <v>285</v>
      </c>
      <c r="N3" s="0" t="s">
        <v>139</v>
      </c>
      <c r="O3" s="0" t="s">
        <v>102</v>
      </c>
      <c r="P3" s="0" t="s">
        <v>41</v>
      </c>
      <c r="Q3" s="0" t="s">
        <v>34</v>
      </c>
      <c r="R3" s="0" t="s">
        <v>34</v>
      </c>
      <c r="S3" s="0" t="s">
        <v>34</v>
      </c>
      <c r="T3" s="0" t="s">
        <v>34</v>
      </c>
      <c r="U3" s="0" t="s">
        <v>34</v>
      </c>
      <c r="V3" s="0" t="s">
        <v>34</v>
      </c>
      <c r="W3" s="0" t="s">
        <v>34</v>
      </c>
      <c r="X3" s="0" t="s">
        <v>34</v>
      </c>
      <c r="Y3" s="0" t="s">
        <v>34</v>
      </c>
      <c r="Z3" s="0" t="s">
        <v>43</v>
      </c>
      <c r="AA3" s="0" t="s">
        <v>34</v>
      </c>
      <c r="AB3" s="0" t="s">
        <v>34</v>
      </c>
      <c r="AC3" s="0" t="s">
        <v>34</v>
      </c>
      <c r="AD3" s="0">
        <f>IF($AC3="","NEW","Live")</f>
      </c>
      <c r="AE3" s="8" t="s">
        <v>1077</v>
      </c>
      <c r="AF3" s="0" t="s">
        <v>882</v>
      </c>
      <c r="AG3" s="8" t="s">
        <v>34</v>
      </c>
      <c r="AH3" s="0" t="s">
        <v>983</v>
      </c>
      <c r="AI3" s="0" t="s">
        <v>884</v>
      </c>
    </row>
    <row r="4">
      <c r="A4" s="0" t="s">
        <v>1078</v>
      </c>
      <c r="B4" s="0">
        <v>1</v>
      </c>
      <c r="C4" s="0" t="s">
        <v>81</v>
      </c>
      <c r="D4" s="0" t="s">
        <v>136</v>
      </c>
      <c r="E4" s="0" t="s">
        <v>34</v>
      </c>
      <c r="F4" s="0" t="s">
        <v>34</v>
      </c>
      <c r="G4" s="8" t="s">
        <v>284</v>
      </c>
      <c r="H4" s="0" t="s">
        <v>101</v>
      </c>
      <c r="I4" s="0">
        <v>1</v>
      </c>
      <c r="J4" s="0">
        <v>3</v>
      </c>
      <c r="K4" s="0" t="s">
        <v>1078</v>
      </c>
      <c r="L4" s="0" t="s">
        <v>257</v>
      </c>
      <c r="M4" s="0" t="s">
        <v>285</v>
      </c>
      <c r="N4" s="0" t="s">
        <v>1079</v>
      </c>
      <c r="O4" s="0" t="s">
        <v>102</v>
      </c>
      <c r="P4" s="0" t="s">
        <v>41</v>
      </c>
      <c r="Q4" s="0" t="s">
        <v>34</v>
      </c>
      <c r="R4" s="0" t="s">
        <v>34</v>
      </c>
      <c r="S4" s="0" t="s">
        <v>34</v>
      </c>
      <c r="T4" s="0" t="s">
        <v>34</v>
      </c>
      <c r="U4" s="0" t="s">
        <v>34</v>
      </c>
      <c r="V4" s="0" t="s">
        <v>34</v>
      </c>
      <c r="W4" s="0" t="s">
        <v>34</v>
      </c>
      <c r="X4" s="0" t="s">
        <v>34</v>
      </c>
      <c r="Y4" s="0" t="s">
        <v>34</v>
      </c>
      <c r="Z4" s="0" t="s">
        <v>43</v>
      </c>
      <c r="AA4" s="0" t="s">
        <v>34</v>
      </c>
      <c r="AB4" s="0" t="s">
        <v>34</v>
      </c>
      <c r="AC4" s="0" t="s">
        <v>34</v>
      </c>
      <c r="AD4" s="0">
        <f>IF($AC4="","NEW","Live")</f>
      </c>
      <c r="AE4" s="8" t="s">
        <v>34</v>
      </c>
      <c r="AF4" s="0" t="s">
        <v>882</v>
      </c>
      <c r="AG4" s="8" t="s">
        <v>34</v>
      </c>
      <c r="AH4" s="0" t="s">
        <v>34</v>
      </c>
      <c r="AI4" s="0" t="s">
        <v>889</v>
      </c>
    </row>
    <row r="5">
      <c r="A5" s="0" t="s">
        <v>1080</v>
      </c>
      <c r="B5" s="0">
        <v>2</v>
      </c>
      <c r="C5" s="0" t="s">
        <v>62</v>
      </c>
      <c r="D5" s="0" t="s">
        <v>193</v>
      </c>
      <c r="E5" s="0" t="s">
        <v>34</v>
      </c>
      <c r="F5" s="0" t="s">
        <v>34</v>
      </c>
      <c r="G5" s="8" t="s">
        <v>1081</v>
      </c>
      <c r="H5" s="0" t="s">
        <v>101</v>
      </c>
      <c r="I5" s="0">
        <v>1</v>
      </c>
      <c r="J5" s="0">
        <v>3</v>
      </c>
      <c r="K5" s="0" t="s">
        <v>1082</v>
      </c>
      <c r="L5" s="0" t="s">
        <v>257</v>
      </c>
      <c r="M5" s="0" t="s">
        <v>285</v>
      </c>
      <c r="N5" s="0" t="s">
        <v>139</v>
      </c>
      <c r="O5" s="0" t="s">
        <v>102</v>
      </c>
      <c r="P5" s="0" t="s">
        <v>87</v>
      </c>
      <c r="Q5" s="0" t="s">
        <v>34</v>
      </c>
      <c r="R5" s="0" t="s">
        <v>34</v>
      </c>
      <c r="S5" s="0" t="s">
        <v>34</v>
      </c>
      <c r="T5" s="0" t="s">
        <v>34</v>
      </c>
      <c r="U5" s="0" t="s">
        <v>34</v>
      </c>
      <c r="V5" s="0" t="s">
        <v>34</v>
      </c>
      <c r="W5" s="0" t="s">
        <v>34</v>
      </c>
      <c r="X5" s="0" t="s">
        <v>34</v>
      </c>
      <c r="Y5" s="0" t="s">
        <v>34</v>
      </c>
      <c r="Z5" s="0" t="s">
        <v>43</v>
      </c>
      <c r="AA5" s="0" t="s">
        <v>34</v>
      </c>
      <c r="AB5" s="0" t="s">
        <v>34</v>
      </c>
      <c r="AC5" s="0" t="s">
        <v>34</v>
      </c>
      <c r="AD5" s="0">
        <f>IF($AC5="","NEW","Live")</f>
      </c>
      <c r="AE5" s="8" t="s">
        <v>34</v>
      </c>
      <c r="AF5" s="0" t="s">
        <v>882</v>
      </c>
      <c r="AG5" s="8" t="s">
        <v>34</v>
      </c>
      <c r="AH5" s="0" t="s">
        <v>983</v>
      </c>
      <c r="AI5" s="0" t="s">
        <v>889</v>
      </c>
    </row>
    <row r="6">
      <c r="A6" s="0" t="s">
        <v>1083</v>
      </c>
      <c r="B6" s="0">
        <v>3</v>
      </c>
      <c r="C6" s="0" t="s">
        <v>62</v>
      </c>
      <c r="D6" s="0" t="s">
        <v>185</v>
      </c>
      <c r="E6" s="0" t="s">
        <v>34</v>
      </c>
      <c r="F6" s="0" t="s">
        <v>34</v>
      </c>
      <c r="G6" s="8" t="s">
        <v>1084</v>
      </c>
      <c r="H6" s="0" t="s">
        <v>101</v>
      </c>
      <c r="I6" s="0">
        <v>1</v>
      </c>
      <c r="J6" s="0">
        <v>4</v>
      </c>
      <c r="K6" s="0" t="s">
        <v>1083</v>
      </c>
      <c r="L6" s="0" t="s">
        <v>257</v>
      </c>
      <c r="M6" s="0" t="s">
        <v>285</v>
      </c>
      <c r="N6" s="0" t="s">
        <v>1079</v>
      </c>
      <c r="O6" s="0" t="s">
        <v>102</v>
      </c>
      <c r="P6" s="0" t="s">
        <v>78</v>
      </c>
      <c r="Q6" s="0" t="s">
        <v>34</v>
      </c>
      <c r="R6" s="0" t="s">
        <v>34</v>
      </c>
      <c r="S6" s="0" t="s">
        <v>34</v>
      </c>
      <c r="T6" s="0" t="s">
        <v>34</v>
      </c>
      <c r="U6" s="0" t="s">
        <v>34</v>
      </c>
      <c r="V6" s="0" t="s">
        <v>34</v>
      </c>
      <c r="W6" s="0" t="s">
        <v>34</v>
      </c>
      <c r="X6" s="0" t="s">
        <v>34</v>
      </c>
      <c r="Y6" s="0" t="s">
        <v>34</v>
      </c>
      <c r="Z6" s="0" t="s">
        <v>43</v>
      </c>
      <c r="AA6" s="0" t="s">
        <v>34</v>
      </c>
      <c r="AB6" s="0" t="s">
        <v>34</v>
      </c>
      <c r="AC6" s="0" t="s">
        <v>34</v>
      </c>
      <c r="AD6" s="0">
        <f>IF($AC6="","NEW","Live")</f>
      </c>
      <c r="AE6" s="8" t="s">
        <v>34</v>
      </c>
      <c r="AF6" s="0" t="s">
        <v>882</v>
      </c>
      <c r="AG6" s="8" t="s">
        <v>34</v>
      </c>
      <c r="AH6" s="0" t="s">
        <v>1085</v>
      </c>
      <c r="AI6" s="0" t="s">
        <v>889</v>
      </c>
    </row>
    <row r="7">
      <c r="A7" s="0" t="s">
        <v>1086</v>
      </c>
      <c r="B7" s="0">
        <v>1</v>
      </c>
      <c r="C7" s="0" t="s">
        <v>32</v>
      </c>
      <c r="D7" s="0" t="s">
        <v>82</v>
      </c>
      <c r="E7" s="0" t="s">
        <v>34</v>
      </c>
      <c r="F7" s="0" t="s">
        <v>34</v>
      </c>
      <c r="G7" s="8" t="s">
        <v>83</v>
      </c>
      <c r="H7" s="0" t="s">
        <v>36</v>
      </c>
      <c r="I7" s="0">
        <v>0</v>
      </c>
      <c r="J7" s="0">
        <v>0</v>
      </c>
      <c r="K7" s="0" t="s">
        <v>1087</v>
      </c>
      <c r="L7" s="0" t="s">
        <v>257</v>
      </c>
      <c r="M7" s="0" t="s">
        <v>38</v>
      </c>
      <c r="N7" s="0" t="s">
        <v>39</v>
      </c>
      <c r="O7" s="0" t="s">
        <v>40</v>
      </c>
      <c r="P7" s="0" t="s">
        <v>41</v>
      </c>
      <c r="Q7" s="0" t="s">
        <v>34</v>
      </c>
      <c r="R7" s="0" t="s">
        <v>34</v>
      </c>
      <c r="S7" s="0" t="s">
        <v>34</v>
      </c>
      <c r="T7" s="0" t="s">
        <v>34</v>
      </c>
      <c r="U7" s="0" t="s">
        <v>34</v>
      </c>
      <c r="V7" s="0" t="s">
        <v>34</v>
      </c>
      <c r="W7" s="0" t="s">
        <v>34</v>
      </c>
      <c r="X7" s="0" t="s">
        <v>34</v>
      </c>
      <c r="Y7" s="0" t="s">
        <v>34</v>
      </c>
      <c r="Z7" s="0" t="s">
        <v>43</v>
      </c>
      <c r="AA7" s="0" t="s">
        <v>34</v>
      </c>
      <c r="AB7" s="0" t="s">
        <v>34</v>
      </c>
      <c r="AC7" s="0" t="s">
        <v>34</v>
      </c>
      <c r="AD7" s="0">
        <f>IF($AC7="","NEW","Live")</f>
      </c>
      <c r="AE7" s="8" t="s">
        <v>34</v>
      </c>
      <c r="AF7" s="0" t="s">
        <v>882</v>
      </c>
      <c r="AG7" s="8" t="s">
        <v>34</v>
      </c>
      <c r="AH7" s="0" t="s">
        <v>34</v>
      </c>
      <c r="AI7" s="0" t="s">
        <v>889</v>
      </c>
    </row>
    <row r="8">
      <c r="A8" s="0" t="s">
        <v>1088</v>
      </c>
      <c r="B8" s="0">
        <v>2</v>
      </c>
      <c r="C8" s="0" t="s">
        <v>32</v>
      </c>
      <c r="D8" s="0" t="s">
        <v>1089</v>
      </c>
      <c r="E8" s="0" t="s">
        <v>34</v>
      </c>
      <c r="F8" s="0" t="s">
        <v>34</v>
      </c>
      <c r="G8" s="8" t="s">
        <v>1090</v>
      </c>
      <c r="H8" s="0" t="s">
        <v>143</v>
      </c>
      <c r="I8" s="0">
        <v>1</v>
      </c>
      <c r="J8" s="0">
        <v>2</v>
      </c>
      <c r="K8" s="0" t="s">
        <v>1091</v>
      </c>
      <c r="L8" s="0" t="s">
        <v>257</v>
      </c>
      <c r="M8" s="0" t="s">
        <v>133</v>
      </c>
      <c r="N8" s="0" t="s">
        <v>454</v>
      </c>
      <c r="O8" s="0" t="s">
        <v>102</v>
      </c>
      <c r="P8" s="0" t="s">
        <v>41</v>
      </c>
      <c r="Q8" s="0" t="s">
        <v>34</v>
      </c>
      <c r="R8" s="0" t="s">
        <v>34</v>
      </c>
      <c r="S8" s="0" t="s">
        <v>34</v>
      </c>
      <c r="T8" s="0" t="s">
        <v>34</v>
      </c>
      <c r="U8" s="0" t="s">
        <v>34</v>
      </c>
      <c r="V8" s="0" t="s">
        <v>34</v>
      </c>
      <c r="W8" s="0" t="s">
        <v>34</v>
      </c>
      <c r="X8" s="0" t="s">
        <v>34</v>
      </c>
      <c r="Y8" s="0" t="s">
        <v>34</v>
      </c>
      <c r="Z8" s="0" t="s">
        <v>43</v>
      </c>
      <c r="AA8" s="0" t="s">
        <v>34</v>
      </c>
      <c r="AB8" s="0" t="s">
        <v>34</v>
      </c>
      <c r="AC8" s="0" t="s">
        <v>34</v>
      </c>
      <c r="AD8" s="0">
        <f>IF($AC8="","NEW","Live")</f>
      </c>
      <c r="AE8" s="8" t="s">
        <v>34</v>
      </c>
      <c r="AF8" s="0" t="s">
        <v>882</v>
      </c>
      <c r="AG8" s="8" t="s">
        <v>34</v>
      </c>
      <c r="AH8" s="0" t="s">
        <v>34</v>
      </c>
      <c r="AI8" s="0" t="s">
        <v>889</v>
      </c>
    </row>
    <row r="9">
      <c r="A9" s="0" t="s">
        <v>1092</v>
      </c>
      <c r="B9" s="0">
        <v>3</v>
      </c>
      <c r="C9" s="0" t="s">
        <v>62</v>
      </c>
      <c r="D9" s="0" t="s">
        <v>161</v>
      </c>
      <c r="E9" s="0" t="s">
        <v>34</v>
      </c>
      <c r="F9" s="0" t="s">
        <v>34</v>
      </c>
      <c r="G9" s="8" t="s">
        <v>1093</v>
      </c>
      <c r="H9" s="0" t="s">
        <v>101</v>
      </c>
      <c r="I9" s="0">
        <v>1</v>
      </c>
      <c r="J9" s="0">
        <v>4</v>
      </c>
      <c r="K9" s="0" t="s">
        <v>1092</v>
      </c>
      <c r="L9" s="0" t="s">
        <v>257</v>
      </c>
      <c r="M9" s="0" t="s">
        <v>285</v>
      </c>
      <c r="N9" s="0" t="s">
        <v>139</v>
      </c>
      <c r="O9" s="0" t="s">
        <v>102</v>
      </c>
      <c r="P9" s="0" t="s">
        <v>1094</v>
      </c>
      <c r="Q9" s="0" t="s">
        <v>34</v>
      </c>
      <c r="R9" s="0" t="s">
        <v>34</v>
      </c>
      <c r="S9" s="0" t="s">
        <v>34</v>
      </c>
      <c r="T9" s="0" t="s">
        <v>34</v>
      </c>
      <c r="U9" s="0" t="s">
        <v>34</v>
      </c>
      <c r="V9" s="0" t="s">
        <v>34</v>
      </c>
      <c r="W9" s="0" t="s">
        <v>34</v>
      </c>
      <c r="X9" s="0" t="s">
        <v>34</v>
      </c>
      <c r="Y9" s="0" t="s">
        <v>34</v>
      </c>
      <c r="Z9" s="0" t="s">
        <v>43</v>
      </c>
      <c r="AA9" s="0" t="s">
        <v>34</v>
      </c>
      <c r="AB9" s="0" t="s">
        <v>34</v>
      </c>
      <c r="AC9" s="0" t="s">
        <v>34</v>
      </c>
      <c r="AD9" s="0">
        <f>IF($AC9="","NEW","Live")</f>
      </c>
      <c r="AE9" s="8" t="s">
        <v>34</v>
      </c>
      <c r="AF9" s="0" t="s">
        <v>882</v>
      </c>
      <c r="AG9" s="8" t="s">
        <v>34</v>
      </c>
      <c r="AH9" s="0" t="s">
        <v>1095</v>
      </c>
      <c r="AI9" s="0" t="s">
        <v>889</v>
      </c>
    </row>
    <row r="10">
      <c r="A10" s="0" t="s">
        <v>1096</v>
      </c>
      <c r="B10" s="0">
        <v>1</v>
      </c>
      <c r="C10" s="0" t="s">
        <v>81</v>
      </c>
      <c r="D10" s="0" t="s">
        <v>34</v>
      </c>
      <c r="E10" s="0" t="s">
        <v>34</v>
      </c>
      <c r="F10" s="0" t="s">
        <v>34</v>
      </c>
      <c r="G10" s="8" t="s">
        <v>1097</v>
      </c>
      <c r="H10" s="0" t="s">
        <v>101</v>
      </c>
      <c r="I10" s="0">
        <v>1</v>
      </c>
      <c r="J10" s="0">
        <v>4</v>
      </c>
      <c r="K10" s="0" t="s">
        <v>1098</v>
      </c>
      <c r="L10" s="0" t="s">
        <v>257</v>
      </c>
      <c r="M10" s="0" t="s">
        <v>285</v>
      </c>
      <c r="N10" s="0" t="s">
        <v>139</v>
      </c>
      <c r="O10" s="0" t="s">
        <v>34</v>
      </c>
      <c r="P10" s="0" t="s">
        <v>34</v>
      </c>
      <c r="Q10" s="0" t="s">
        <v>34</v>
      </c>
      <c r="R10" s="0" t="s">
        <v>34</v>
      </c>
      <c r="S10" s="0" t="s">
        <v>34</v>
      </c>
      <c r="T10" s="0" t="s">
        <v>34</v>
      </c>
      <c r="U10" s="0" t="s">
        <v>34</v>
      </c>
      <c r="V10" s="0" t="s">
        <v>34</v>
      </c>
      <c r="W10" s="0" t="s">
        <v>34</v>
      </c>
      <c r="X10" s="0" t="s">
        <v>34</v>
      </c>
      <c r="Y10" s="0" t="s">
        <v>34</v>
      </c>
      <c r="Z10" s="0" t="s">
        <v>43</v>
      </c>
      <c r="AA10" s="0" t="s">
        <v>34</v>
      </c>
      <c r="AB10" s="0" t="s">
        <v>34</v>
      </c>
      <c r="AC10" s="0" t="s">
        <v>34</v>
      </c>
      <c r="AD10" s="0">
        <f>IF($AC10="","NEW","Live")</f>
      </c>
      <c r="AE10" s="8" t="s">
        <v>34</v>
      </c>
      <c r="AF10" s="0" t="s">
        <v>915</v>
      </c>
      <c r="AG10" s="8" t="s">
        <v>1099</v>
      </c>
      <c r="AH10" s="0" t="s">
        <v>983</v>
      </c>
      <c r="AI10" s="0" t="s">
        <v>910</v>
      </c>
    </row>
    <row r="11">
      <c r="A11" s="0" t="s">
        <v>1100</v>
      </c>
      <c r="B11" s="0">
        <v>2</v>
      </c>
      <c r="C11" s="0" t="s">
        <v>62</v>
      </c>
      <c r="D11" s="0" t="s">
        <v>97</v>
      </c>
      <c r="E11" s="0" t="s">
        <v>367</v>
      </c>
      <c r="F11" s="0" t="s">
        <v>73</v>
      </c>
      <c r="G11" s="8" t="s">
        <v>1101</v>
      </c>
      <c r="H11" s="0" t="s">
        <v>36</v>
      </c>
      <c r="I11" s="0">
        <v>0</v>
      </c>
      <c r="J11" s="0">
        <v>0</v>
      </c>
      <c r="K11" s="0" t="s">
        <v>1102</v>
      </c>
      <c r="L11" s="0" t="s">
        <v>257</v>
      </c>
      <c r="M11" s="0" t="s">
        <v>38</v>
      </c>
      <c r="N11" s="0" t="s">
        <v>39</v>
      </c>
      <c r="O11" s="0" t="s">
        <v>40</v>
      </c>
      <c r="P11" s="0" t="s">
        <v>41</v>
      </c>
      <c r="Q11" s="0" t="s">
        <v>34</v>
      </c>
      <c r="R11" s="0" t="s">
        <v>40</v>
      </c>
      <c r="S11" s="0" t="s">
        <v>41</v>
      </c>
      <c r="T11" s="0" t="s">
        <v>34</v>
      </c>
      <c r="U11" s="0" t="s">
        <v>40</v>
      </c>
      <c r="V11" s="0" t="s">
        <v>41</v>
      </c>
      <c r="W11" s="0" t="s">
        <v>34</v>
      </c>
      <c r="X11" s="0" t="s">
        <v>34</v>
      </c>
      <c r="Y11" s="0" t="s">
        <v>34</v>
      </c>
      <c r="Z11" s="0" t="s">
        <v>43</v>
      </c>
      <c r="AA11" s="0" t="s">
        <v>34</v>
      </c>
      <c r="AB11" s="0" t="s">
        <v>34</v>
      </c>
      <c r="AC11" s="0" t="s">
        <v>34</v>
      </c>
      <c r="AD11" s="0">
        <f>IF($AC11="","NEW","Live")</f>
      </c>
      <c r="AE11" s="8" t="s">
        <v>34</v>
      </c>
      <c r="AF11" s="0" t="s">
        <v>882</v>
      </c>
      <c r="AG11" s="8" t="s">
        <v>34</v>
      </c>
      <c r="AH11" s="0" t="s">
        <v>983</v>
      </c>
      <c r="AI11" s="0" t="s">
        <v>889</v>
      </c>
    </row>
    <row r="12">
      <c r="A12" s="0" t="s">
        <v>1103</v>
      </c>
      <c r="B12" s="0">
        <v>0</v>
      </c>
      <c r="C12" s="0" t="s">
        <v>32</v>
      </c>
      <c r="D12" s="0" t="s">
        <v>278</v>
      </c>
      <c r="E12" s="0" t="s">
        <v>34</v>
      </c>
      <c r="F12" s="0" t="s">
        <v>34</v>
      </c>
      <c r="G12" s="8" t="s">
        <v>1104</v>
      </c>
      <c r="H12" s="0" t="s">
        <v>101</v>
      </c>
      <c r="I12" s="0">
        <v>1</v>
      </c>
      <c r="J12" s="0">
        <v>3</v>
      </c>
      <c r="K12" s="0" t="s">
        <v>1103</v>
      </c>
      <c r="L12" s="0" t="s">
        <v>257</v>
      </c>
      <c r="M12" s="0" t="s">
        <v>281</v>
      </c>
      <c r="N12" s="0" t="s">
        <v>281</v>
      </c>
      <c r="O12" s="0" t="s">
        <v>102</v>
      </c>
      <c r="P12" s="0" t="s">
        <v>41</v>
      </c>
      <c r="Q12" s="0" t="s">
        <v>34</v>
      </c>
      <c r="R12" s="0" t="s">
        <v>34</v>
      </c>
      <c r="S12" s="0" t="s">
        <v>34</v>
      </c>
      <c r="T12" s="0" t="s">
        <v>34</v>
      </c>
      <c r="U12" s="0" t="s">
        <v>34</v>
      </c>
      <c r="V12" s="0" t="s">
        <v>34</v>
      </c>
      <c r="W12" s="0" t="s">
        <v>34</v>
      </c>
      <c r="X12" s="0" t="s">
        <v>34</v>
      </c>
      <c r="Y12" s="0" t="s">
        <v>34</v>
      </c>
      <c r="Z12" s="0" t="s">
        <v>43</v>
      </c>
      <c r="AA12" s="0" t="s">
        <v>34</v>
      </c>
      <c r="AB12" s="0" t="s">
        <v>34</v>
      </c>
      <c r="AC12" s="0" t="s">
        <v>34</v>
      </c>
      <c r="AD12" s="0">
        <f>IF($AC12="","NEW","Live")</f>
      </c>
      <c r="AE12" s="8" t="s">
        <v>34</v>
      </c>
      <c r="AF12" s="0" t="s">
        <v>882</v>
      </c>
      <c r="AG12" s="8" t="s">
        <v>34</v>
      </c>
      <c r="AH12" s="0" t="s">
        <v>1105</v>
      </c>
      <c r="AI12" s="0" t="s">
        <v>884</v>
      </c>
    </row>
    <row r="13">
      <c r="A13" s="0" t="s">
        <v>1106</v>
      </c>
      <c r="B13" s="0">
        <v>1</v>
      </c>
      <c r="C13" s="0" t="s">
        <v>32</v>
      </c>
      <c r="D13" s="0" t="s">
        <v>34</v>
      </c>
      <c r="E13" s="0" t="s">
        <v>34</v>
      </c>
      <c r="F13" s="0" t="s">
        <v>34</v>
      </c>
      <c r="G13" s="8" t="s">
        <v>1107</v>
      </c>
      <c r="H13" s="0" t="s">
        <v>101</v>
      </c>
      <c r="I13" s="0">
        <v>1</v>
      </c>
      <c r="J13" s="0">
        <v>3</v>
      </c>
      <c r="K13" s="0" t="s">
        <v>1108</v>
      </c>
      <c r="L13" s="0" t="s">
        <v>257</v>
      </c>
      <c r="M13" s="0" t="s">
        <v>258</v>
      </c>
      <c r="N13" s="0" t="s">
        <v>281</v>
      </c>
      <c r="O13" s="0" t="s">
        <v>34</v>
      </c>
      <c r="P13" s="0" t="s">
        <v>34</v>
      </c>
      <c r="Q13" s="0" t="s">
        <v>34</v>
      </c>
      <c r="R13" s="0" t="s">
        <v>34</v>
      </c>
      <c r="S13" s="0" t="s">
        <v>34</v>
      </c>
      <c r="T13" s="0" t="s">
        <v>34</v>
      </c>
      <c r="U13" s="0" t="s">
        <v>34</v>
      </c>
      <c r="V13" s="0" t="s">
        <v>34</v>
      </c>
      <c r="W13" s="0" t="s">
        <v>34</v>
      </c>
      <c r="X13" s="0" t="s">
        <v>34</v>
      </c>
      <c r="Y13" s="0" t="s">
        <v>34</v>
      </c>
      <c r="Z13" s="0" t="s">
        <v>43</v>
      </c>
      <c r="AA13" s="0" t="s">
        <v>34</v>
      </c>
      <c r="AB13" s="0" t="s">
        <v>34</v>
      </c>
      <c r="AC13" s="0" t="s">
        <v>34</v>
      </c>
      <c r="AD13" s="0">
        <f>IF($AC13="","NEW","Live")</f>
      </c>
      <c r="AE13" s="8" t="s">
        <v>34</v>
      </c>
      <c r="AF13" s="0" t="s">
        <v>915</v>
      </c>
      <c r="AG13" s="8" t="s">
        <v>1109</v>
      </c>
      <c r="AH13" s="0" t="s">
        <v>917</v>
      </c>
      <c r="AI13" s="0" t="s">
        <v>884</v>
      </c>
    </row>
    <row r="14">
      <c r="A14" s="0" t="s">
        <v>1110</v>
      </c>
      <c r="B14" s="0">
        <v>2</v>
      </c>
      <c r="C14" s="0" t="s">
        <v>62</v>
      </c>
      <c r="D14" s="0" t="s">
        <v>34</v>
      </c>
      <c r="E14" s="0" t="s">
        <v>34</v>
      </c>
      <c r="F14" s="0" t="s">
        <v>34</v>
      </c>
      <c r="G14" s="8" t="s">
        <v>1111</v>
      </c>
      <c r="H14" s="0" t="s">
        <v>101</v>
      </c>
      <c r="I14" s="0">
        <v>1</v>
      </c>
      <c r="J14" s="0">
        <v>3</v>
      </c>
      <c r="K14" s="0" t="s">
        <v>1112</v>
      </c>
      <c r="L14" s="0" t="s">
        <v>257</v>
      </c>
      <c r="M14" s="0" t="s">
        <v>199</v>
      </c>
      <c r="N14" s="0" t="s">
        <v>1113</v>
      </c>
      <c r="O14" s="0" t="s">
        <v>34</v>
      </c>
      <c r="P14" s="0" t="s">
        <v>34</v>
      </c>
      <c r="Q14" s="0" t="s">
        <v>34</v>
      </c>
      <c r="R14" s="0" t="s">
        <v>34</v>
      </c>
      <c r="S14" s="0" t="s">
        <v>34</v>
      </c>
      <c r="T14" s="0" t="s">
        <v>34</v>
      </c>
      <c r="U14" s="0" t="s">
        <v>34</v>
      </c>
      <c r="V14" s="0" t="s">
        <v>34</v>
      </c>
      <c r="W14" s="0" t="s">
        <v>34</v>
      </c>
      <c r="X14" s="0" t="s">
        <v>34</v>
      </c>
      <c r="Y14" s="0" t="s">
        <v>34</v>
      </c>
      <c r="Z14" s="0" t="s">
        <v>43</v>
      </c>
      <c r="AA14" s="0" t="s">
        <v>34</v>
      </c>
      <c r="AB14" s="0" t="s">
        <v>34</v>
      </c>
      <c r="AC14" s="0" t="s">
        <v>34</v>
      </c>
      <c r="AD14" s="0">
        <f>IF($AC14="","NEW","Live")</f>
      </c>
      <c r="AE14" s="8" t="s">
        <v>1114</v>
      </c>
      <c r="AF14" s="0" t="s">
        <v>936</v>
      </c>
      <c r="AG14" s="8" t="s">
        <v>1115</v>
      </c>
      <c r="AH14" s="0" t="s">
        <v>983</v>
      </c>
      <c r="AI14" s="0" t="s">
        <v>884</v>
      </c>
    </row>
    <row r="15">
      <c r="A15" s="0" t="s">
        <v>1116</v>
      </c>
      <c r="B15" s="0">
        <v>2</v>
      </c>
      <c r="C15" s="0" t="s">
        <v>62</v>
      </c>
      <c r="D15" s="0" t="s">
        <v>34</v>
      </c>
      <c r="E15" s="0" t="s">
        <v>34</v>
      </c>
      <c r="F15" s="0" t="s">
        <v>34</v>
      </c>
      <c r="G15" s="8" t="s">
        <v>1117</v>
      </c>
      <c r="H15" s="0" t="s">
        <v>36</v>
      </c>
      <c r="I15" s="0">
        <v>0</v>
      </c>
      <c r="J15" s="0">
        <v>0</v>
      </c>
      <c r="K15" s="0" t="s">
        <v>1118</v>
      </c>
      <c r="L15" s="0" t="s">
        <v>257</v>
      </c>
      <c r="M15" s="0" t="s">
        <v>258</v>
      </c>
      <c r="N15" s="0" t="s">
        <v>364</v>
      </c>
      <c r="O15" s="0" t="s">
        <v>34</v>
      </c>
      <c r="P15" s="0" t="s">
        <v>34</v>
      </c>
      <c r="Q15" s="0" t="s">
        <v>34</v>
      </c>
      <c r="R15" s="0" t="s">
        <v>34</v>
      </c>
      <c r="S15" s="0" t="s">
        <v>34</v>
      </c>
      <c r="T15" s="0" t="s">
        <v>34</v>
      </c>
      <c r="U15" s="0" t="s">
        <v>34</v>
      </c>
      <c r="V15" s="0" t="s">
        <v>34</v>
      </c>
      <c r="W15" s="0" t="s">
        <v>34</v>
      </c>
      <c r="X15" s="0" t="s">
        <v>34</v>
      </c>
      <c r="Y15" s="0" t="s">
        <v>34</v>
      </c>
      <c r="Z15" s="0" t="s">
        <v>43</v>
      </c>
      <c r="AA15" s="0" t="s">
        <v>34</v>
      </c>
      <c r="AB15" s="0" t="s">
        <v>34</v>
      </c>
      <c r="AC15" s="0" t="s">
        <v>34</v>
      </c>
      <c r="AD15" s="0">
        <f>IF($AC15="","NEW","Live")</f>
      </c>
      <c r="AE15" s="8" t="s">
        <v>34</v>
      </c>
      <c r="AF15" s="0" t="s">
        <v>915</v>
      </c>
      <c r="AG15" s="8" t="s">
        <v>1119</v>
      </c>
      <c r="AH15" s="0" t="s">
        <v>917</v>
      </c>
      <c r="AI15" s="0" t="s">
        <v>889</v>
      </c>
    </row>
    <row r="16">
      <c r="A16" s="0" t="s">
        <v>1120</v>
      </c>
      <c r="B16" s="0">
        <v>1</v>
      </c>
      <c r="C16" s="0" t="s">
        <v>81</v>
      </c>
      <c r="D16" s="0" t="s">
        <v>262</v>
      </c>
      <c r="E16" s="0" t="s">
        <v>34</v>
      </c>
      <c r="F16" s="0" t="s">
        <v>34</v>
      </c>
      <c r="G16" s="8" t="s">
        <v>1121</v>
      </c>
      <c r="H16" s="0" t="s">
        <v>101</v>
      </c>
      <c r="I16" s="0">
        <v>1</v>
      </c>
      <c r="J16" s="0">
        <v>3</v>
      </c>
      <c r="K16" s="0" t="s">
        <v>1120</v>
      </c>
      <c r="L16" s="0" t="s">
        <v>257</v>
      </c>
      <c r="M16" s="0" t="s">
        <v>258</v>
      </c>
      <c r="N16" s="0" t="s">
        <v>281</v>
      </c>
      <c r="O16" s="0" t="s">
        <v>102</v>
      </c>
      <c r="P16" s="0" t="s">
        <v>1122</v>
      </c>
      <c r="Q16" s="0" t="s">
        <v>34</v>
      </c>
      <c r="R16" s="0" t="s">
        <v>34</v>
      </c>
      <c r="S16" s="0" t="s">
        <v>34</v>
      </c>
      <c r="T16" s="0" t="s">
        <v>34</v>
      </c>
      <c r="U16" s="0" t="s">
        <v>34</v>
      </c>
      <c r="V16" s="0" t="s">
        <v>34</v>
      </c>
      <c r="W16" s="0" t="s">
        <v>34</v>
      </c>
      <c r="X16" s="0" t="s">
        <v>34</v>
      </c>
      <c r="Y16" s="0" t="s">
        <v>34</v>
      </c>
      <c r="Z16" s="0" t="s">
        <v>43</v>
      </c>
      <c r="AA16" s="0" t="s">
        <v>34</v>
      </c>
      <c r="AB16" s="0" t="s">
        <v>34</v>
      </c>
      <c r="AC16" s="0" t="s">
        <v>34</v>
      </c>
      <c r="AD16" s="0">
        <f>IF($AC16="","NEW","Live")</f>
      </c>
      <c r="AE16" s="8" t="s">
        <v>34</v>
      </c>
      <c r="AF16" s="0" t="s">
        <v>882</v>
      </c>
      <c r="AG16" s="8" t="s">
        <v>34</v>
      </c>
      <c r="AH16" s="0" t="s">
        <v>983</v>
      </c>
      <c r="AI16" s="0" t="s">
        <v>884</v>
      </c>
    </row>
    <row r="17">
      <c r="A17" s="0" t="s">
        <v>1123</v>
      </c>
      <c r="B17" s="0">
        <v>1</v>
      </c>
      <c r="C17" s="0" t="s">
        <v>62</v>
      </c>
      <c r="D17" s="0" t="s">
        <v>34</v>
      </c>
      <c r="E17" s="0" t="s">
        <v>34</v>
      </c>
      <c r="F17" s="0" t="s">
        <v>34</v>
      </c>
      <c r="G17" s="8" t="s">
        <v>1124</v>
      </c>
      <c r="H17" s="0" t="s">
        <v>101</v>
      </c>
      <c r="I17" s="0">
        <v>1</v>
      </c>
      <c r="J17" s="0">
        <v>4</v>
      </c>
      <c r="K17" s="0" t="s">
        <v>1125</v>
      </c>
      <c r="L17" s="0" t="s">
        <v>257</v>
      </c>
      <c r="M17" s="0" t="s">
        <v>281</v>
      </c>
      <c r="N17" s="0" t="s">
        <v>281</v>
      </c>
      <c r="O17" s="0" t="s">
        <v>34</v>
      </c>
      <c r="P17" s="0" t="s">
        <v>34</v>
      </c>
      <c r="Q17" s="0" t="s">
        <v>34</v>
      </c>
      <c r="R17" s="0" t="s">
        <v>34</v>
      </c>
      <c r="S17" s="0" t="s">
        <v>34</v>
      </c>
      <c r="T17" s="0" t="s">
        <v>34</v>
      </c>
      <c r="U17" s="0" t="s">
        <v>34</v>
      </c>
      <c r="V17" s="0" t="s">
        <v>34</v>
      </c>
      <c r="W17" s="0" t="s">
        <v>34</v>
      </c>
      <c r="X17" s="0" t="s">
        <v>34</v>
      </c>
      <c r="Y17" s="0" t="s">
        <v>34</v>
      </c>
      <c r="Z17" s="0" t="s">
        <v>43</v>
      </c>
      <c r="AA17" s="0" t="s">
        <v>34</v>
      </c>
      <c r="AB17" s="0" t="s">
        <v>34</v>
      </c>
      <c r="AC17" s="0" t="s">
        <v>34</v>
      </c>
      <c r="AD17" s="0">
        <f>IF($AC17="","NEW","Live")</f>
      </c>
      <c r="AE17" s="8" t="s">
        <v>34</v>
      </c>
      <c r="AF17" s="0" t="s">
        <v>915</v>
      </c>
      <c r="AG17" s="8" t="s">
        <v>1126</v>
      </c>
      <c r="AH17" s="0" t="s">
        <v>983</v>
      </c>
      <c r="AI17" s="0" t="s">
        <v>889</v>
      </c>
    </row>
    <row r="18">
      <c r="A18" s="0" t="s">
        <v>1127</v>
      </c>
      <c r="B18" s="0">
        <v>1</v>
      </c>
      <c r="C18" s="0" t="s">
        <v>32</v>
      </c>
      <c r="D18" s="0" t="s">
        <v>262</v>
      </c>
      <c r="E18" s="0" t="s">
        <v>384</v>
      </c>
      <c r="F18" s="0" t="s">
        <v>34</v>
      </c>
      <c r="G18" s="8" t="s">
        <v>1128</v>
      </c>
      <c r="H18" s="0" t="s">
        <v>101</v>
      </c>
      <c r="I18" s="0">
        <v>1</v>
      </c>
      <c r="J18" s="0">
        <v>3</v>
      </c>
      <c r="K18" s="0" t="s">
        <v>1127</v>
      </c>
      <c r="L18" s="0" t="s">
        <v>257</v>
      </c>
      <c r="M18" s="0" t="s">
        <v>258</v>
      </c>
      <c r="N18" s="0" t="s">
        <v>281</v>
      </c>
      <c r="O18" s="0" t="s">
        <v>102</v>
      </c>
      <c r="P18" s="0" t="s">
        <v>1122</v>
      </c>
      <c r="Q18" s="0" t="s">
        <v>34</v>
      </c>
      <c r="R18" s="0" t="s">
        <v>102</v>
      </c>
      <c r="S18" s="0" t="s">
        <v>1122</v>
      </c>
      <c r="T18" s="0" t="s">
        <v>34</v>
      </c>
      <c r="U18" s="0" t="s">
        <v>34</v>
      </c>
      <c r="V18" s="0" t="s">
        <v>34</v>
      </c>
      <c r="W18" s="0" t="s">
        <v>34</v>
      </c>
      <c r="X18" s="0" t="s">
        <v>34</v>
      </c>
      <c r="Y18" s="0" t="s">
        <v>34</v>
      </c>
      <c r="Z18" s="0" t="s">
        <v>43</v>
      </c>
      <c r="AA18" s="0" t="s">
        <v>34</v>
      </c>
      <c r="AB18" s="0" t="s">
        <v>34</v>
      </c>
      <c r="AC18" s="0" t="s">
        <v>34</v>
      </c>
      <c r="AD18" s="0">
        <f>IF($AC18="","NEW","Live")</f>
      </c>
      <c r="AE18" s="8" t="s">
        <v>34</v>
      </c>
      <c r="AF18" s="0" t="s">
        <v>882</v>
      </c>
      <c r="AG18" s="8" t="s">
        <v>34</v>
      </c>
      <c r="AH18" s="0" t="s">
        <v>983</v>
      </c>
      <c r="AI18" s="0" t="s">
        <v>889</v>
      </c>
    </row>
    <row r="19">
      <c r="A19" s="0" t="s">
        <v>1129</v>
      </c>
      <c r="B19" s="0">
        <v>1</v>
      </c>
      <c r="C19" s="0" t="s">
        <v>32</v>
      </c>
      <c r="D19" s="0" t="s">
        <v>34</v>
      </c>
      <c r="E19" s="0" t="s">
        <v>34</v>
      </c>
      <c r="F19" s="0" t="s">
        <v>34</v>
      </c>
      <c r="G19" s="8" t="s">
        <v>1130</v>
      </c>
      <c r="H19" s="0" t="s">
        <v>143</v>
      </c>
      <c r="I19" s="0">
        <v>1</v>
      </c>
      <c r="J19" s="0">
        <v>2</v>
      </c>
      <c r="K19" s="0" t="s">
        <v>1129</v>
      </c>
      <c r="L19" s="0" t="s">
        <v>257</v>
      </c>
      <c r="M19" s="0" t="s">
        <v>281</v>
      </c>
      <c r="N19" s="0" t="s">
        <v>281</v>
      </c>
      <c r="O19" s="0" t="s">
        <v>34</v>
      </c>
      <c r="P19" s="0" t="s">
        <v>34</v>
      </c>
      <c r="Q19" s="0" t="s">
        <v>34</v>
      </c>
      <c r="R19" s="0" t="s">
        <v>34</v>
      </c>
      <c r="S19" s="0" t="s">
        <v>34</v>
      </c>
      <c r="T19" s="0" t="s">
        <v>34</v>
      </c>
      <c r="U19" s="0" t="s">
        <v>34</v>
      </c>
      <c r="V19" s="0" t="s">
        <v>34</v>
      </c>
      <c r="W19" s="0" t="s">
        <v>34</v>
      </c>
      <c r="X19" s="0" t="s">
        <v>34</v>
      </c>
      <c r="Y19" s="0" t="s">
        <v>34</v>
      </c>
      <c r="Z19" s="0" t="s">
        <v>43</v>
      </c>
      <c r="AA19" s="0" t="s">
        <v>34</v>
      </c>
      <c r="AB19" s="0" t="s">
        <v>34</v>
      </c>
      <c r="AC19" s="0" t="s">
        <v>34</v>
      </c>
      <c r="AD19" s="0">
        <f>IF($AC19="","NEW","Live")</f>
      </c>
      <c r="AE19" s="8" t="s">
        <v>34</v>
      </c>
      <c r="AF19" s="0" t="s">
        <v>915</v>
      </c>
      <c r="AG19" s="8" t="s">
        <v>1131</v>
      </c>
      <c r="AH19" s="0" t="s">
        <v>983</v>
      </c>
      <c r="AI19" s="0" t="s">
        <v>910</v>
      </c>
    </row>
    <row r="20">
      <c r="A20" s="0" t="s">
        <v>1132</v>
      </c>
      <c r="B20" s="0">
        <v>2</v>
      </c>
      <c r="C20" s="0" t="s">
        <v>32</v>
      </c>
      <c r="D20" s="0" t="s">
        <v>136</v>
      </c>
      <c r="E20" s="0" t="s">
        <v>34</v>
      </c>
      <c r="F20" s="0" t="s">
        <v>34</v>
      </c>
      <c r="G20" s="8" t="s">
        <v>1133</v>
      </c>
      <c r="H20" s="0" t="s">
        <v>101</v>
      </c>
      <c r="I20" s="0">
        <v>1</v>
      </c>
      <c r="J20" s="0">
        <v>1</v>
      </c>
      <c r="K20" s="0" t="s">
        <v>1132</v>
      </c>
      <c r="L20" s="0" t="s">
        <v>257</v>
      </c>
      <c r="M20" s="0" t="s">
        <v>285</v>
      </c>
      <c r="N20" s="0" t="s">
        <v>139</v>
      </c>
      <c r="O20" s="0" t="s">
        <v>102</v>
      </c>
      <c r="P20" s="4" t="s">
        <v>291</v>
      </c>
      <c r="Q20" s="0" t="s">
        <v>34</v>
      </c>
      <c r="R20" s="0" t="s">
        <v>34</v>
      </c>
      <c r="S20" s="0" t="s">
        <v>34</v>
      </c>
      <c r="T20" s="0" t="s">
        <v>34</v>
      </c>
      <c r="U20" s="0" t="s">
        <v>34</v>
      </c>
      <c r="V20" s="0" t="s">
        <v>34</v>
      </c>
      <c r="W20" s="0" t="s">
        <v>34</v>
      </c>
      <c r="X20" s="0" t="s">
        <v>34</v>
      </c>
      <c r="Y20" s="0" t="s">
        <v>34</v>
      </c>
      <c r="Z20" s="0" t="s">
        <v>43</v>
      </c>
      <c r="AA20" s="0" t="s">
        <v>34</v>
      </c>
      <c r="AB20" s="0" t="s">
        <v>34</v>
      </c>
      <c r="AC20" s="0" t="s">
        <v>34</v>
      </c>
      <c r="AD20" s="0">
        <f>IF($AC20="","NEW","Live")</f>
      </c>
      <c r="AE20" s="8" t="s">
        <v>1134</v>
      </c>
      <c r="AF20" s="0" t="s">
        <v>915</v>
      </c>
      <c r="AG20" s="8" t="s">
        <v>1135</v>
      </c>
      <c r="AH20" s="0" t="s">
        <v>983</v>
      </c>
      <c r="AI20" s="0" t="s">
        <v>884</v>
      </c>
    </row>
    <row r="21">
      <c r="A21" s="0" t="s">
        <v>1136</v>
      </c>
      <c r="B21" s="0">
        <v>1</v>
      </c>
      <c r="C21" s="0" t="s">
        <v>81</v>
      </c>
      <c r="D21" s="0" t="s">
        <v>278</v>
      </c>
      <c r="E21" s="0" t="s">
        <v>361</v>
      </c>
      <c r="F21" s="0" t="s">
        <v>34</v>
      </c>
      <c r="G21" s="8" t="s">
        <v>1137</v>
      </c>
      <c r="H21" s="0" t="s">
        <v>101</v>
      </c>
      <c r="I21" s="0">
        <v>1</v>
      </c>
      <c r="J21" s="0">
        <v>2</v>
      </c>
      <c r="K21" s="0" t="s">
        <v>1138</v>
      </c>
      <c r="L21" s="0" t="s">
        <v>257</v>
      </c>
      <c r="M21" s="0" t="s">
        <v>281</v>
      </c>
      <c r="N21" s="0" t="s">
        <v>941</v>
      </c>
      <c r="O21" s="0" t="s">
        <v>102</v>
      </c>
      <c r="P21" s="0" t="s">
        <v>41</v>
      </c>
      <c r="Q21" s="0" t="s">
        <v>34</v>
      </c>
      <c r="R21" s="0" t="s">
        <v>40</v>
      </c>
      <c r="S21" s="0" t="s">
        <v>41</v>
      </c>
      <c r="T21" s="0" t="s">
        <v>34</v>
      </c>
      <c r="U21" s="0" t="s">
        <v>34</v>
      </c>
      <c r="V21" s="0" t="s">
        <v>34</v>
      </c>
      <c r="W21" s="0" t="s">
        <v>34</v>
      </c>
      <c r="X21" s="0" t="s">
        <v>34</v>
      </c>
      <c r="Y21" s="0" t="s">
        <v>34</v>
      </c>
      <c r="Z21" s="0" t="s">
        <v>43</v>
      </c>
      <c r="AA21" s="0" t="s">
        <v>34</v>
      </c>
      <c r="AB21" s="0" t="s">
        <v>34</v>
      </c>
      <c r="AC21" s="0" t="s">
        <v>34</v>
      </c>
      <c r="AD21" s="0">
        <f>IF($AC21="","NEW","Live")</f>
      </c>
      <c r="AE21" s="8" t="s">
        <v>34</v>
      </c>
      <c r="AF21" s="0" t="s">
        <v>882</v>
      </c>
      <c r="AG21" s="8" t="s">
        <v>34</v>
      </c>
      <c r="AH21" s="0" t="s">
        <v>983</v>
      </c>
      <c r="AI21" s="0" t="s">
        <v>889</v>
      </c>
    </row>
    <row r="22">
      <c r="A22" s="0" t="s">
        <v>1139</v>
      </c>
      <c r="B22" s="0">
        <v>1</v>
      </c>
      <c r="C22" s="0" t="s">
        <v>81</v>
      </c>
      <c r="D22" s="0" t="s">
        <v>963</v>
      </c>
      <c r="E22" s="0" t="s">
        <v>34</v>
      </c>
      <c r="F22" s="0" t="s">
        <v>34</v>
      </c>
      <c r="G22" s="8" t="s">
        <v>1140</v>
      </c>
      <c r="H22" s="0" t="s">
        <v>101</v>
      </c>
      <c r="I22" s="0">
        <v>1</v>
      </c>
      <c r="J22" s="0">
        <v>3</v>
      </c>
      <c r="K22" s="0" t="s">
        <v>1139</v>
      </c>
      <c r="L22" s="0" t="s">
        <v>257</v>
      </c>
      <c r="M22" s="0" t="s">
        <v>258</v>
      </c>
      <c r="N22" s="0" t="s">
        <v>139</v>
      </c>
      <c r="O22" s="0" t="s">
        <v>102</v>
      </c>
      <c r="P22" s="0" t="s">
        <v>41</v>
      </c>
      <c r="Q22" s="0" t="s">
        <v>34</v>
      </c>
      <c r="R22" s="0" t="s">
        <v>34</v>
      </c>
      <c r="S22" s="0" t="s">
        <v>34</v>
      </c>
      <c r="T22" s="0" t="s">
        <v>34</v>
      </c>
      <c r="U22" s="0" t="s">
        <v>34</v>
      </c>
      <c r="V22" s="0" t="s">
        <v>34</v>
      </c>
      <c r="W22" s="0" t="s">
        <v>34</v>
      </c>
      <c r="X22" s="0" t="s">
        <v>34</v>
      </c>
      <c r="Y22" s="0" t="s">
        <v>34</v>
      </c>
      <c r="Z22" s="0" t="s">
        <v>43</v>
      </c>
      <c r="AA22" s="0" t="s">
        <v>34</v>
      </c>
      <c r="AB22" s="0" t="s">
        <v>34</v>
      </c>
      <c r="AC22" s="0" t="s">
        <v>34</v>
      </c>
      <c r="AD22" s="0">
        <f>IF($AC22="","NEW","Live")</f>
      </c>
      <c r="AE22" s="8" t="s">
        <v>34</v>
      </c>
      <c r="AF22" s="0" t="s">
        <v>882</v>
      </c>
      <c r="AG22" s="8" t="s">
        <v>34</v>
      </c>
      <c r="AH22" s="0" t="s">
        <v>34</v>
      </c>
      <c r="AI22" s="0" t="s">
        <v>889</v>
      </c>
    </row>
    <row r="23">
      <c r="A23" s="0" t="s">
        <v>1141</v>
      </c>
      <c r="B23" s="0">
        <v>2</v>
      </c>
      <c r="C23" s="0" t="s">
        <v>32</v>
      </c>
      <c r="D23" s="0" t="s">
        <v>963</v>
      </c>
      <c r="E23" s="0" t="s">
        <v>391</v>
      </c>
      <c r="F23" s="0" t="s">
        <v>34</v>
      </c>
      <c r="G23" s="8" t="s">
        <v>1142</v>
      </c>
      <c r="H23" s="0" t="s">
        <v>101</v>
      </c>
      <c r="I23" s="0">
        <v>1</v>
      </c>
      <c r="J23" s="0">
        <v>3</v>
      </c>
      <c r="K23" s="0" t="s">
        <v>1141</v>
      </c>
      <c r="L23" s="0" t="s">
        <v>257</v>
      </c>
      <c r="M23" s="0" t="s">
        <v>258</v>
      </c>
      <c r="N23" s="0" t="s">
        <v>798</v>
      </c>
      <c r="O23" s="0" t="s">
        <v>102</v>
      </c>
      <c r="P23" s="0" t="s">
        <v>41</v>
      </c>
      <c r="Q23" s="0" t="s">
        <v>34</v>
      </c>
      <c r="R23" s="0" t="s">
        <v>102</v>
      </c>
      <c r="S23" s="0" t="s">
        <v>41</v>
      </c>
      <c r="T23" s="0" t="s">
        <v>34</v>
      </c>
      <c r="U23" s="0" t="s">
        <v>34</v>
      </c>
      <c r="V23" s="0" t="s">
        <v>34</v>
      </c>
      <c r="W23" s="0" t="s">
        <v>34</v>
      </c>
      <c r="X23" s="0" t="s">
        <v>34</v>
      </c>
      <c r="Y23" s="0" t="s">
        <v>34</v>
      </c>
      <c r="Z23" s="0" t="s">
        <v>43</v>
      </c>
      <c r="AA23" s="0" t="s">
        <v>34</v>
      </c>
      <c r="AB23" s="0" t="s">
        <v>34</v>
      </c>
      <c r="AC23" s="0" t="s">
        <v>34</v>
      </c>
      <c r="AD23" s="0">
        <f>IF($AC23="","NEW","Live")</f>
      </c>
      <c r="AE23" s="8" t="s">
        <v>34</v>
      </c>
      <c r="AF23" s="0" t="s">
        <v>882</v>
      </c>
      <c r="AG23" s="8" t="s">
        <v>34</v>
      </c>
      <c r="AH23" s="0" t="s">
        <v>983</v>
      </c>
      <c r="AI23" s="0" t="s">
        <v>889</v>
      </c>
    </row>
    <row r="24">
      <c r="A24" s="0" t="s">
        <v>1143</v>
      </c>
      <c r="B24" s="0">
        <v>1</v>
      </c>
      <c r="C24" s="0" t="s">
        <v>32</v>
      </c>
      <c r="D24" s="0" t="s">
        <v>262</v>
      </c>
      <c r="E24" s="0" t="s">
        <v>384</v>
      </c>
      <c r="F24" s="0" t="s">
        <v>34</v>
      </c>
      <c r="G24" s="8" t="s">
        <v>1144</v>
      </c>
      <c r="H24" s="0" t="s">
        <v>101</v>
      </c>
      <c r="I24" s="0">
        <v>1</v>
      </c>
      <c r="J24" s="0">
        <v>3</v>
      </c>
      <c r="K24" s="0" t="s">
        <v>1143</v>
      </c>
      <c r="L24" s="0" t="s">
        <v>257</v>
      </c>
      <c r="M24" s="0" t="s">
        <v>258</v>
      </c>
      <c r="N24" s="0" t="s">
        <v>281</v>
      </c>
      <c r="O24" s="0" t="s">
        <v>102</v>
      </c>
      <c r="P24" s="0" t="s">
        <v>41</v>
      </c>
      <c r="Q24" s="0" t="s">
        <v>34</v>
      </c>
      <c r="R24" s="0" t="s">
        <v>102</v>
      </c>
      <c r="S24" s="0" t="s">
        <v>41</v>
      </c>
      <c r="T24" s="0" t="s">
        <v>34</v>
      </c>
      <c r="U24" s="0" t="s">
        <v>34</v>
      </c>
      <c r="V24" s="0" t="s">
        <v>34</v>
      </c>
      <c r="W24" s="0" t="s">
        <v>34</v>
      </c>
      <c r="X24" s="0" t="s">
        <v>34</v>
      </c>
      <c r="Y24" s="0" t="s">
        <v>34</v>
      </c>
      <c r="Z24" s="0" t="s">
        <v>43</v>
      </c>
      <c r="AA24" s="0" t="s">
        <v>34</v>
      </c>
      <c r="AB24" s="0" t="s">
        <v>34</v>
      </c>
      <c r="AC24" s="0" t="s">
        <v>34</v>
      </c>
      <c r="AD24" s="0">
        <f>IF($AC24="","NEW","Live")</f>
      </c>
      <c r="AE24" s="8" t="s">
        <v>34</v>
      </c>
      <c r="AF24" s="0" t="s">
        <v>882</v>
      </c>
      <c r="AG24" s="8" t="s">
        <v>34</v>
      </c>
      <c r="AH24" s="0" t="s">
        <v>983</v>
      </c>
      <c r="AI24" s="0" t="s">
        <v>889</v>
      </c>
    </row>
    <row r="25">
      <c r="A25" s="0" t="s">
        <v>1145</v>
      </c>
      <c r="B25" s="0">
        <v>2</v>
      </c>
      <c r="C25" s="0" t="s">
        <v>62</v>
      </c>
      <c r="D25" s="0" t="s">
        <v>136</v>
      </c>
      <c r="E25" s="0" t="s">
        <v>265</v>
      </c>
      <c r="F25" s="0" t="s">
        <v>34</v>
      </c>
      <c r="G25" s="8" t="s">
        <v>1146</v>
      </c>
      <c r="H25" s="0" t="s">
        <v>101</v>
      </c>
      <c r="I25" s="0">
        <v>1</v>
      </c>
      <c r="J25" s="0">
        <v>3</v>
      </c>
      <c r="K25" s="0" t="s">
        <v>1147</v>
      </c>
      <c r="L25" s="0" t="s">
        <v>257</v>
      </c>
      <c r="M25" s="0" t="s">
        <v>258</v>
      </c>
      <c r="N25" s="0" t="s">
        <v>139</v>
      </c>
      <c r="O25" s="0" t="s">
        <v>102</v>
      </c>
      <c r="P25" s="0" t="s">
        <v>41</v>
      </c>
      <c r="Q25" s="0" t="s">
        <v>34</v>
      </c>
      <c r="R25" s="0" t="s">
        <v>102</v>
      </c>
      <c r="S25" s="0" t="s">
        <v>41</v>
      </c>
      <c r="T25" s="0" t="s">
        <v>34</v>
      </c>
      <c r="U25" s="0" t="s">
        <v>34</v>
      </c>
      <c r="V25" s="0" t="s">
        <v>34</v>
      </c>
      <c r="W25" s="0" t="s">
        <v>34</v>
      </c>
      <c r="X25" s="0" t="s">
        <v>34</v>
      </c>
      <c r="Y25" s="0" t="s">
        <v>34</v>
      </c>
      <c r="Z25" s="0" t="s">
        <v>43</v>
      </c>
      <c r="AA25" s="0" t="s">
        <v>34</v>
      </c>
      <c r="AB25" s="0" t="s">
        <v>34</v>
      </c>
      <c r="AC25" s="0" t="s">
        <v>34</v>
      </c>
      <c r="AD25" s="0">
        <f>IF($AC25="","NEW","Live")</f>
      </c>
      <c r="AE25" s="8" t="s">
        <v>34</v>
      </c>
      <c r="AF25" s="0" t="s">
        <v>882</v>
      </c>
      <c r="AG25" s="8" t="s">
        <v>34</v>
      </c>
      <c r="AH25" s="0" t="s">
        <v>34</v>
      </c>
      <c r="AI25" s="0" t="s">
        <v>889</v>
      </c>
    </row>
    <row r="26">
      <c r="A26" s="0" t="s">
        <v>1148</v>
      </c>
      <c r="B26" s="0">
        <v>2</v>
      </c>
      <c r="C26" s="0" t="s">
        <v>62</v>
      </c>
      <c r="D26" s="0" t="s">
        <v>127</v>
      </c>
      <c r="E26" s="0" t="s">
        <v>47</v>
      </c>
      <c r="F26" s="0" t="s">
        <v>34</v>
      </c>
      <c r="G26" s="8" t="s">
        <v>1149</v>
      </c>
      <c r="H26" s="0" t="s">
        <v>36</v>
      </c>
      <c r="I26" s="0">
        <v>0</v>
      </c>
      <c r="J26" s="0">
        <v>0</v>
      </c>
      <c r="K26" s="0" t="s">
        <v>1148</v>
      </c>
      <c r="L26" s="0" t="s">
        <v>257</v>
      </c>
      <c r="M26" s="0" t="s">
        <v>124</v>
      </c>
      <c r="N26" s="0" t="s">
        <v>139</v>
      </c>
      <c r="O26" s="0" t="s">
        <v>40</v>
      </c>
      <c r="P26" s="0" t="s">
        <v>41</v>
      </c>
      <c r="Q26" s="0" t="s">
        <v>34</v>
      </c>
      <c r="R26" s="0" t="s">
        <v>40</v>
      </c>
      <c r="S26" s="0" t="s">
        <v>41</v>
      </c>
      <c r="T26" s="0" t="s">
        <v>34</v>
      </c>
      <c r="U26" s="0" t="s">
        <v>34</v>
      </c>
      <c r="V26" s="0" t="s">
        <v>34</v>
      </c>
      <c r="W26" s="0" t="s">
        <v>34</v>
      </c>
      <c r="X26" s="0" t="s">
        <v>34</v>
      </c>
      <c r="Y26" s="0" t="s">
        <v>34</v>
      </c>
      <c r="Z26" s="0" t="s">
        <v>43</v>
      </c>
      <c r="AA26" s="0" t="s">
        <v>34</v>
      </c>
      <c r="AB26" s="0" t="s">
        <v>34</v>
      </c>
      <c r="AC26" s="0" t="s">
        <v>34</v>
      </c>
      <c r="AD26" s="0">
        <f>IF($AC26="","NEW","Live")</f>
      </c>
      <c r="AE26" s="8" t="s">
        <v>34</v>
      </c>
      <c r="AF26" s="0" t="s">
        <v>882</v>
      </c>
      <c r="AG26" s="8" t="s">
        <v>34</v>
      </c>
      <c r="AH26" s="0" t="s">
        <v>983</v>
      </c>
      <c r="AI26" s="0" t="s">
        <v>889</v>
      </c>
    </row>
    <row r="27">
      <c r="A27" s="0" t="s">
        <v>1150</v>
      </c>
      <c r="B27" s="0">
        <v>1</v>
      </c>
      <c r="C27" s="0" t="s">
        <v>32</v>
      </c>
      <c r="D27" s="0" t="s">
        <v>956</v>
      </c>
      <c r="E27" s="0" t="s">
        <v>34</v>
      </c>
      <c r="F27" s="0" t="s">
        <v>34</v>
      </c>
      <c r="G27" s="8" t="s">
        <v>1151</v>
      </c>
      <c r="H27" s="0" t="s">
        <v>143</v>
      </c>
      <c r="I27" s="0">
        <v>1</v>
      </c>
      <c r="J27" s="0">
        <v>2</v>
      </c>
      <c r="K27" s="0" t="s">
        <v>1150</v>
      </c>
      <c r="L27" s="0" t="s">
        <v>257</v>
      </c>
      <c r="M27" s="0" t="s">
        <v>124</v>
      </c>
      <c r="N27" s="0" t="s">
        <v>139</v>
      </c>
      <c r="O27" s="0" t="s">
        <v>102</v>
      </c>
      <c r="P27" s="0" t="s">
        <v>41</v>
      </c>
      <c r="Q27" s="0" t="s">
        <v>34</v>
      </c>
      <c r="R27" s="0" t="s">
        <v>34</v>
      </c>
      <c r="S27" s="0" t="s">
        <v>34</v>
      </c>
      <c r="T27" s="0" t="s">
        <v>34</v>
      </c>
      <c r="U27" s="0" t="s">
        <v>34</v>
      </c>
      <c r="V27" s="0" t="s">
        <v>34</v>
      </c>
      <c r="W27" s="0" t="s">
        <v>34</v>
      </c>
      <c r="X27" s="0" t="s">
        <v>34</v>
      </c>
      <c r="Y27" s="0" t="s">
        <v>34</v>
      </c>
      <c r="Z27" s="0" t="s">
        <v>43</v>
      </c>
      <c r="AA27" s="0" t="s">
        <v>34</v>
      </c>
      <c r="AB27" s="0" t="s">
        <v>34</v>
      </c>
      <c r="AC27" s="0" t="s">
        <v>34</v>
      </c>
      <c r="AD27" s="0">
        <f>IF($AC27="","NEW","Live")</f>
      </c>
      <c r="AE27" s="8" t="s">
        <v>34</v>
      </c>
      <c r="AF27" s="0" t="s">
        <v>882</v>
      </c>
      <c r="AG27" s="8" t="s">
        <v>34</v>
      </c>
      <c r="AH27" s="0" t="s">
        <v>983</v>
      </c>
      <c r="AI27" s="0" t="s">
        <v>889</v>
      </c>
    </row>
    <row r="28">
      <c r="A28" s="0" t="s">
        <v>1152</v>
      </c>
      <c r="B28" s="0">
        <v>3</v>
      </c>
      <c r="C28" s="0" t="s">
        <v>62</v>
      </c>
      <c r="D28" s="0" t="s">
        <v>963</v>
      </c>
      <c r="E28" s="0" t="s">
        <v>34</v>
      </c>
      <c r="F28" s="0" t="s">
        <v>34</v>
      </c>
      <c r="G28" s="8" t="s">
        <v>1153</v>
      </c>
      <c r="H28" s="0" t="s">
        <v>101</v>
      </c>
      <c r="I28" s="0">
        <v>1</v>
      </c>
      <c r="J28" s="0">
        <v>4</v>
      </c>
      <c r="K28" s="0" t="s">
        <v>1154</v>
      </c>
      <c r="L28" s="0" t="s">
        <v>257</v>
      </c>
      <c r="M28" s="0" t="s">
        <v>258</v>
      </c>
      <c r="N28" s="0" t="s">
        <v>139</v>
      </c>
      <c r="O28" s="0" t="s">
        <v>102</v>
      </c>
      <c r="P28" s="0" t="s">
        <v>87</v>
      </c>
      <c r="Q28" s="0" t="s">
        <v>34</v>
      </c>
      <c r="R28" s="0" t="s">
        <v>34</v>
      </c>
      <c r="S28" s="0" t="s">
        <v>34</v>
      </c>
      <c r="T28" s="0" t="s">
        <v>34</v>
      </c>
      <c r="U28" s="0" t="s">
        <v>34</v>
      </c>
      <c r="V28" s="0" t="s">
        <v>34</v>
      </c>
      <c r="W28" s="0" t="s">
        <v>34</v>
      </c>
      <c r="X28" s="0" t="s">
        <v>34</v>
      </c>
      <c r="Y28" s="0" t="s">
        <v>34</v>
      </c>
      <c r="Z28" s="0" t="s">
        <v>43</v>
      </c>
      <c r="AA28" s="0" t="s">
        <v>34</v>
      </c>
      <c r="AB28" s="0" t="s">
        <v>34</v>
      </c>
      <c r="AC28" s="0" t="s">
        <v>34</v>
      </c>
      <c r="AD28" s="0">
        <f>IF($AC28="","NEW","Live")</f>
      </c>
      <c r="AE28" s="8" t="s">
        <v>34</v>
      </c>
      <c r="AF28" s="0" t="s">
        <v>882</v>
      </c>
      <c r="AG28" s="8" t="s">
        <v>34</v>
      </c>
      <c r="AH28" s="0" t="s">
        <v>34</v>
      </c>
      <c r="AI28" s="0" t="s">
        <v>889</v>
      </c>
    </row>
    <row r="29">
      <c r="A29" s="0" t="s">
        <v>1155</v>
      </c>
      <c r="B29" s="0">
        <v>2</v>
      </c>
      <c r="C29" s="0" t="s">
        <v>62</v>
      </c>
      <c r="D29" s="0" t="s">
        <v>1156</v>
      </c>
      <c r="E29" s="0" t="s">
        <v>34</v>
      </c>
      <c r="F29" s="0" t="s">
        <v>34</v>
      </c>
      <c r="G29" s="8" t="s">
        <v>1157</v>
      </c>
      <c r="H29" s="0" t="s">
        <v>36</v>
      </c>
      <c r="I29" s="0">
        <v>0</v>
      </c>
      <c r="J29" s="0">
        <v>0</v>
      </c>
      <c r="K29" s="0" t="s">
        <v>1158</v>
      </c>
      <c r="L29" s="0" t="s">
        <v>257</v>
      </c>
      <c r="M29" s="0" t="s">
        <v>38</v>
      </c>
      <c r="N29" s="0" t="s">
        <v>39</v>
      </c>
      <c r="O29" s="0" t="s">
        <v>40</v>
      </c>
      <c r="P29" s="0" t="s">
        <v>41</v>
      </c>
      <c r="Q29" s="0" t="s">
        <v>34</v>
      </c>
      <c r="R29" s="0" t="s">
        <v>34</v>
      </c>
      <c r="S29" s="0" t="s">
        <v>34</v>
      </c>
      <c r="T29" s="0" t="s">
        <v>34</v>
      </c>
      <c r="U29" s="0" t="s">
        <v>34</v>
      </c>
      <c r="V29" s="0" t="s">
        <v>34</v>
      </c>
      <c r="W29" s="0" t="s">
        <v>34</v>
      </c>
      <c r="X29" s="0" t="s">
        <v>34</v>
      </c>
      <c r="Y29" s="0" t="s">
        <v>34</v>
      </c>
      <c r="Z29" s="0" t="s">
        <v>43</v>
      </c>
      <c r="AA29" s="0" t="s">
        <v>34</v>
      </c>
      <c r="AB29" s="0" t="s">
        <v>34</v>
      </c>
      <c r="AC29" s="0" t="s">
        <v>34</v>
      </c>
      <c r="AD29" s="0">
        <f>IF($AC29="","NEW","Live")</f>
      </c>
      <c r="AE29" s="8" t="s">
        <v>34</v>
      </c>
      <c r="AF29" s="0" t="s">
        <v>882</v>
      </c>
      <c r="AG29" s="8" t="s">
        <v>34</v>
      </c>
      <c r="AH29" s="0" t="s">
        <v>983</v>
      </c>
      <c r="AI29" s="0" t="s">
        <v>889</v>
      </c>
    </row>
    <row r="30">
      <c r="A30" s="0" t="s">
        <v>1159</v>
      </c>
      <c r="B30" s="0">
        <v>2</v>
      </c>
      <c r="C30" s="0" t="s">
        <v>32</v>
      </c>
      <c r="D30" s="0" t="s">
        <v>907</v>
      </c>
      <c r="E30" s="0" t="s">
        <v>34</v>
      </c>
      <c r="F30" s="0" t="s">
        <v>34</v>
      </c>
      <c r="G30" s="8" t="s">
        <v>1160</v>
      </c>
      <c r="H30" s="0" t="s">
        <v>143</v>
      </c>
      <c r="I30" s="0">
        <v>1</v>
      </c>
      <c r="J30" s="0">
        <v>2</v>
      </c>
      <c r="K30" s="0" t="s">
        <v>1159</v>
      </c>
      <c r="L30" s="0" t="s">
        <v>257</v>
      </c>
      <c r="M30" s="0" t="s">
        <v>38</v>
      </c>
      <c r="N30" s="0" t="s">
        <v>39</v>
      </c>
      <c r="O30" s="0" t="s">
        <v>102</v>
      </c>
      <c r="P30" s="0" t="s">
        <v>41</v>
      </c>
      <c r="Q30" s="0" t="s">
        <v>34</v>
      </c>
      <c r="R30" s="0" t="s">
        <v>34</v>
      </c>
      <c r="S30" s="0" t="s">
        <v>34</v>
      </c>
      <c r="T30" s="0" t="s">
        <v>34</v>
      </c>
      <c r="U30" s="0" t="s">
        <v>34</v>
      </c>
      <c r="V30" s="0" t="s">
        <v>34</v>
      </c>
      <c r="W30" s="0" t="s">
        <v>34</v>
      </c>
      <c r="X30" s="0" t="s">
        <v>34</v>
      </c>
      <c r="Y30" s="0" t="s">
        <v>34</v>
      </c>
      <c r="Z30" s="0" t="s">
        <v>43</v>
      </c>
      <c r="AA30" s="0" t="s">
        <v>34</v>
      </c>
      <c r="AB30" s="0" t="s">
        <v>34</v>
      </c>
      <c r="AC30" s="0" t="s">
        <v>34</v>
      </c>
      <c r="AD30" s="0">
        <f>IF($AC30="","NEW","Live")</f>
      </c>
      <c r="AE30" s="8" t="s">
        <v>34</v>
      </c>
      <c r="AF30" s="0" t="s">
        <v>882</v>
      </c>
      <c r="AG30" s="8" t="s">
        <v>34</v>
      </c>
      <c r="AH30" s="0" t="s">
        <v>983</v>
      </c>
      <c r="AI30" s="0" t="s">
        <v>889</v>
      </c>
    </row>
    <row r="31">
      <c r="A31" s="0" t="s">
        <v>1161</v>
      </c>
      <c r="B31" s="0">
        <v>3</v>
      </c>
      <c r="C31" s="0" t="s">
        <v>62</v>
      </c>
      <c r="D31" s="0" t="s">
        <v>400</v>
      </c>
      <c r="E31" s="0" t="s">
        <v>34</v>
      </c>
      <c r="F31" s="0" t="s">
        <v>34</v>
      </c>
      <c r="G31" s="8" t="s">
        <v>1162</v>
      </c>
      <c r="H31" s="0" t="s">
        <v>101</v>
      </c>
      <c r="I31" s="0">
        <v>1</v>
      </c>
      <c r="J31" s="0">
        <v>4</v>
      </c>
      <c r="K31" s="0" t="s">
        <v>1161</v>
      </c>
      <c r="L31" s="0" t="s">
        <v>257</v>
      </c>
      <c r="M31" s="0" t="s">
        <v>258</v>
      </c>
      <c r="N31" s="0" t="s">
        <v>798</v>
      </c>
      <c r="O31" s="0" t="s">
        <v>102</v>
      </c>
      <c r="P31" s="0" t="s">
        <v>87</v>
      </c>
      <c r="Q31" s="0" t="s">
        <v>34</v>
      </c>
      <c r="R31" s="0" t="s">
        <v>34</v>
      </c>
      <c r="S31" s="0" t="s">
        <v>34</v>
      </c>
      <c r="T31" s="0" t="s">
        <v>34</v>
      </c>
      <c r="U31" s="0" t="s">
        <v>34</v>
      </c>
      <c r="V31" s="0" t="s">
        <v>34</v>
      </c>
      <c r="W31" s="0" t="s">
        <v>34</v>
      </c>
      <c r="X31" s="0" t="s">
        <v>34</v>
      </c>
      <c r="Y31" s="0" t="s">
        <v>34</v>
      </c>
      <c r="Z31" s="0" t="s">
        <v>43</v>
      </c>
      <c r="AA31" s="0" t="s">
        <v>34</v>
      </c>
      <c r="AB31" s="0" t="s">
        <v>34</v>
      </c>
      <c r="AC31" s="0" t="s">
        <v>34</v>
      </c>
      <c r="AD31" s="0">
        <f>IF($AC31="","NEW","Live")</f>
      </c>
      <c r="AE31" s="8" t="s">
        <v>34</v>
      </c>
      <c r="AF31" s="0" t="s">
        <v>882</v>
      </c>
      <c r="AG31" s="8" t="s">
        <v>34</v>
      </c>
      <c r="AH31" s="0" t="s">
        <v>34</v>
      </c>
      <c r="AI31" s="0" t="s">
        <v>889</v>
      </c>
    </row>
    <row r="32">
      <c r="A32" s="0" t="s">
        <v>1163</v>
      </c>
      <c r="B32" s="0">
        <v>2</v>
      </c>
      <c r="C32" s="0" t="s">
        <v>62</v>
      </c>
      <c r="D32" s="0" t="s">
        <v>34</v>
      </c>
      <c r="E32" s="0" t="s">
        <v>34</v>
      </c>
      <c r="F32" s="0" t="s">
        <v>34</v>
      </c>
      <c r="G32" s="8" t="s">
        <v>1164</v>
      </c>
      <c r="H32" s="0" t="s">
        <v>101</v>
      </c>
      <c r="I32" s="0">
        <v>1</v>
      </c>
      <c r="J32" s="0">
        <v>3</v>
      </c>
      <c r="K32" s="0" t="s">
        <v>1163</v>
      </c>
      <c r="L32" s="0" t="s">
        <v>257</v>
      </c>
      <c r="M32" s="0" t="s">
        <v>285</v>
      </c>
      <c r="N32" s="0" t="s">
        <v>350</v>
      </c>
      <c r="O32" s="0" t="s">
        <v>34</v>
      </c>
      <c r="P32" s="0" t="s">
        <v>34</v>
      </c>
      <c r="Q32" s="0" t="s">
        <v>34</v>
      </c>
      <c r="R32" s="0" t="s">
        <v>34</v>
      </c>
      <c r="S32" s="0" t="s">
        <v>34</v>
      </c>
      <c r="T32" s="0" t="s">
        <v>34</v>
      </c>
      <c r="U32" s="0" t="s">
        <v>34</v>
      </c>
      <c r="V32" s="0" t="s">
        <v>34</v>
      </c>
      <c r="W32" s="0" t="s">
        <v>34</v>
      </c>
      <c r="X32" s="0" t="s">
        <v>34</v>
      </c>
      <c r="Y32" s="0" t="s">
        <v>34</v>
      </c>
      <c r="Z32" s="0" t="s">
        <v>43</v>
      </c>
      <c r="AA32" s="0" t="s">
        <v>34</v>
      </c>
      <c r="AB32" s="0" t="s">
        <v>34</v>
      </c>
      <c r="AC32" s="0" t="s">
        <v>34</v>
      </c>
      <c r="AD32" s="0">
        <f>IF($AC32="","NEW","Live")</f>
      </c>
      <c r="AE32" s="8" t="s">
        <v>1165</v>
      </c>
      <c r="AF32" s="0" t="s">
        <v>926</v>
      </c>
      <c r="AG32" s="8" t="s">
        <v>1166</v>
      </c>
      <c r="AH32" s="0" t="s">
        <v>1167</v>
      </c>
      <c r="AI32" s="0" t="s">
        <v>884</v>
      </c>
    </row>
    <row r="33">
      <c r="A33" s="0" t="s">
        <v>1168</v>
      </c>
      <c r="B33" s="0">
        <v>1</v>
      </c>
      <c r="C33" s="0" t="s">
        <v>62</v>
      </c>
      <c r="D33" s="0" t="s">
        <v>34</v>
      </c>
      <c r="E33" s="0" t="s">
        <v>34</v>
      </c>
      <c r="F33" s="0" t="s">
        <v>34</v>
      </c>
      <c r="G33" s="8" t="s">
        <v>1169</v>
      </c>
      <c r="H33" s="0" t="s">
        <v>101</v>
      </c>
      <c r="I33" s="0">
        <v>1</v>
      </c>
      <c r="J33" s="0">
        <v>4</v>
      </c>
      <c r="K33" s="0" t="s">
        <v>1168</v>
      </c>
      <c r="L33" s="0" t="s">
        <v>257</v>
      </c>
      <c r="M33" s="0" t="s">
        <v>258</v>
      </c>
      <c r="N33" s="0" t="s">
        <v>39</v>
      </c>
      <c r="O33" s="0" t="s">
        <v>34</v>
      </c>
      <c r="P33" s="0" t="s">
        <v>34</v>
      </c>
      <c r="Q33" s="0" t="s">
        <v>34</v>
      </c>
      <c r="R33" s="0" t="s">
        <v>34</v>
      </c>
      <c r="S33" s="0" t="s">
        <v>34</v>
      </c>
      <c r="T33" s="0" t="s">
        <v>34</v>
      </c>
      <c r="U33" s="0" t="s">
        <v>34</v>
      </c>
      <c r="V33" s="0" t="s">
        <v>34</v>
      </c>
      <c r="W33" s="0" t="s">
        <v>34</v>
      </c>
      <c r="X33" s="0" t="s">
        <v>34</v>
      </c>
      <c r="Y33" s="0" t="s">
        <v>34</v>
      </c>
      <c r="Z33" s="0" t="s">
        <v>43</v>
      </c>
      <c r="AA33" s="0" t="s">
        <v>34</v>
      </c>
      <c r="AB33" s="0" t="s">
        <v>34</v>
      </c>
      <c r="AC33" s="0" t="s">
        <v>34</v>
      </c>
      <c r="AD33" s="0">
        <f>IF($AC33="","NEW","Live")</f>
      </c>
      <c r="AE33" s="8" t="s">
        <v>34</v>
      </c>
      <c r="AF33" s="0" t="s">
        <v>999</v>
      </c>
      <c r="AG33" s="8" t="s">
        <v>1170</v>
      </c>
      <c r="AH33" s="0" t="s">
        <v>1171</v>
      </c>
      <c r="AI33" s="0" t="s">
        <v>889</v>
      </c>
    </row>
    <row r="34">
      <c r="A34" s="0" t="s">
        <v>1172</v>
      </c>
      <c r="B34" s="0">
        <v>3</v>
      </c>
      <c r="C34" s="0" t="s">
        <v>985</v>
      </c>
      <c r="D34" s="0" t="s">
        <v>34</v>
      </c>
      <c r="E34" s="0" t="s">
        <v>34</v>
      </c>
      <c r="F34" s="0" t="s">
        <v>34</v>
      </c>
      <c r="G34" s="8" t="s">
        <v>1173</v>
      </c>
      <c r="H34" s="0" t="s">
        <v>36</v>
      </c>
      <c r="I34" s="0">
        <v>0</v>
      </c>
      <c r="J34" s="0">
        <v>0</v>
      </c>
      <c r="K34" s="0" t="s">
        <v>1174</v>
      </c>
      <c r="L34" s="0" t="s">
        <v>257</v>
      </c>
      <c r="M34" s="0" t="s">
        <v>124</v>
      </c>
      <c r="N34" s="0" t="s">
        <v>139</v>
      </c>
      <c r="O34" s="0" t="s">
        <v>34</v>
      </c>
      <c r="P34" s="0" t="s">
        <v>34</v>
      </c>
      <c r="Q34" s="0" t="s">
        <v>34</v>
      </c>
      <c r="R34" s="0" t="s">
        <v>34</v>
      </c>
      <c r="S34" s="0" t="s">
        <v>34</v>
      </c>
      <c r="T34" s="0" t="s">
        <v>34</v>
      </c>
      <c r="U34" s="0" t="s">
        <v>34</v>
      </c>
      <c r="V34" s="0" t="s">
        <v>34</v>
      </c>
      <c r="W34" s="0" t="s">
        <v>34</v>
      </c>
      <c r="X34" s="0" t="s">
        <v>34</v>
      </c>
      <c r="Y34" s="0" t="s">
        <v>34</v>
      </c>
      <c r="Z34" s="0" t="s">
        <v>43</v>
      </c>
      <c r="AA34" s="0" t="s">
        <v>34</v>
      </c>
      <c r="AB34" s="0" t="s">
        <v>34</v>
      </c>
      <c r="AC34" s="0" t="s">
        <v>34</v>
      </c>
      <c r="AD34" s="0">
        <f>IF($AC34="","NEW","Live")</f>
      </c>
      <c r="AE34" s="8" t="s">
        <v>1175</v>
      </c>
      <c r="AF34" s="0" t="s">
        <v>936</v>
      </c>
      <c r="AG34" s="8" t="s">
        <v>1176</v>
      </c>
      <c r="AH34" s="0" t="s">
        <v>983</v>
      </c>
      <c r="AI34" s="0" t="s">
        <v>910</v>
      </c>
    </row>
    <row r="35">
      <c r="A35" s="0" t="s">
        <v>1177</v>
      </c>
      <c r="B35" s="0">
        <v>1</v>
      </c>
      <c r="C35" s="0" t="s">
        <v>62</v>
      </c>
      <c r="D35" s="0" t="s">
        <v>34</v>
      </c>
      <c r="E35" s="0" t="s">
        <v>34</v>
      </c>
      <c r="F35" s="0" t="s">
        <v>34</v>
      </c>
      <c r="G35" s="8" t="s">
        <v>1178</v>
      </c>
      <c r="H35" s="0" t="s">
        <v>36</v>
      </c>
      <c r="I35" s="0">
        <v>0</v>
      </c>
      <c r="J35" s="0">
        <v>0</v>
      </c>
      <c r="K35" s="0" t="s">
        <v>1179</v>
      </c>
      <c r="L35" s="0" t="s">
        <v>257</v>
      </c>
      <c r="M35" s="0" t="s">
        <v>124</v>
      </c>
      <c r="N35" s="0" t="s">
        <v>139</v>
      </c>
      <c r="O35" s="0" t="s">
        <v>34</v>
      </c>
      <c r="P35" s="0" t="s">
        <v>34</v>
      </c>
      <c r="Q35" s="0" t="s">
        <v>34</v>
      </c>
      <c r="R35" s="0" t="s">
        <v>34</v>
      </c>
      <c r="S35" s="0" t="s">
        <v>34</v>
      </c>
      <c r="T35" s="0" t="s">
        <v>34</v>
      </c>
      <c r="U35" s="0" t="s">
        <v>34</v>
      </c>
      <c r="V35" s="0" t="s">
        <v>34</v>
      </c>
      <c r="W35" s="0" t="s">
        <v>34</v>
      </c>
      <c r="X35" s="0" t="s">
        <v>34</v>
      </c>
      <c r="Y35" s="0" t="s">
        <v>34</v>
      </c>
      <c r="Z35" s="0" t="s">
        <v>43</v>
      </c>
      <c r="AA35" s="0" t="s">
        <v>34</v>
      </c>
      <c r="AB35" s="0" t="s">
        <v>34</v>
      </c>
      <c r="AC35" s="0" t="s">
        <v>34</v>
      </c>
      <c r="AD35" s="0">
        <f>IF($AC35="","NEW","Live")</f>
      </c>
      <c r="AE35" s="8" t="s">
        <v>34</v>
      </c>
      <c r="AF35" s="0" t="s">
        <v>915</v>
      </c>
      <c r="AG35" s="8" t="s">
        <v>1180</v>
      </c>
      <c r="AH35" s="0" t="s">
        <v>1032</v>
      </c>
      <c r="AI35" s="0" t="s">
        <v>889</v>
      </c>
    </row>
    <row r="36">
      <c r="A36" s="0" t="s">
        <v>1181</v>
      </c>
      <c r="B36" s="0">
        <v>2</v>
      </c>
      <c r="C36" s="0" t="s">
        <v>62</v>
      </c>
      <c r="D36" s="0" t="s">
        <v>34</v>
      </c>
      <c r="E36" s="0" t="s">
        <v>34</v>
      </c>
      <c r="F36" s="0" t="s">
        <v>34</v>
      </c>
      <c r="G36" s="8" t="s">
        <v>1182</v>
      </c>
      <c r="H36" s="0" t="s">
        <v>36</v>
      </c>
      <c r="I36" s="0">
        <v>0</v>
      </c>
      <c r="J36" s="0">
        <v>0</v>
      </c>
      <c r="K36" s="0" t="s">
        <v>1183</v>
      </c>
      <c r="L36" s="0" t="s">
        <v>257</v>
      </c>
      <c r="M36" s="0" t="s">
        <v>124</v>
      </c>
      <c r="N36" s="0" t="s">
        <v>139</v>
      </c>
      <c r="O36" s="0" t="s">
        <v>34</v>
      </c>
      <c r="P36" s="0" t="s">
        <v>34</v>
      </c>
      <c r="Q36" s="0" t="s">
        <v>34</v>
      </c>
      <c r="R36" s="0" t="s">
        <v>34</v>
      </c>
      <c r="S36" s="0" t="s">
        <v>34</v>
      </c>
      <c r="T36" s="0" t="s">
        <v>34</v>
      </c>
      <c r="U36" s="0" t="s">
        <v>34</v>
      </c>
      <c r="V36" s="0" t="s">
        <v>34</v>
      </c>
      <c r="W36" s="0" t="s">
        <v>34</v>
      </c>
      <c r="X36" s="0" t="s">
        <v>34</v>
      </c>
      <c r="Y36" s="0" t="s">
        <v>34</v>
      </c>
      <c r="Z36" s="0" t="s">
        <v>43</v>
      </c>
      <c r="AA36" s="0" t="s">
        <v>34</v>
      </c>
      <c r="AB36" s="0" t="s">
        <v>34</v>
      </c>
      <c r="AC36" s="0" t="s">
        <v>34</v>
      </c>
      <c r="AD36" s="0">
        <f>IF($AC36="","NEW","Live")</f>
      </c>
      <c r="AE36" s="8" t="s">
        <v>34</v>
      </c>
      <c r="AF36" s="0" t="s">
        <v>936</v>
      </c>
      <c r="AG36" s="8" t="s">
        <v>1184</v>
      </c>
      <c r="AH36" s="0" t="s">
        <v>1185</v>
      </c>
      <c r="AI36" s="0" t="s">
        <v>889</v>
      </c>
    </row>
    <row r="37">
      <c r="A37" s="0" t="s">
        <v>1186</v>
      </c>
      <c r="B37" s="0">
        <v>2</v>
      </c>
      <c r="C37" s="0" t="s">
        <v>985</v>
      </c>
      <c r="D37" s="0" t="s">
        <v>34</v>
      </c>
      <c r="E37" s="0" t="s">
        <v>34</v>
      </c>
      <c r="F37" s="0" t="s">
        <v>34</v>
      </c>
      <c r="G37" s="8" t="s">
        <v>1187</v>
      </c>
      <c r="H37" s="0" t="s">
        <v>101</v>
      </c>
      <c r="I37" s="0">
        <v>1</v>
      </c>
      <c r="J37" s="0">
        <v>3</v>
      </c>
      <c r="K37" s="0" t="s">
        <v>1186</v>
      </c>
      <c r="L37" s="0" t="s">
        <v>257</v>
      </c>
      <c r="M37" s="0" t="s">
        <v>258</v>
      </c>
      <c r="N37" s="0" t="s">
        <v>139</v>
      </c>
      <c r="O37" s="0" t="s">
        <v>34</v>
      </c>
      <c r="P37" s="0" t="s">
        <v>34</v>
      </c>
      <c r="Q37" s="0" t="s">
        <v>34</v>
      </c>
      <c r="R37" s="0" t="s">
        <v>34</v>
      </c>
      <c r="S37" s="0" t="s">
        <v>34</v>
      </c>
      <c r="T37" s="0" t="s">
        <v>34</v>
      </c>
      <c r="U37" s="0" t="s">
        <v>34</v>
      </c>
      <c r="V37" s="0" t="s">
        <v>34</v>
      </c>
      <c r="W37" s="0" t="s">
        <v>34</v>
      </c>
      <c r="X37" s="0" t="s">
        <v>34</v>
      </c>
      <c r="Y37" s="0" t="s">
        <v>34</v>
      </c>
      <c r="Z37" s="0" t="s">
        <v>43</v>
      </c>
      <c r="AA37" s="0" t="s">
        <v>34</v>
      </c>
      <c r="AB37" s="0" t="s">
        <v>34</v>
      </c>
      <c r="AC37" s="0" t="s">
        <v>34</v>
      </c>
      <c r="AD37" s="0">
        <f>IF($AC37="","NEW","Live")</f>
      </c>
      <c r="AE37" s="8" t="s">
        <v>34</v>
      </c>
      <c r="AF37" s="0" t="s">
        <v>926</v>
      </c>
      <c r="AG37" s="8" t="s">
        <v>1188</v>
      </c>
      <c r="AH37" s="0" t="s">
        <v>1189</v>
      </c>
      <c r="AI37" s="0" t="s">
        <v>910</v>
      </c>
    </row>
    <row r="38">
      <c r="A38" s="0" t="s">
        <v>352</v>
      </c>
      <c r="B38" s="0">
        <v>2</v>
      </c>
      <c r="C38" s="0" t="s">
        <v>62</v>
      </c>
      <c r="D38" s="0" t="s">
        <v>34</v>
      </c>
      <c r="E38" s="0" t="s">
        <v>34</v>
      </c>
      <c r="F38" s="0" t="s">
        <v>34</v>
      </c>
      <c r="G38" s="8" t="s">
        <v>1190</v>
      </c>
      <c r="H38" s="0" t="s">
        <v>101</v>
      </c>
      <c r="I38" s="0">
        <v>1</v>
      </c>
      <c r="J38" s="0">
        <v>3</v>
      </c>
      <c r="K38" s="0" t="s">
        <v>355</v>
      </c>
      <c r="L38" s="0" t="s">
        <v>257</v>
      </c>
      <c r="M38" s="0" t="s">
        <v>199</v>
      </c>
      <c r="N38" s="0" t="s">
        <v>39</v>
      </c>
      <c r="O38" s="0" t="s">
        <v>34</v>
      </c>
      <c r="P38" s="0" t="s">
        <v>34</v>
      </c>
      <c r="Q38" s="0" t="s">
        <v>34</v>
      </c>
      <c r="R38" s="0" t="s">
        <v>34</v>
      </c>
      <c r="S38" s="0" t="s">
        <v>34</v>
      </c>
      <c r="T38" s="0" t="s">
        <v>34</v>
      </c>
      <c r="U38" s="0" t="s">
        <v>34</v>
      </c>
      <c r="V38" s="0" t="s">
        <v>34</v>
      </c>
      <c r="W38" s="0" t="s">
        <v>34</v>
      </c>
      <c r="X38" s="0" t="s">
        <v>34</v>
      </c>
      <c r="Y38" s="0" t="s">
        <v>34</v>
      </c>
      <c r="Z38" s="0" t="s">
        <v>43</v>
      </c>
      <c r="AA38" s="0" t="s">
        <v>34</v>
      </c>
      <c r="AB38" s="0" t="s">
        <v>34</v>
      </c>
      <c r="AC38" s="0" t="s">
        <v>34</v>
      </c>
      <c r="AD38" s="0">
        <f>IF($AC38="","NEW","Live")</f>
      </c>
      <c r="AE38" s="8" t="s">
        <v>1191</v>
      </c>
      <c r="AF38" s="0" t="s">
        <v>936</v>
      </c>
      <c r="AG38" s="8" t="s">
        <v>1192</v>
      </c>
      <c r="AH38" s="0" t="s">
        <v>1193</v>
      </c>
      <c r="AI38" s="0" t="s">
        <v>884</v>
      </c>
    </row>
    <row r="39">
      <c r="A39" s="0" t="s">
        <v>1194</v>
      </c>
      <c r="B39" s="0">
        <v>1</v>
      </c>
      <c r="C39" s="0" t="s">
        <v>32</v>
      </c>
      <c r="D39" s="0" t="s">
        <v>34</v>
      </c>
      <c r="E39" s="0" t="s">
        <v>34</v>
      </c>
      <c r="F39" s="0" t="s">
        <v>34</v>
      </c>
      <c r="G39" s="8" t="s">
        <v>1195</v>
      </c>
      <c r="H39" s="0" t="s">
        <v>101</v>
      </c>
      <c r="I39" s="0">
        <v>1</v>
      </c>
      <c r="J39" s="0">
        <v>3</v>
      </c>
      <c r="K39" s="0" t="s">
        <v>1196</v>
      </c>
      <c r="L39" s="0" t="s">
        <v>257</v>
      </c>
      <c r="M39" s="0" t="s">
        <v>285</v>
      </c>
      <c r="N39" s="0" t="s">
        <v>350</v>
      </c>
      <c r="O39" s="0" t="s">
        <v>34</v>
      </c>
      <c r="P39" s="0" t="s">
        <v>34</v>
      </c>
      <c r="Q39" s="0" t="s">
        <v>34</v>
      </c>
      <c r="R39" s="0" t="s">
        <v>34</v>
      </c>
      <c r="S39" s="0" t="s">
        <v>34</v>
      </c>
      <c r="T39" s="0" t="s">
        <v>34</v>
      </c>
      <c r="U39" s="0" t="s">
        <v>34</v>
      </c>
      <c r="V39" s="0" t="s">
        <v>34</v>
      </c>
      <c r="W39" s="0" t="s">
        <v>34</v>
      </c>
      <c r="X39" s="0" t="s">
        <v>34</v>
      </c>
      <c r="Y39" s="0" t="s">
        <v>34</v>
      </c>
      <c r="Z39" s="0" t="s">
        <v>43</v>
      </c>
      <c r="AA39" s="0" t="s">
        <v>34</v>
      </c>
      <c r="AB39" s="0" t="s">
        <v>34</v>
      </c>
      <c r="AC39" s="0" t="s">
        <v>34</v>
      </c>
      <c r="AD39" s="0">
        <f>IF($AC39="","NEW","Live")</f>
      </c>
      <c r="AE39" s="8" t="s">
        <v>1197</v>
      </c>
      <c r="AF39" s="0" t="s">
        <v>915</v>
      </c>
      <c r="AG39" s="8" t="s">
        <v>1198</v>
      </c>
      <c r="AH39" s="0" t="s">
        <v>983</v>
      </c>
      <c r="AI39" s="0" t="s">
        <v>884</v>
      </c>
    </row>
    <row r="40">
      <c r="A40" s="0" t="s">
        <v>1199</v>
      </c>
      <c r="B40" s="0">
        <v>1</v>
      </c>
      <c r="C40" s="0" t="s">
        <v>32</v>
      </c>
      <c r="D40" s="0" t="s">
        <v>1200</v>
      </c>
      <c r="E40" s="0" t="s">
        <v>34</v>
      </c>
      <c r="F40" s="0" t="s">
        <v>34</v>
      </c>
      <c r="G40" s="8" t="s">
        <v>1201</v>
      </c>
      <c r="H40" s="0" t="s">
        <v>36</v>
      </c>
      <c r="I40" s="0">
        <v>0</v>
      </c>
      <c r="J40" s="0">
        <v>0</v>
      </c>
      <c r="K40" s="0" t="s">
        <v>1202</v>
      </c>
      <c r="L40" s="0" t="s">
        <v>257</v>
      </c>
      <c r="M40" s="0" t="s">
        <v>124</v>
      </c>
      <c r="N40" s="0" t="s">
        <v>139</v>
      </c>
      <c r="O40" s="0" t="s">
        <v>40</v>
      </c>
      <c r="P40" s="0" t="s">
        <v>41</v>
      </c>
      <c r="Q40" s="0" t="s">
        <v>34</v>
      </c>
      <c r="R40" s="0" t="s">
        <v>34</v>
      </c>
      <c r="S40" s="0" t="s">
        <v>34</v>
      </c>
      <c r="T40" s="0" t="s">
        <v>34</v>
      </c>
      <c r="U40" s="0" t="s">
        <v>34</v>
      </c>
      <c r="V40" s="0" t="s">
        <v>34</v>
      </c>
      <c r="W40" s="0" t="s">
        <v>34</v>
      </c>
      <c r="X40" s="0" t="s">
        <v>34</v>
      </c>
      <c r="Y40" s="0" t="s">
        <v>34</v>
      </c>
      <c r="Z40" s="0" t="s">
        <v>43</v>
      </c>
      <c r="AA40" s="0" t="s">
        <v>34</v>
      </c>
      <c r="AB40" s="0" t="s">
        <v>34</v>
      </c>
      <c r="AC40" s="0" t="s">
        <v>34</v>
      </c>
      <c r="AD40" s="0">
        <f>IF($AC40="","NEW","Live")</f>
      </c>
      <c r="AE40" s="8" t="s">
        <v>1203</v>
      </c>
      <c r="AF40" s="0" t="s">
        <v>882</v>
      </c>
      <c r="AG40" s="8" t="s">
        <v>34</v>
      </c>
      <c r="AH40" s="0" t="s">
        <v>904</v>
      </c>
      <c r="AI40" s="0" t="s">
        <v>884</v>
      </c>
    </row>
    <row r="41">
      <c r="A41" s="0" t="s">
        <v>1204</v>
      </c>
      <c r="B41" s="0">
        <v>0</v>
      </c>
      <c r="C41" s="0" t="s">
        <v>62</v>
      </c>
      <c r="D41" s="0" t="s">
        <v>34</v>
      </c>
      <c r="E41" s="0" t="s">
        <v>34</v>
      </c>
      <c r="F41" s="0" t="s">
        <v>34</v>
      </c>
      <c r="G41" s="8" t="s">
        <v>1205</v>
      </c>
      <c r="H41" s="0" t="s">
        <v>36</v>
      </c>
      <c r="I41" s="0">
        <v>0</v>
      </c>
      <c r="J41" s="0">
        <v>0</v>
      </c>
      <c r="K41" s="0" t="s">
        <v>1204</v>
      </c>
      <c r="L41" s="0" t="s">
        <v>257</v>
      </c>
      <c r="M41" s="0" t="s">
        <v>124</v>
      </c>
      <c r="N41" s="0" t="s">
        <v>139</v>
      </c>
      <c r="O41" s="0" t="s">
        <v>34</v>
      </c>
      <c r="P41" s="0" t="s">
        <v>34</v>
      </c>
      <c r="Q41" s="0" t="s">
        <v>34</v>
      </c>
      <c r="R41" s="0" t="s">
        <v>34</v>
      </c>
      <c r="S41" s="0" t="s">
        <v>34</v>
      </c>
      <c r="T41" s="0" t="s">
        <v>34</v>
      </c>
      <c r="U41" s="0" t="s">
        <v>34</v>
      </c>
      <c r="V41" s="0" t="s">
        <v>34</v>
      </c>
      <c r="W41" s="0" t="s">
        <v>34</v>
      </c>
      <c r="X41" s="0" t="s">
        <v>34</v>
      </c>
      <c r="Y41" s="0" t="s">
        <v>34</v>
      </c>
      <c r="Z41" s="0" t="s">
        <v>43</v>
      </c>
      <c r="AA41" s="0" t="s">
        <v>34</v>
      </c>
      <c r="AB41" s="0" t="s">
        <v>34</v>
      </c>
      <c r="AC41" s="0" t="s">
        <v>34</v>
      </c>
      <c r="AD41" s="0">
        <f>IF($AC41="","NEW","Live")</f>
      </c>
      <c r="AE41" s="8" t="s">
        <v>34</v>
      </c>
      <c r="AF41" s="0" t="s">
        <v>915</v>
      </c>
      <c r="AG41" s="8" t="s">
        <v>1206</v>
      </c>
      <c r="AH41" s="0" t="s">
        <v>1207</v>
      </c>
      <c r="AI41" s="0" t="s">
        <v>889</v>
      </c>
    </row>
    <row r="42">
      <c r="A42" s="0" t="s">
        <v>1208</v>
      </c>
      <c r="B42" s="0">
        <v>3</v>
      </c>
      <c r="C42" s="0" t="s">
        <v>985</v>
      </c>
      <c r="D42" s="0" t="s">
        <v>1013</v>
      </c>
      <c r="E42" s="0" t="s">
        <v>34</v>
      </c>
      <c r="F42" s="0" t="s">
        <v>34</v>
      </c>
      <c r="G42" s="8" t="s">
        <v>1209</v>
      </c>
      <c r="H42" s="0" t="s">
        <v>101</v>
      </c>
      <c r="I42" s="0">
        <v>1</v>
      </c>
      <c r="J42" s="0">
        <v>4</v>
      </c>
      <c r="K42" s="0" t="s">
        <v>1208</v>
      </c>
      <c r="L42" s="0" t="s">
        <v>257</v>
      </c>
      <c r="M42" s="0" t="s">
        <v>285</v>
      </c>
      <c r="N42" s="0" t="s">
        <v>1079</v>
      </c>
      <c r="O42" s="0" t="s">
        <v>102</v>
      </c>
      <c r="P42" s="0" t="s">
        <v>1094</v>
      </c>
      <c r="Q42" s="0" t="s">
        <v>34</v>
      </c>
      <c r="R42" s="0" t="s">
        <v>34</v>
      </c>
      <c r="S42" s="0" t="s">
        <v>34</v>
      </c>
      <c r="T42" s="0" t="s">
        <v>34</v>
      </c>
      <c r="U42" s="0" t="s">
        <v>34</v>
      </c>
      <c r="V42" s="0" t="s">
        <v>34</v>
      </c>
      <c r="W42" s="0" t="s">
        <v>34</v>
      </c>
      <c r="X42" s="0" t="s">
        <v>34</v>
      </c>
      <c r="Y42" s="0" t="s">
        <v>34</v>
      </c>
      <c r="Z42" s="0" t="s">
        <v>43</v>
      </c>
      <c r="AA42" s="0" t="s">
        <v>34</v>
      </c>
      <c r="AB42" s="0" t="s">
        <v>34</v>
      </c>
      <c r="AC42" s="0" t="s">
        <v>34</v>
      </c>
      <c r="AD42" s="0">
        <f>IF($AC42="","NEW","Live")</f>
      </c>
      <c r="AE42" s="8" t="s">
        <v>34</v>
      </c>
      <c r="AF42" s="0" t="s">
        <v>882</v>
      </c>
      <c r="AG42" s="8" t="s">
        <v>34</v>
      </c>
      <c r="AH42" s="0" t="s">
        <v>983</v>
      </c>
      <c r="AI42" s="0" t="s">
        <v>889</v>
      </c>
    </row>
    <row r="43">
      <c r="A43" s="0" t="s">
        <v>1210</v>
      </c>
      <c r="B43" s="0">
        <v>3</v>
      </c>
      <c r="C43" s="0" t="s">
        <v>985</v>
      </c>
      <c r="D43" s="0" t="s">
        <v>1211</v>
      </c>
      <c r="E43" s="0" t="s">
        <v>34</v>
      </c>
      <c r="F43" s="0" t="s">
        <v>34</v>
      </c>
      <c r="G43" s="8" t="s">
        <v>1212</v>
      </c>
      <c r="H43" s="0" t="s">
        <v>101</v>
      </c>
      <c r="I43" s="0">
        <v>1</v>
      </c>
      <c r="J43" s="0">
        <v>4</v>
      </c>
      <c r="K43" s="0" t="s">
        <v>1210</v>
      </c>
      <c r="L43" s="0" t="s">
        <v>257</v>
      </c>
      <c r="M43" s="0" t="s">
        <v>285</v>
      </c>
      <c r="N43" s="0" t="s">
        <v>1079</v>
      </c>
      <c r="O43" s="0" t="s">
        <v>102</v>
      </c>
      <c r="P43" s="0" t="s">
        <v>41</v>
      </c>
      <c r="Q43" s="0" t="s">
        <v>34</v>
      </c>
      <c r="R43" s="0" t="s">
        <v>34</v>
      </c>
      <c r="S43" s="0" t="s">
        <v>34</v>
      </c>
      <c r="T43" s="0" t="s">
        <v>34</v>
      </c>
      <c r="U43" s="0" t="s">
        <v>34</v>
      </c>
      <c r="V43" s="0" t="s">
        <v>34</v>
      </c>
      <c r="W43" s="0" t="s">
        <v>34</v>
      </c>
      <c r="X43" s="0" t="s">
        <v>34</v>
      </c>
      <c r="Y43" s="0" t="s">
        <v>34</v>
      </c>
      <c r="Z43" s="0" t="s">
        <v>43</v>
      </c>
      <c r="AA43" s="0" t="s">
        <v>34</v>
      </c>
      <c r="AB43" s="0" t="s">
        <v>34</v>
      </c>
      <c r="AC43" s="0" t="s">
        <v>34</v>
      </c>
      <c r="AD43" s="0">
        <f>IF($AC43="","NEW","Live")</f>
      </c>
      <c r="AE43" s="8" t="s">
        <v>34</v>
      </c>
      <c r="AF43" s="0" t="s">
        <v>882</v>
      </c>
      <c r="AG43" s="8" t="s">
        <v>34</v>
      </c>
      <c r="AH43" s="0" t="s">
        <v>34</v>
      </c>
      <c r="AI43" s="0" t="s">
        <v>910</v>
      </c>
    </row>
    <row r="44">
      <c r="A44" s="0" t="s">
        <v>1213</v>
      </c>
      <c r="B44" s="0">
        <v>3</v>
      </c>
      <c r="C44" s="0" t="s">
        <v>62</v>
      </c>
      <c r="D44" s="0" t="s">
        <v>489</v>
      </c>
      <c r="E44" s="0" t="s">
        <v>34</v>
      </c>
      <c r="F44" s="0" t="s">
        <v>34</v>
      </c>
      <c r="G44" s="8" t="s">
        <v>1214</v>
      </c>
      <c r="H44" s="0" t="s">
        <v>36</v>
      </c>
      <c r="I44" s="0">
        <v>0</v>
      </c>
      <c r="J44" s="0">
        <v>0</v>
      </c>
      <c r="K44" s="0" t="s">
        <v>1215</v>
      </c>
      <c r="L44" s="0" t="s">
        <v>257</v>
      </c>
      <c r="M44" s="0" t="s">
        <v>133</v>
      </c>
      <c r="N44" s="0" t="s">
        <v>454</v>
      </c>
      <c r="O44" s="0" t="s">
        <v>40</v>
      </c>
      <c r="P44" s="0" t="s">
        <v>87</v>
      </c>
      <c r="Q44" s="0" t="s">
        <v>34</v>
      </c>
      <c r="R44" s="0" t="s">
        <v>34</v>
      </c>
      <c r="S44" s="0" t="s">
        <v>34</v>
      </c>
      <c r="T44" s="0" t="s">
        <v>34</v>
      </c>
      <c r="U44" s="0" t="s">
        <v>34</v>
      </c>
      <c r="V44" s="0" t="s">
        <v>34</v>
      </c>
      <c r="W44" s="0" t="s">
        <v>34</v>
      </c>
      <c r="X44" s="0" t="s">
        <v>34</v>
      </c>
      <c r="Y44" s="0" t="s">
        <v>34</v>
      </c>
      <c r="Z44" s="0" t="s">
        <v>43</v>
      </c>
      <c r="AA44" s="0" t="s">
        <v>34</v>
      </c>
      <c r="AB44" s="0" t="s">
        <v>34</v>
      </c>
      <c r="AC44" s="0" t="s">
        <v>34</v>
      </c>
      <c r="AD44" s="0">
        <f>IF($AC44="","NEW","Live")</f>
      </c>
      <c r="AE44" s="8" t="s">
        <v>34</v>
      </c>
      <c r="AF44" s="0" t="s">
        <v>882</v>
      </c>
      <c r="AG44" s="8" t="s">
        <v>34</v>
      </c>
      <c r="AH44" s="0" t="s">
        <v>983</v>
      </c>
      <c r="AI44" s="0" t="s">
        <v>889</v>
      </c>
    </row>
    <row r="45">
      <c r="A45" s="0" t="s">
        <v>1216</v>
      </c>
      <c r="B45" s="0">
        <v>3</v>
      </c>
      <c r="C45" s="0" t="s">
        <v>62</v>
      </c>
      <c r="D45" s="0" t="s">
        <v>34</v>
      </c>
      <c r="E45" s="0" t="s">
        <v>34</v>
      </c>
      <c r="F45" s="0" t="s">
        <v>34</v>
      </c>
      <c r="G45" s="8" t="s">
        <v>1217</v>
      </c>
      <c r="H45" s="0" t="s">
        <v>101</v>
      </c>
      <c r="I45" s="0">
        <v>1</v>
      </c>
      <c r="J45" s="0">
        <v>2</v>
      </c>
      <c r="K45" s="0" t="s">
        <v>1218</v>
      </c>
      <c r="L45" s="0" t="s">
        <v>257</v>
      </c>
      <c r="M45" s="0" t="s">
        <v>199</v>
      </c>
      <c r="N45" s="0" t="s">
        <v>199</v>
      </c>
      <c r="O45" s="0" t="s">
        <v>34</v>
      </c>
      <c r="P45" s="0" t="s">
        <v>34</v>
      </c>
      <c r="Q45" s="0" t="s">
        <v>34</v>
      </c>
      <c r="R45" s="0" t="s">
        <v>34</v>
      </c>
      <c r="S45" s="0" t="s">
        <v>34</v>
      </c>
      <c r="T45" s="0" t="s">
        <v>34</v>
      </c>
      <c r="U45" s="0" t="s">
        <v>34</v>
      </c>
      <c r="V45" s="0" t="s">
        <v>34</v>
      </c>
      <c r="W45" s="0" t="s">
        <v>34</v>
      </c>
      <c r="X45" s="0" t="s">
        <v>34</v>
      </c>
      <c r="Y45" s="0" t="s">
        <v>34</v>
      </c>
      <c r="Z45" s="0" t="s">
        <v>43</v>
      </c>
      <c r="AA45" s="0" t="s">
        <v>34</v>
      </c>
      <c r="AB45" s="0" t="s">
        <v>34</v>
      </c>
      <c r="AC45" s="0" t="s">
        <v>34</v>
      </c>
      <c r="AD45" s="0">
        <f>IF($AC45="","NEW","Live")</f>
      </c>
      <c r="AE45" s="8" t="s">
        <v>1219</v>
      </c>
      <c r="AF45" s="0" t="s">
        <v>936</v>
      </c>
      <c r="AG45" s="8" t="s">
        <v>1220</v>
      </c>
      <c r="AH45" s="0" t="s">
        <v>983</v>
      </c>
      <c r="AI45" s="0" t="s">
        <v>884</v>
      </c>
    </row>
    <row r="46">
      <c r="A46" s="0" t="s">
        <v>1221</v>
      </c>
      <c r="B46" s="0">
        <v>3</v>
      </c>
      <c r="C46" s="0" t="s">
        <v>985</v>
      </c>
      <c r="D46" s="0" t="s">
        <v>265</v>
      </c>
      <c r="E46" s="0" t="s">
        <v>34</v>
      </c>
      <c r="F46" s="0" t="s">
        <v>34</v>
      </c>
      <c r="G46" s="8" t="s">
        <v>1222</v>
      </c>
      <c r="H46" s="0" t="s">
        <v>101</v>
      </c>
      <c r="I46" s="0">
        <v>1</v>
      </c>
      <c r="J46" s="0">
        <v>4</v>
      </c>
      <c r="K46" s="0" t="s">
        <v>1223</v>
      </c>
      <c r="L46" s="0" t="s">
        <v>257</v>
      </c>
      <c r="M46" s="0" t="s">
        <v>258</v>
      </c>
      <c r="N46" s="0" t="s">
        <v>139</v>
      </c>
      <c r="O46" s="0" t="s">
        <v>102</v>
      </c>
      <c r="P46" s="0" t="s">
        <v>87</v>
      </c>
      <c r="Q46" s="0" t="s">
        <v>34</v>
      </c>
      <c r="R46" s="0" t="s">
        <v>34</v>
      </c>
      <c r="S46" s="0" t="s">
        <v>34</v>
      </c>
      <c r="T46" s="0" t="s">
        <v>34</v>
      </c>
      <c r="U46" s="0" t="s">
        <v>34</v>
      </c>
      <c r="V46" s="0" t="s">
        <v>34</v>
      </c>
      <c r="W46" s="0" t="s">
        <v>34</v>
      </c>
      <c r="X46" s="0" t="s">
        <v>34</v>
      </c>
      <c r="Y46" s="0" t="s">
        <v>34</v>
      </c>
      <c r="Z46" s="0" t="s">
        <v>43</v>
      </c>
      <c r="AA46" s="0" t="s">
        <v>34</v>
      </c>
      <c r="AB46" s="0" t="s">
        <v>34</v>
      </c>
      <c r="AC46" s="0" t="s">
        <v>34</v>
      </c>
      <c r="AD46" s="0">
        <f>IF($AC46="","NEW","Live")</f>
      </c>
      <c r="AE46" s="8" t="s">
        <v>34</v>
      </c>
      <c r="AF46" s="0" t="s">
        <v>882</v>
      </c>
      <c r="AG46" s="8" t="s">
        <v>34</v>
      </c>
      <c r="AH46" s="0" t="s">
        <v>34</v>
      </c>
      <c r="AI46" s="0" t="s">
        <v>889</v>
      </c>
    </row>
    <row r="47">
      <c r="A47" s="0" t="s">
        <v>1224</v>
      </c>
      <c r="B47" s="0">
        <v>2</v>
      </c>
      <c r="C47" s="0" t="s">
        <v>32</v>
      </c>
      <c r="D47" s="0" t="s">
        <v>230</v>
      </c>
      <c r="E47" s="0" t="s">
        <v>34</v>
      </c>
      <c r="F47" s="0" t="s">
        <v>34</v>
      </c>
      <c r="G47" s="8" t="s">
        <v>1225</v>
      </c>
      <c r="H47" s="0" t="s">
        <v>101</v>
      </c>
      <c r="I47" s="0">
        <v>1</v>
      </c>
      <c r="J47" s="0">
        <v>3</v>
      </c>
      <c r="K47" s="0" t="s">
        <v>1226</v>
      </c>
      <c r="L47" s="0" t="s">
        <v>257</v>
      </c>
      <c r="M47" s="0" t="s">
        <v>199</v>
      </c>
      <c r="N47" s="0" t="s">
        <v>1227</v>
      </c>
      <c r="O47" s="0" t="s">
        <v>102</v>
      </c>
      <c r="P47" s="0" t="s">
        <v>41</v>
      </c>
      <c r="Q47" s="0" t="s">
        <v>34</v>
      </c>
      <c r="R47" s="0" t="s">
        <v>34</v>
      </c>
      <c r="S47" s="0" t="s">
        <v>34</v>
      </c>
      <c r="T47" s="0" t="s">
        <v>34</v>
      </c>
      <c r="U47" s="0" t="s">
        <v>34</v>
      </c>
      <c r="V47" s="0" t="s">
        <v>34</v>
      </c>
      <c r="W47" s="0" t="s">
        <v>34</v>
      </c>
      <c r="X47" s="0" t="s">
        <v>34</v>
      </c>
      <c r="Y47" s="0" t="s">
        <v>34</v>
      </c>
      <c r="Z47" s="0" t="s">
        <v>43</v>
      </c>
      <c r="AA47" s="0" t="s">
        <v>34</v>
      </c>
      <c r="AB47" s="0" t="s">
        <v>34</v>
      </c>
      <c r="AC47" s="0" t="s">
        <v>34</v>
      </c>
      <c r="AD47" s="0">
        <f>IF($AC47="","NEW","Live")</f>
      </c>
      <c r="AE47" s="8" t="s">
        <v>1228</v>
      </c>
      <c r="AF47" s="0" t="s">
        <v>882</v>
      </c>
      <c r="AG47" s="8" t="s">
        <v>34</v>
      </c>
      <c r="AH47" s="0" t="s">
        <v>34</v>
      </c>
      <c r="AI47" s="0" t="s">
        <v>889</v>
      </c>
    </row>
    <row r="48">
      <c r="A48" s="0" t="s">
        <v>1229</v>
      </c>
      <c r="B48" s="0">
        <v>2</v>
      </c>
      <c r="C48" s="0" t="s">
        <v>32</v>
      </c>
      <c r="D48" s="0" t="s">
        <v>131</v>
      </c>
      <c r="E48" s="0" t="s">
        <v>34</v>
      </c>
      <c r="F48" s="0" t="s">
        <v>34</v>
      </c>
      <c r="G48" s="8" t="s">
        <v>1230</v>
      </c>
      <c r="H48" s="0" t="s">
        <v>101</v>
      </c>
      <c r="I48" s="0">
        <v>1</v>
      </c>
      <c r="J48" s="0">
        <v>3</v>
      </c>
      <c r="K48" s="0" t="s">
        <v>1231</v>
      </c>
      <c r="L48" s="0" t="s">
        <v>257</v>
      </c>
      <c r="M48" s="0" t="s">
        <v>133</v>
      </c>
      <c r="N48" s="0" t="s">
        <v>454</v>
      </c>
      <c r="O48" s="0" t="s">
        <v>102</v>
      </c>
      <c r="P48" s="0" t="s">
        <v>87</v>
      </c>
      <c r="Q48" s="0" t="s">
        <v>34</v>
      </c>
      <c r="R48" s="0" t="s">
        <v>34</v>
      </c>
      <c r="S48" s="0" t="s">
        <v>34</v>
      </c>
      <c r="T48" s="0" t="s">
        <v>34</v>
      </c>
      <c r="U48" s="0" t="s">
        <v>34</v>
      </c>
      <c r="V48" s="0" t="s">
        <v>34</v>
      </c>
      <c r="W48" s="0" t="s">
        <v>34</v>
      </c>
      <c r="X48" s="0" t="s">
        <v>34</v>
      </c>
      <c r="Y48" s="0" t="s">
        <v>34</v>
      </c>
      <c r="Z48" s="0" t="s">
        <v>43</v>
      </c>
      <c r="AA48" s="0" t="s">
        <v>34</v>
      </c>
      <c r="AB48" s="0" t="s">
        <v>34</v>
      </c>
      <c r="AC48" s="0" t="s">
        <v>34</v>
      </c>
      <c r="AD48" s="0">
        <f>IF($AC48="","NEW","Live")</f>
      </c>
      <c r="AE48" s="8" t="s">
        <v>34</v>
      </c>
      <c r="AF48" s="0" t="s">
        <v>882</v>
      </c>
      <c r="AG48" s="8" t="s">
        <v>34</v>
      </c>
      <c r="AH48" s="0" t="s">
        <v>904</v>
      </c>
      <c r="AI48" s="0" t="s">
        <v>889</v>
      </c>
    </row>
    <row r="49">
      <c r="A49" s="0" t="s">
        <v>1232</v>
      </c>
      <c r="B49" s="0">
        <v>3</v>
      </c>
      <c r="C49" s="0" t="s">
        <v>985</v>
      </c>
      <c r="D49" s="0" t="s">
        <v>1233</v>
      </c>
      <c r="E49" s="0" t="s">
        <v>34</v>
      </c>
      <c r="F49" s="0" t="s">
        <v>34</v>
      </c>
      <c r="G49" s="8" t="s">
        <v>1234</v>
      </c>
      <c r="H49" s="0" t="s">
        <v>101</v>
      </c>
      <c r="I49" s="0">
        <v>1</v>
      </c>
      <c r="J49" s="0">
        <v>4</v>
      </c>
      <c r="K49" s="0" t="s">
        <v>1232</v>
      </c>
      <c r="L49" s="0" t="s">
        <v>257</v>
      </c>
      <c r="M49" s="0" t="s">
        <v>285</v>
      </c>
      <c r="N49" s="0" t="s">
        <v>139</v>
      </c>
      <c r="O49" s="0" t="s">
        <v>102</v>
      </c>
      <c r="P49" s="0" t="s">
        <v>41</v>
      </c>
      <c r="Q49" s="0" t="s">
        <v>34</v>
      </c>
      <c r="R49" s="0" t="s">
        <v>34</v>
      </c>
      <c r="S49" s="0" t="s">
        <v>34</v>
      </c>
      <c r="T49" s="0" t="s">
        <v>34</v>
      </c>
      <c r="U49" s="0" t="s">
        <v>34</v>
      </c>
      <c r="V49" s="0" t="s">
        <v>34</v>
      </c>
      <c r="W49" s="0" t="s">
        <v>34</v>
      </c>
      <c r="X49" s="0" t="s">
        <v>34</v>
      </c>
      <c r="Y49" s="0" t="s">
        <v>34</v>
      </c>
      <c r="Z49" s="0" t="s">
        <v>43</v>
      </c>
      <c r="AA49" s="0" t="s">
        <v>34</v>
      </c>
      <c r="AB49" s="0" t="s">
        <v>34</v>
      </c>
      <c r="AC49" s="0" t="s">
        <v>34</v>
      </c>
      <c r="AD49" s="0">
        <f>IF($AC49="","NEW","Live")</f>
      </c>
      <c r="AE49" s="8" t="s">
        <v>34</v>
      </c>
      <c r="AF49" s="0" t="s">
        <v>882</v>
      </c>
      <c r="AG49" s="8" t="s">
        <v>34</v>
      </c>
      <c r="AH49" s="0" t="s">
        <v>983</v>
      </c>
      <c r="AI49" s="0" t="s">
        <v>910</v>
      </c>
    </row>
    <row r="50">
      <c r="A50" s="0" t="s">
        <v>1235</v>
      </c>
      <c r="B50" s="0">
        <v>3</v>
      </c>
      <c r="C50" s="0" t="s">
        <v>62</v>
      </c>
      <c r="D50" s="0" t="s">
        <v>161</v>
      </c>
      <c r="E50" s="0" t="s">
        <v>963</v>
      </c>
      <c r="F50" s="0" t="s">
        <v>34</v>
      </c>
      <c r="G50" s="8" t="s">
        <v>1236</v>
      </c>
      <c r="H50" s="0" t="s">
        <v>101</v>
      </c>
      <c r="I50" s="0">
        <v>1</v>
      </c>
      <c r="J50" s="0">
        <v>1</v>
      </c>
      <c r="K50" s="0" t="s">
        <v>1237</v>
      </c>
      <c r="L50" s="0" t="s">
        <v>257</v>
      </c>
      <c r="M50" s="0" t="s">
        <v>285</v>
      </c>
      <c r="N50" s="0" t="s">
        <v>139</v>
      </c>
      <c r="O50" s="0" t="s">
        <v>102</v>
      </c>
      <c r="P50" s="4" t="s">
        <v>291</v>
      </c>
      <c r="Q50" s="0" t="s">
        <v>34</v>
      </c>
      <c r="R50" s="0" t="s">
        <v>102</v>
      </c>
      <c r="S50" s="4" t="s">
        <v>291</v>
      </c>
      <c r="T50" s="0" t="s">
        <v>34</v>
      </c>
      <c r="U50" s="0" t="s">
        <v>34</v>
      </c>
      <c r="V50" s="0" t="s">
        <v>34</v>
      </c>
      <c r="W50" s="0" t="s">
        <v>34</v>
      </c>
      <c r="X50" s="0" t="s">
        <v>34</v>
      </c>
      <c r="Y50" s="0" t="s">
        <v>34</v>
      </c>
      <c r="Z50" s="0" t="s">
        <v>43</v>
      </c>
      <c r="AA50" s="0" t="s">
        <v>34</v>
      </c>
      <c r="AB50" s="0" t="s">
        <v>34</v>
      </c>
      <c r="AC50" s="0" t="s">
        <v>34</v>
      </c>
      <c r="AD50" s="0">
        <f>IF($AC50="","NEW","Live")</f>
      </c>
      <c r="AE50" s="8" t="s">
        <v>34</v>
      </c>
      <c r="AF50" s="0" t="s">
        <v>882</v>
      </c>
      <c r="AG50" s="8" t="s">
        <v>34</v>
      </c>
      <c r="AH50" s="0" t="s">
        <v>983</v>
      </c>
      <c r="AI50" s="0" t="s">
        <v>889</v>
      </c>
    </row>
    <row r="51">
      <c r="A51" s="0" t="s">
        <v>1238</v>
      </c>
      <c r="B51" s="0">
        <v>3</v>
      </c>
      <c r="C51" s="0" t="s">
        <v>985</v>
      </c>
      <c r="D51" s="0" t="s">
        <v>122</v>
      </c>
      <c r="E51" s="0" t="s">
        <v>127</v>
      </c>
      <c r="F51" s="0" t="s">
        <v>1200</v>
      </c>
      <c r="G51" s="8" t="s">
        <v>1239</v>
      </c>
      <c r="H51" s="0" t="s">
        <v>36</v>
      </c>
      <c r="I51" s="0">
        <v>0</v>
      </c>
      <c r="J51" s="0">
        <v>0</v>
      </c>
      <c r="K51" s="0" t="s">
        <v>1240</v>
      </c>
      <c r="L51" s="0" t="s">
        <v>257</v>
      </c>
      <c r="M51" s="0" t="s">
        <v>124</v>
      </c>
      <c r="N51" s="0" t="s">
        <v>139</v>
      </c>
      <c r="O51" s="0" t="s">
        <v>40</v>
      </c>
      <c r="P51" s="0" t="s">
        <v>41</v>
      </c>
      <c r="Q51" s="0" t="s">
        <v>34</v>
      </c>
      <c r="R51" s="0" t="s">
        <v>40</v>
      </c>
      <c r="S51" s="0" t="s">
        <v>41</v>
      </c>
      <c r="T51" s="0" t="s">
        <v>34</v>
      </c>
      <c r="U51" s="0" t="s">
        <v>40</v>
      </c>
      <c r="V51" s="0" t="s">
        <v>41</v>
      </c>
      <c r="W51" s="0" t="s">
        <v>34</v>
      </c>
      <c r="X51" s="0" t="s">
        <v>34</v>
      </c>
      <c r="Y51" s="0" t="s">
        <v>34</v>
      </c>
      <c r="Z51" s="0" t="s">
        <v>43</v>
      </c>
      <c r="AA51" s="0" t="s">
        <v>34</v>
      </c>
      <c r="AB51" s="0" t="s">
        <v>34</v>
      </c>
      <c r="AC51" s="0" t="s">
        <v>34</v>
      </c>
      <c r="AD51" s="0">
        <f>IF($AC51="","NEW","Live")</f>
      </c>
      <c r="AE51" s="8" t="s">
        <v>34</v>
      </c>
      <c r="AF51" s="0" t="s">
        <v>882</v>
      </c>
      <c r="AG51" s="8" t="s">
        <v>34</v>
      </c>
      <c r="AH51" s="0" t="s">
        <v>34</v>
      </c>
      <c r="AI51" s="0" t="s">
        <v>889</v>
      </c>
    </row>
  </sheetData>
  <autoFilter ref="A1:AI51"/>
  <conditionalFormatting sqref="AD2:AD51">
    <cfRule priority="1" type="cellIs" operator="equal" dxfId="0">
      <formula>"NEW"</formula>
    </cfRule>
  </conditionalFormatting>
  <dataValidations count="18">
    <dataValidation type="list" sqref="L2:L251" showErrorMessage="0" allowBlank="1">
      <formula1>=list_Class</formula1>
    </dataValidation>
    <dataValidation type="list" sqref="M2:M251" showErrorMessage="0" allowBlank="1">
      <formula1>=list_Folder</formula1>
    </dataValidation>
    <dataValidation type="list" sqref="C2:C251" showErrorMessage="0" allowBlank="1">
      <formula1>=list_Rarity</formula1>
    </dataValidation>
    <dataValidation type="list" sqref="H2:H251" showErrorMessage="0" allowBlank="1">
      <formula1>=list_Shape</formula1>
    </dataValidation>
    <dataValidation type="list" sqref="O2:O251" showErrorMessage="0" allowBlank="1">
      <formula1>=list_Aim</formula1>
    </dataValidation>
    <dataValidation type="list" sqref="R2:R251" showErrorMessage="0" allowBlank="1">
      <formula1>=list_Aim</formula1>
    </dataValidation>
    <dataValidation type="list" sqref="U2:U251" showErrorMessage="0" allowBlank="1">
      <formula1>=list_Aim</formula1>
    </dataValidation>
    <dataValidation type="list" sqref="D2:D251" showErrorMessage="0" allowBlank="1">
      <formula1>=list_Effect</formula1>
    </dataValidation>
    <dataValidation type="list" sqref="E2:E251" showErrorMessage="0" allowBlank="1">
      <formula1>=list_Effect</formula1>
    </dataValidation>
    <dataValidation type="list" sqref="F2:F251" showErrorMessage="0" allowBlank="1">
      <formula1>=list_Effect</formula1>
    </dataValidation>
    <dataValidation type="list" sqref="Q2:Q251" showErrorMessage="0" allowBlank="1">
      <formula1>=list_Condition</formula1>
    </dataValidation>
    <dataValidation type="list" sqref="T2:T251" showErrorMessage="0" allowBlank="1">
      <formula1>=list_Condition</formula1>
    </dataValidation>
    <dataValidation type="list" sqref="W2:W251" showErrorMessage="0" allowBlank="1">
      <formula1>=list_Condition</formula1>
    </dataValidation>
    <dataValidation type="list" sqref="X2:X251" showErrorMessage="0" allowBlank="1">
      <formula1>=list_CostCond</formula1>
    </dataValidation>
    <dataValidation type="list" sqref="Z2:Z251" showErrorMessage="0" allowBlank="1">
      <formula1>=list_Bool</formula1>
    </dataValidation>
    <dataValidation type="list" sqref="AA2:AA251" showErrorMessage="0" allowBlank="1">
      <formula1>=list_Bool</formula1>
    </dataValidation>
    <dataValidation type="list" sqref="AF2:AF251" showErrorMessage="0" allowBlank="1">
      <formula1>=list_Buildable</formula1>
    </dataValidation>
    <dataValidation type="list" sqref="AI2:AI251" showErrorMessage="0" allowBlank="1">
      <formula1>=list_Priority</formula1>
    </dataValidation>
  </dataValidations>
  <hyperlinks>
    <hyperlink ref="P20" r:id="rId11"/>
    <hyperlink ref="P50" r:id="rId12"/>
    <hyperlink ref="S50" r:id="rId13"/>
  </hyperlinks>
  <headerFooter/>
</worksheet>
</file>

<file path=xl/worksheets/sheet8.xml><?xml version="1.0" encoding="utf-8"?>
<worksheet xmlns:r="http://schemas.openxmlformats.org/officeDocument/2006/relationships" xmlns="http://schemas.openxmlformats.org/spreadsheetml/2006/main">
  <dimension ref="A1:AI51"/>
  <sheetViews>
    <sheetView workbookViewId="0" tabSelected="0">
      <pane xSplit="2" ySplit="1" topLeftCell="C2" state="frozen" activePane="bottomRight"/>
      <selection pane="topRight" activeCell="C1" sqref="C1"/>
      <selection pane="bottomLeft" activeCell="A2" sqref="A2"/>
      <selection pane="bottomRight" activeCell="A1" sqref="A1"/>
    </sheetView>
  </sheetViews>
  <sheetFormatPr defaultRowHeight="15"/>
  <cols>
    <col min="1" max="1" width="18.4375286102295" customWidth="1"/>
    <col min="2" max="2" width="9.140625" customWidth="1"/>
    <col min="3" max="3" width="11.6996202468872" customWidth="1"/>
    <col min="4" max="4" width="11.2965316772461" customWidth="1"/>
    <col min="5" max="5" width="18.4395751953125" customWidth="1"/>
    <col min="6" max="6" width="9.140625" customWidth="1"/>
    <col min="7" max="7" width="52" customWidth="1" style="8"/>
    <col min="8" max="8" width="12.6950616836548" customWidth="1"/>
    <col min="9" max="9" width="10.8034143447876" customWidth="1"/>
    <col min="10" max="10" width="11.1430721282959" customWidth="1"/>
    <col min="11" max="11" width="17.9495258331299" customWidth="1"/>
    <col min="12" max="12" width="9.140625" customWidth="1"/>
    <col min="13" max="13" width="15.4921236038208" customWidth="1"/>
    <col min="14" max="14" width="19.3818168640137" customWidth="1"/>
    <col min="15" max="15" width="9.140625" customWidth="1"/>
    <col min="16" max="16" width="14.5416955947876" customWidth="1"/>
    <col min="17" max="17" width="9.140625" customWidth="1"/>
    <col min="18" max="18" width="9.140625" customWidth="1"/>
    <col min="19" max="19" width="14.5416955947876" customWidth="1"/>
    <col min="20" max="20" width="9.140625" customWidth="1"/>
    <col min="21" max="21" width="9.140625" customWidth="1"/>
    <col min="22" max="22" width="9.140625" customWidth="1"/>
    <col min="23" max="23" width="9.140625" customWidth="1"/>
    <col min="24" max="24" width="10.3123426437378" customWidth="1"/>
    <col min="25" max="25" width="9.995192527771" customWidth="1"/>
    <col min="26" max="26" width="11.1389799118042" customWidth="1"/>
    <col min="27" max="27" width="9.93790149688721" customWidth="1"/>
    <col min="28" max="28" width="10.5374174118042" customWidth="1"/>
    <col min="29" max="29" width="9.140625" customWidth="1"/>
    <col min="30" max="30" width="9.140625" customWidth="1"/>
    <col min="31" max="31" width="46" customWidth="1" style="8"/>
    <col min="32" max="32" width="13.7539348602295" customWidth="1"/>
    <col min="33" max="33" width="46" customWidth="1" style="8"/>
    <col min="34" max="34" width="31.8437767028809" customWidth="1"/>
    <col min="35" max="35" width="9.140625" customWidth="1"/>
  </cols>
  <sheetData>
    <row r="1">
      <c r="A1" s="7" t="s">
        <v>0</v>
      </c>
      <c r="B1" s="7" t="s">
        <v>1</v>
      </c>
      <c r="C1" s="7" t="s">
        <v>2</v>
      </c>
      <c r="D1" s="7" t="s">
        <v>3</v>
      </c>
      <c r="E1" s="7" t="s">
        <v>4</v>
      </c>
      <c r="F1" s="7" t="s">
        <v>5</v>
      </c>
      <c r="G1" s="9"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c r="Y1" s="7" t="s">
        <v>24</v>
      </c>
      <c r="Z1" s="7" t="s">
        <v>25</v>
      </c>
      <c r="AA1" s="7" t="s">
        <v>26</v>
      </c>
      <c r="AB1" s="7" t="s">
        <v>27</v>
      </c>
      <c r="AC1" s="7" t="s">
        <v>28</v>
      </c>
      <c r="AD1" s="7" t="s">
        <v>29</v>
      </c>
      <c r="AE1" s="9" t="s">
        <v>30</v>
      </c>
      <c r="AF1" s="7" t="s">
        <v>877</v>
      </c>
      <c r="AG1" s="9" t="s">
        <v>878</v>
      </c>
      <c r="AH1" s="7" t="s">
        <v>879</v>
      </c>
      <c r="AI1" s="7" t="s">
        <v>880</v>
      </c>
    </row>
    <row r="2">
      <c r="A2" s="0" t="s">
        <v>762</v>
      </c>
      <c r="B2" s="0">
        <v>1</v>
      </c>
      <c r="C2" s="0" t="s">
        <v>81</v>
      </c>
      <c r="D2" s="0" t="s">
        <v>152</v>
      </c>
      <c r="E2" s="0" t="s">
        <v>34</v>
      </c>
      <c r="F2" s="0" t="s">
        <v>34</v>
      </c>
      <c r="G2" s="8" t="s">
        <v>1241</v>
      </c>
      <c r="H2" s="0" t="s">
        <v>101</v>
      </c>
      <c r="I2" s="0">
        <v>1</v>
      </c>
      <c r="J2" s="0">
        <v>1</v>
      </c>
      <c r="K2" s="0" t="s">
        <v>762</v>
      </c>
      <c r="L2" s="0" t="s">
        <v>363</v>
      </c>
      <c r="M2" s="0" t="s">
        <v>138</v>
      </c>
      <c r="N2" s="0" t="s">
        <v>139</v>
      </c>
      <c r="O2" s="0" t="s">
        <v>102</v>
      </c>
      <c r="P2" s="0" t="s">
        <v>41</v>
      </c>
      <c r="Q2" s="0" t="s">
        <v>34</v>
      </c>
      <c r="R2" s="0" t="s">
        <v>34</v>
      </c>
      <c r="S2" s="0" t="s">
        <v>34</v>
      </c>
      <c r="T2" s="0" t="s">
        <v>34</v>
      </c>
      <c r="U2" s="0" t="s">
        <v>34</v>
      </c>
      <c r="V2" s="0" t="s">
        <v>34</v>
      </c>
      <c r="W2" s="0" t="s">
        <v>34</v>
      </c>
      <c r="X2" s="0" t="s">
        <v>34</v>
      </c>
      <c r="Y2" s="0" t="s">
        <v>34</v>
      </c>
      <c r="Z2" s="0" t="s">
        <v>43</v>
      </c>
      <c r="AA2" s="0" t="s">
        <v>34</v>
      </c>
      <c r="AB2" s="0" t="s">
        <v>34</v>
      </c>
      <c r="AC2" s="0" t="s">
        <v>34</v>
      </c>
      <c r="AD2" s="0">
        <f>IF($AC2="","NEW","Live")</f>
      </c>
      <c r="AE2" s="8" t="s">
        <v>34</v>
      </c>
      <c r="AF2" s="0" t="s">
        <v>882</v>
      </c>
      <c r="AG2" s="8" t="s">
        <v>34</v>
      </c>
      <c r="AH2" s="0" t="s">
        <v>1032</v>
      </c>
      <c r="AI2" s="0" t="s">
        <v>884</v>
      </c>
    </row>
    <row r="3">
      <c r="A3" s="0" t="s">
        <v>1242</v>
      </c>
      <c r="B3" s="0">
        <v>1</v>
      </c>
      <c r="C3" s="0" t="s">
        <v>32</v>
      </c>
      <c r="D3" s="0" t="s">
        <v>272</v>
      </c>
      <c r="E3" s="0" t="s">
        <v>786</v>
      </c>
      <c r="F3" s="0" t="s">
        <v>34</v>
      </c>
      <c r="G3" s="8" t="s">
        <v>1243</v>
      </c>
      <c r="H3" s="0" t="s">
        <v>101</v>
      </c>
      <c r="I3" s="0">
        <v>1</v>
      </c>
      <c r="J3" s="0">
        <v>1</v>
      </c>
      <c r="K3" s="0" t="s">
        <v>1244</v>
      </c>
      <c r="L3" s="0" t="s">
        <v>363</v>
      </c>
      <c r="M3" s="0" t="s">
        <v>138</v>
      </c>
      <c r="N3" s="0" t="s">
        <v>381</v>
      </c>
      <c r="O3" s="0" t="s">
        <v>102</v>
      </c>
      <c r="P3" s="0" t="s">
        <v>41</v>
      </c>
      <c r="Q3" s="0" t="s">
        <v>34</v>
      </c>
      <c r="R3" s="0" t="s">
        <v>102</v>
      </c>
      <c r="S3" s="0" t="s">
        <v>41</v>
      </c>
      <c r="T3" s="0" t="s">
        <v>34</v>
      </c>
      <c r="U3" s="0" t="s">
        <v>34</v>
      </c>
      <c r="V3" s="0" t="s">
        <v>34</v>
      </c>
      <c r="W3" s="0" t="s">
        <v>34</v>
      </c>
      <c r="X3" s="0" t="s">
        <v>34</v>
      </c>
      <c r="Y3" s="0" t="s">
        <v>34</v>
      </c>
      <c r="Z3" s="0" t="s">
        <v>43</v>
      </c>
      <c r="AA3" s="0" t="s">
        <v>34</v>
      </c>
      <c r="AB3" s="0" t="s">
        <v>34</v>
      </c>
      <c r="AC3" s="0" t="s">
        <v>34</v>
      </c>
      <c r="AD3" s="0">
        <f>IF($AC3="","NEW","Live")</f>
      </c>
      <c r="AE3" s="8" t="s">
        <v>34</v>
      </c>
      <c r="AF3" s="0" t="s">
        <v>882</v>
      </c>
      <c r="AG3" s="8" t="s">
        <v>34</v>
      </c>
      <c r="AH3" s="0" t="s">
        <v>34</v>
      </c>
      <c r="AI3" s="0" t="s">
        <v>884</v>
      </c>
    </row>
    <row r="4">
      <c r="A4" s="0" t="s">
        <v>1245</v>
      </c>
      <c r="B4" s="0">
        <v>2</v>
      </c>
      <c r="C4" s="0" t="s">
        <v>32</v>
      </c>
      <c r="D4" s="0" t="s">
        <v>1013</v>
      </c>
      <c r="E4" s="0" t="s">
        <v>34</v>
      </c>
      <c r="F4" s="0" t="s">
        <v>34</v>
      </c>
      <c r="G4" s="8" t="s">
        <v>1246</v>
      </c>
      <c r="H4" s="0" t="s">
        <v>101</v>
      </c>
      <c r="I4" s="0">
        <v>1</v>
      </c>
      <c r="J4" s="0">
        <v>1</v>
      </c>
      <c r="K4" s="0" t="s">
        <v>1245</v>
      </c>
      <c r="L4" s="0" t="s">
        <v>363</v>
      </c>
      <c r="M4" s="0" t="s">
        <v>138</v>
      </c>
      <c r="N4" s="0" t="s">
        <v>139</v>
      </c>
      <c r="O4" s="0" t="s">
        <v>102</v>
      </c>
      <c r="P4" s="0" t="s">
        <v>41</v>
      </c>
      <c r="Q4" s="0" t="s">
        <v>34</v>
      </c>
      <c r="R4" s="0" t="s">
        <v>34</v>
      </c>
      <c r="S4" s="0" t="s">
        <v>34</v>
      </c>
      <c r="T4" s="0" t="s">
        <v>34</v>
      </c>
      <c r="U4" s="0" t="s">
        <v>34</v>
      </c>
      <c r="V4" s="0" t="s">
        <v>34</v>
      </c>
      <c r="W4" s="0" t="s">
        <v>34</v>
      </c>
      <c r="X4" s="0" t="s">
        <v>34</v>
      </c>
      <c r="Y4" s="0" t="s">
        <v>34</v>
      </c>
      <c r="Z4" s="0" t="s">
        <v>43</v>
      </c>
      <c r="AA4" s="0" t="s">
        <v>34</v>
      </c>
      <c r="AB4" s="0" t="s">
        <v>34</v>
      </c>
      <c r="AC4" s="0" t="s">
        <v>34</v>
      </c>
      <c r="AD4" s="0">
        <f>IF($AC4="","NEW","Live")</f>
      </c>
      <c r="AE4" s="8" t="s">
        <v>34</v>
      </c>
      <c r="AF4" s="0" t="s">
        <v>882</v>
      </c>
      <c r="AG4" s="8" t="s">
        <v>34</v>
      </c>
      <c r="AH4" s="0" t="s">
        <v>1032</v>
      </c>
      <c r="AI4" s="0" t="s">
        <v>889</v>
      </c>
    </row>
    <row r="5">
      <c r="A5" s="0" t="s">
        <v>1247</v>
      </c>
      <c r="B5" s="0">
        <v>0</v>
      </c>
      <c r="C5" s="0" t="s">
        <v>81</v>
      </c>
      <c r="D5" s="0" t="s">
        <v>361</v>
      </c>
      <c r="E5" s="0" t="s">
        <v>34</v>
      </c>
      <c r="F5" s="0" t="s">
        <v>34</v>
      </c>
      <c r="G5" s="8" t="s">
        <v>1248</v>
      </c>
      <c r="H5" s="0" t="s">
        <v>36</v>
      </c>
      <c r="I5" s="0">
        <v>0</v>
      </c>
      <c r="J5" s="0">
        <v>0</v>
      </c>
      <c r="K5" s="0" t="s">
        <v>1247</v>
      </c>
      <c r="L5" s="0" t="s">
        <v>363</v>
      </c>
      <c r="M5" s="0" t="s">
        <v>38</v>
      </c>
      <c r="N5" s="0" t="s">
        <v>39</v>
      </c>
      <c r="O5" s="0" t="s">
        <v>40</v>
      </c>
      <c r="P5" s="0" t="s">
        <v>41</v>
      </c>
      <c r="Q5" s="0" t="s">
        <v>34</v>
      </c>
      <c r="R5" s="0" t="s">
        <v>34</v>
      </c>
      <c r="S5" s="0" t="s">
        <v>34</v>
      </c>
      <c r="T5" s="0" t="s">
        <v>34</v>
      </c>
      <c r="U5" s="0" t="s">
        <v>34</v>
      </c>
      <c r="V5" s="0" t="s">
        <v>34</v>
      </c>
      <c r="W5" s="0" t="s">
        <v>34</v>
      </c>
      <c r="X5" s="0" t="s">
        <v>34</v>
      </c>
      <c r="Y5" s="0" t="s">
        <v>34</v>
      </c>
      <c r="Z5" s="0" t="s">
        <v>43</v>
      </c>
      <c r="AA5" s="0" t="s">
        <v>34</v>
      </c>
      <c r="AB5" s="0" t="s">
        <v>34</v>
      </c>
      <c r="AC5" s="0" t="s">
        <v>34</v>
      </c>
      <c r="AD5" s="0">
        <f>IF($AC5="","NEW","Live")</f>
      </c>
      <c r="AE5" s="8" t="s">
        <v>34</v>
      </c>
      <c r="AF5" s="0" t="s">
        <v>882</v>
      </c>
      <c r="AG5" s="8" t="s">
        <v>34</v>
      </c>
      <c r="AH5" s="0" t="s">
        <v>34</v>
      </c>
      <c r="AI5" s="0" t="s">
        <v>884</v>
      </c>
    </row>
    <row r="6">
      <c r="A6" s="0" t="s">
        <v>1249</v>
      </c>
      <c r="B6" s="0">
        <v>1</v>
      </c>
      <c r="C6" s="0" t="s">
        <v>81</v>
      </c>
      <c r="D6" s="0" t="s">
        <v>400</v>
      </c>
      <c r="E6" s="0" t="s">
        <v>34</v>
      </c>
      <c r="F6" s="0" t="s">
        <v>34</v>
      </c>
      <c r="G6" s="8" t="s">
        <v>1250</v>
      </c>
      <c r="H6" s="0" t="s">
        <v>101</v>
      </c>
      <c r="I6" s="0">
        <v>1</v>
      </c>
      <c r="J6" s="0">
        <v>1</v>
      </c>
      <c r="K6" s="0" t="s">
        <v>1249</v>
      </c>
      <c r="L6" s="0" t="s">
        <v>363</v>
      </c>
      <c r="M6" s="0" t="s">
        <v>258</v>
      </c>
      <c r="N6" s="0" t="s">
        <v>798</v>
      </c>
      <c r="O6" s="0" t="s">
        <v>102</v>
      </c>
      <c r="P6" s="0" t="s">
        <v>41</v>
      </c>
      <c r="Q6" s="0" t="s">
        <v>34</v>
      </c>
      <c r="R6" s="0" t="s">
        <v>34</v>
      </c>
      <c r="S6" s="0" t="s">
        <v>34</v>
      </c>
      <c r="T6" s="0" t="s">
        <v>34</v>
      </c>
      <c r="U6" s="0" t="s">
        <v>34</v>
      </c>
      <c r="V6" s="0" t="s">
        <v>34</v>
      </c>
      <c r="W6" s="0" t="s">
        <v>34</v>
      </c>
      <c r="X6" s="0" t="s">
        <v>34</v>
      </c>
      <c r="Y6" s="0" t="s">
        <v>34</v>
      </c>
      <c r="Z6" s="0" t="s">
        <v>43</v>
      </c>
      <c r="AA6" s="0" t="s">
        <v>34</v>
      </c>
      <c r="AB6" s="0" t="s">
        <v>34</v>
      </c>
      <c r="AC6" s="0" t="s">
        <v>34</v>
      </c>
      <c r="AD6" s="0">
        <f>IF($AC6="","NEW","Live")</f>
      </c>
      <c r="AE6" s="8" t="s">
        <v>34</v>
      </c>
      <c r="AF6" s="0" t="s">
        <v>882</v>
      </c>
      <c r="AG6" s="8" t="s">
        <v>34</v>
      </c>
      <c r="AH6" s="0" t="s">
        <v>34</v>
      </c>
      <c r="AI6" s="0" t="s">
        <v>889</v>
      </c>
    </row>
    <row r="7">
      <c r="A7" s="0" t="s">
        <v>1251</v>
      </c>
      <c r="B7" s="0">
        <v>2</v>
      </c>
      <c r="C7" s="0" t="s">
        <v>62</v>
      </c>
      <c r="D7" s="0" t="s">
        <v>167</v>
      </c>
      <c r="E7" s="0" t="s">
        <v>384</v>
      </c>
      <c r="F7" s="0" t="s">
        <v>34</v>
      </c>
      <c r="G7" s="8" t="s">
        <v>1252</v>
      </c>
      <c r="H7" s="0" t="s">
        <v>101</v>
      </c>
      <c r="I7" s="0">
        <v>1</v>
      </c>
      <c r="J7" s="0">
        <v>1</v>
      </c>
      <c r="K7" s="0" t="s">
        <v>1253</v>
      </c>
      <c r="L7" s="0" t="s">
        <v>363</v>
      </c>
      <c r="M7" s="0" t="s">
        <v>138</v>
      </c>
      <c r="N7" s="0" t="s">
        <v>139</v>
      </c>
      <c r="O7" s="0" t="s">
        <v>102</v>
      </c>
      <c r="P7" s="0" t="s">
        <v>41</v>
      </c>
      <c r="Q7" s="0" t="s">
        <v>34</v>
      </c>
      <c r="R7" s="0" t="s">
        <v>102</v>
      </c>
      <c r="S7" s="0" t="s">
        <v>41</v>
      </c>
      <c r="T7" s="0" t="s">
        <v>34</v>
      </c>
      <c r="U7" s="0" t="s">
        <v>34</v>
      </c>
      <c r="V7" s="0" t="s">
        <v>34</v>
      </c>
      <c r="W7" s="0" t="s">
        <v>34</v>
      </c>
      <c r="X7" s="0" t="s">
        <v>34</v>
      </c>
      <c r="Y7" s="0" t="s">
        <v>34</v>
      </c>
      <c r="Z7" s="0" t="s">
        <v>43</v>
      </c>
      <c r="AA7" s="0" t="s">
        <v>34</v>
      </c>
      <c r="AB7" s="0" t="s">
        <v>34</v>
      </c>
      <c r="AC7" s="0" t="s">
        <v>34</v>
      </c>
      <c r="AD7" s="0">
        <f>IF($AC7="","NEW","Live")</f>
      </c>
      <c r="AE7" s="8" t="s">
        <v>34</v>
      </c>
      <c r="AF7" s="0" t="s">
        <v>882</v>
      </c>
      <c r="AG7" s="8" t="s">
        <v>34</v>
      </c>
      <c r="AH7" s="0" t="s">
        <v>34</v>
      </c>
      <c r="AI7" s="0" t="s">
        <v>889</v>
      </c>
    </row>
    <row r="8">
      <c r="A8" s="0" t="s">
        <v>1254</v>
      </c>
      <c r="B8" s="0">
        <v>1</v>
      </c>
      <c r="C8" s="0" t="s">
        <v>32</v>
      </c>
      <c r="D8" s="0" t="s">
        <v>131</v>
      </c>
      <c r="E8" s="0" t="s">
        <v>34</v>
      </c>
      <c r="F8" s="0" t="s">
        <v>34</v>
      </c>
      <c r="G8" s="8" t="s">
        <v>500</v>
      </c>
      <c r="H8" s="0" t="s">
        <v>36</v>
      </c>
      <c r="I8" s="0">
        <v>0</v>
      </c>
      <c r="J8" s="0">
        <v>0</v>
      </c>
      <c r="K8" s="0" t="s">
        <v>1254</v>
      </c>
      <c r="L8" s="0" t="s">
        <v>363</v>
      </c>
      <c r="M8" s="0" t="s">
        <v>133</v>
      </c>
      <c r="N8" s="0" t="s">
        <v>454</v>
      </c>
      <c r="O8" s="0" t="s">
        <v>40</v>
      </c>
      <c r="P8" s="0" t="s">
        <v>41</v>
      </c>
      <c r="Q8" s="0" t="s">
        <v>34</v>
      </c>
      <c r="R8" s="0" t="s">
        <v>34</v>
      </c>
      <c r="S8" s="0" t="s">
        <v>34</v>
      </c>
      <c r="T8" s="0" t="s">
        <v>34</v>
      </c>
      <c r="U8" s="0" t="s">
        <v>34</v>
      </c>
      <c r="V8" s="0" t="s">
        <v>34</v>
      </c>
      <c r="W8" s="0" t="s">
        <v>34</v>
      </c>
      <c r="X8" s="0" t="s">
        <v>34</v>
      </c>
      <c r="Y8" s="0" t="s">
        <v>34</v>
      </c>
      <c r="Z8" s="0" t="s">
        <v>43</v>
      </c>
      <c r="AA8" s="0" t="s">
        <v>34</v>
      </c>
      <c r="AB8" s="0" t="s">
        <v>34</v>
      </c>
      <c r="AC8" s="0" t="s">
        <v>34</v>
      </c>
      <c r="AD8" s="0">
        <f>IF($AC8="","NEW","Live")</f>
      </c>
      <c r="AE8" s="8" t="s">
        <v>1255</v>
      </c>
      <c r="AF8" s="0" t="s">
        <v>882</v>
      </c>
      <c r="AG8" s="8" t="s">
        <v>34</v>
      </c>
      <c r="AH8" s="0" t="s">
        <v>34</v>
      </c>
      <c r="AI8" s="0" t="s">
        <v>884</v>
      </c>
    </row>
    <row r="9">
      <c r="A9" s="0" t="s">
        <v>1256</v>
      </c>
      <c r="B9" s="0">
        <v>1</v>
      </c>
      <c r="C9" s="0" t="s">
        <v>81</v>
      </c>
      <c r="D9" s="0" t="s">
        <v>367</v>
      </c>
      <c r="E9" s="0" t="s">
        <v>34</v>
      </c>
      <c r="F9" s="0" t="s">
        <v>34</v>
      </c>
      <c r="G9" s="8" t="s">
        <v>891</v>
      </c>
      <c r="H9" s="0" t="s">
        <v>36</v>
      </c>
      <c r="I9" s="0">
        <v>0</v>
      </c>
      <c r="J9" s="0">
        <v>0</v>
      </c>
      <c r="K9" s="0" t="s">
        <v>1256</v>
      </c>
      <c r="L9" s="0" t="s">
        <v>363</v>
      </c>
      <c r="M9" s="0" t="s">
        <v>38</v>
      </c>
      <c r="N9" s="0" t="s">
        <v>39</v>
      </c>
      <c r="O9" s="0" t="s">
        <v>40</v>
      </c>
      <c r="P9" s="0" t="s">
        <v>41</v>
      </c>
      <c r="Q9" s="0" t="s">
        <v>34</v>
      </c>
      <c r="R9" s="0" t="s">
        <v>34</v>
      </c>
      <c r="S9" s="0" t="s">
        <v>34</v>
      </c>
      <c r="T9" s="0" t="s">
        <v>34</v>
      </c>
      <c r="U9" s="0" t="s">
        <v>34</v>
      </c>
      <c r="V9" s="0" t="s">
        <v>34</v>
      </c>
      <c r="W9" s="0" t="s">
        <v>34</v>
      </c>
      <c r="X9" s="0" t="s">
        <v>34</v>
      </c>
      <c r="Y9" s="0" t="s">
        <v>34</v>
      </c>
      <c r="Z9" s="0" t="s">
        <v>43</v>
      </c>
      <c r="AA9" s="0" t="s">
        <v>34</v>
      </c>
      <c r="AB9" s="0" t="s">
        <v>34</v>
      </c>
      <c r="AC9" s="0" t="s">
        <v>34</v>
      </c>
      <c r="AD9" s="0">
        <f>IF($AC9="","NEW","Live")</f>
      </c>
      <c r="AE9" s="8" t="s">
        <v>34</v>
      </c>
      <c r="AF9" s="0" t="s">
        <v>882</v>
      </c>
      <c r="AG9" s="8" t="s">
        <v>34</v>
      </c>
      <c r="AH9" s="0" t="s">
        <v>1032</v>
      </c>
      <c r="AI9" s="0" t="s">
        <v>889</v>
      </c>
    </row>
    <row r="10">
      <c r="A10" s="0" t="s">
        <v>1257</v>
      </c>
      <c r="B10" s="0">
        <v>0</v>
      </c>
      <c r="C10" s="0" t="s">
        <v>81</v>
      </c>
      <c r="D10" s="0" t="s">
        <v>272</v>
      </c>
      <c r="E10" s="0" t="s">
        <v>34</v>
      </c>
      <c r="F10" s="0" t="s">
        <v>34</v>
      </c>
      <c r="G10" s="8" t="s">
        <v>1075</v>
      </c>
      <c r="H10" s="0" t="s">
        <v>101</v>
      </c>
      <c r="I10" s="0">
        <v>1</v>
      </c>
      <c r="J10" s="0">
        <v>3</v>
      </c>
      <c r="K10" s="0" t="s">
        <v>1258</v>
      </c>
      <c r="L10" s="0" t="s">
        <v>363</v>
      </c>
      <c r="M10" s="0" t="s">
        <v>285</v>
      </c>
      <c r="N10" s="0" t="s">
        <v>139</v>
      </c>
      <c r="O10" s="0" t="s">
        <v>102</v>
      </c>
      <c r="P10" s="0" t="s">
        <v>41</v>
      </c>
      <c r="Q10" s="0" t="s">
        <v>34</v>
      </c>
      <c r="R10" s="0" t="s">
        <v>34</v>
      </c>
      <c r="S10" s="0" t="s">
        <v>34</v>
      </c>
      <c r="T10" s="0" t="s">
        <v>34</v>
      </c>
      <c r="U10" s="0" t="s">
        <v>34</v>
      </c>
      <c r="V10" s="0" t="s">
        <v>34</v>
      </c>
      <c r="W10" s="0" t="s">
        <v>34</v>
      </c>
      <c r="X10" s="0" t="s">
        <v>34</v>
      </c>
      <c r="Y10" s="0" t="s">
        <v>34</v>
      </c>
      <c r="Z10" s="0" t="s">
        <v>43</v>
      </c>
      <c r="AA10" s="0" t="s">
        <v>34</v>
      </c>
      <c r="AB10" s="0" t="s">
        <v>34</v>
      </c>
      <c r="AC10" s="0" t="s">
        <v>34</v>
      </c>
      <c r="AD10" s="0">
        <f>IF($AC10="","NEW","Live")</f>
      </c>
      <c r="AE10" s="8" t="s">
        <v>34</v>
      </c>
      <c r="AF10" s="0" t="s">
        <v>882</v>
      </c>
      <c r="AG10" s="8" t="s">
        <v>34</v>
      </c>
      <c r="AH10" s="0" t="s">
        <v>34</v>
      </c>
      <c r="AI10" s="0" t="s">
        <v>884</v>
      </c>
    </row>
    <row r="11">
      <c r="A11" s="0" t="s">
        <v>1259</v>
      </c>
      <c r="B11" s="0">
        <v>2</v>
      </c>
      <c r="C11" s="0" t="s">
        <v>32</v>
      </c>
      <c r="D11" s="0" t="s">
        <v>193</v>
      </c>
      <c r="E11" s="0" t="s">
        <v>34</v>
      </c>
      <c r="F11" s="0" t="s">
        <v>34</v>
      </c>
      <c r="G11" s="8" t="s">
        <v>1260</v>
      </c>
      <c r="H11" s="0" t="s">
        <v>36</v>
      </c>
      <c r="I11" s="0">
        <v>0</v>
      </c>
      <c r="J11" s="0">
        <v>0</v>
      </c>
      <c r="K11" s="0" t="s">
        <v>1261</v>
      </c>
      <c r="L11" s="0" t="s">
        <v>363</v>
      </c>
      <c r="M11" s="0" t="s">
        <v>138</v>
      </c>
      <c r="N11" s="0" t="s">
        <v>139</v>
      </c>
      <c r="O11" s="0" t="s">
        <v>40</v>
      </c>
      <c r="P11" s="0" t="s">
        <v>78</v>
      </c>
      <c r="Q11" s="0" t="s">
        <v>34</v>
      </c>
      <c r="R11" s="0" t="s">
        <v>34</v>
      </c>
      <c r="S11" s="0" t="s">
        <v>34</v>
      </c>
      <c r="T11" s="0" t="s">
        <v>34</v>
      </c>
      <c r="U11" s="0" t="s">
        <v>34</v>
      </c>
      <c r="V11" s="0" t="s">
        <v>34</v>
      </c>
      <c r="W11" s="0" t="s">
        <v>34</v>
      </c>
      <c r="X11" s="0" t="s">
        <v>34</v>
      </c>
      <c r="Y11" s="0" t="s">
        <v>34</v>
      </c>
      <c r="Z11" s="0" t="s">
        <v>43</v>
      </c>
      <c r="AA11" s="0" t="s">
        <v>34</v>
      </c>
      <c r="AB11" s="0" t="s">
        <v>34</v>
      </c>
      <c r="AC11" s="0" t="s">
        <v>34</v>
      </c>
      <c r="AD11" s="0">
        <f>IF($AC11="","NEW","Live")</f>
      </c>
      <c r="AE11" s="8" t="s">
        <v>34</v>
      </c>
      <c r="AF11" s="0" t="s">
        <v>882</v>
      </c>
      <c r="AG11" s="8" t="s">
        <v>34</v>
      </c>
      <c r="AH11" s="0" t="s">
        <v>904</v>
      </c>
      <c r="AI11" s="0" t="s">
        <v>889</v>
      </c>
    </row>
    <row r="12">
      <c r="A12" s="0" t="s">
        <v>1262</v>
      </c>
      <c r="B12" s="0">
        <v>0</v>
      </c>
      <c r="C12" s="0" t="s">
        <v>32</v>
      </c>
      <c r="D12" s="0" t="s">
        <v>278</v>
      </c>
      <c r="E12" s="0" t="s">
        <v>34</v>
      </c>
      <c r="F12" s="0" t="s">
        <v>34</v>
      </c>
      <c r="G12" s="8" t="s">
        <v>1263</v>
      </c>
      <c r="H12" s="0" t="s">
        <v>101</v>
      </c>
      <c r="I12" s="0">
        <v>1</v>
      </c>
      <c r="J12" s="0">
        <v>3</v>
      </c>
      <c r="K12" s="0" t="s">
        <v>1262</v>
      </c>
      <c r="L12" s="0" t="s">
        <v>363</v>
      </c>
      <c r="M12" s="0" t="s">
        <v>281</v>
      </c>
      <c r="N12" s="0" t="s">
        <v>281</v>
      </c>
      <c r="O12" s="0" t="s">
        <v>102</v>
      </c>
      <c r="P12" s="0" t="s">
        <v>41</v>
      </c>
      <c r="Q12" s="0" t="s">
        <v>34</v>
      </c>
      <c r="R12" s="0" t="s">
        <v>34</v>
      </c>
      <c r="S12" s="0" t="s">
        <v>34</v>
      </c>
      <c r="T12" s="0" t="s">
        <v>34</v>
      </c>
      <c r="U12" s="0" t="s">
        <v>34</v>
      </c>
      <c r="V12" s="0" t="s">
        <v>34</v>
      </c>
      <c r="W12" s="0" t="s">
        <v>34</v>
      </c>
      <c r="X12" s="0" t="s">
        <v>34</v>
      </c>
      <c r="Y12" s="0" t="s">
        <v>34</v>
      </c>
      <c r="Z12" s="0" t="s">
        <v>43</v>
      </c>
      <c r="AA12" s="0" t="s">
        <v>34</v>
      </c>
      <c r="AB12" s="0" t="s">
        <v>34</v>
      </c>
      <c r="AC12" s="0" t="s">
        <v>34</v>
      </c>
      <c r="AD12" s="0">
        <f>IF($AC12="","NEW","Live")</f>
      </c>
      <c r="AE12" s="8" t="s">
        <v>34</v>
      </c>
      <c r="AF12" s="0" t="s">
        <v>882</v>
      </c>
      <c r="AG12" s="8" t="s">
        <v>34</v>
      </c>
      <c r="AH12" s="0" t="s">
        <v>34</v>
      </c>
      <c r="AI12" s="0" t="s">
        <v>884</v>
      </c>
    </row>
    <row r="13">
      <c r="A13" s="0" t="s">
        <v>1264</v>
      </c>
      <c r="B13" s="0">
        <v>1</v>
      </c>
      <c r="C13" s="0" t="s">
        <v>62</v>
      </c>
      <c r="D13" s="0" t="s">
        <v>278</v>
      </c>
      <c r="E13" s="0" t="s">
        <v>361</v>
      </c>
      <c r="F13" s="0" t="s">
        <v>34</v>
      </c>
      <c r="G13" s="8" t="s">
        <v>1265</v>
      </c>
      <c r="H13" s="0" t="s">
        <v>101</v>
      </c>
      <c r="I13" s="0">
        <v>1</v>
      </c>
      <c r="J13" s="0">
        <v>3</v>
      </c>
      <c r="K13" s="0" t="s">
        <v>1264</v>
      </c>
      <c r="L13" s="0" t="s">
        <v>363</v>
      </c>
      <c r="M13" s="0" t="s">
        <v>281</v>
      </c>
      <c r="N13" s="0" t="s">
        <v>941</v>
      </c>
      <c r="O13" s="0" t="s">
        <v>102</v>
      </c>
      <c r="P13" s="0" t="s">
        <v>41</v>
      </c>
      <c r="Q13" s="0" t="s">
        <v>34</v>
      </c>
      <c r="R13" s="0" t="s">
        <v>40</v>
      </c>
      <c r="S13" s="0" t="s">
        <v>41</v>
      </c>
      <c r="T13" s="0" t="s">
        <v>34</v>
      </c>
      <c r="U13" s="0" t="s">
        <v>34</v>
      </c>
      <c r="V13" s="0" t="s">
        <v>34</v>
      </c>
      <c r="W13" s="0" t="s">
        <v>34</v>
      </c>
      <c r="X13" s="0" t="s">
        <v>34</v>
      </c>
      <c r="Y13" s="0" t="s">
        <v>34</v>
      </c>
      <c r="Z13" s="0" t="s">
        <v>43</v>
      </c>
      <c r="AA13" s="0" t="s">
        <v>34</v>
      </c>
      <c r="AB13" s="0" t="s">
        <v>34</v>
      </c>
      <c r="AC13" s="0" t="s">
        <v>34</v>
      </c>
      <c r="AD13" s="0">
        <f>IF($AC13="","NEW","Live")</f>
      </c>
      <c r="AE13" s="8" t="s">
        <v>34</v>
      </c>
      <c r="AF13" s="0" t="s">
        <v>882</v>
      </c>
      <c r="AG13" s="8" t="s">
        <v>34</v>
      </c>
      <c r="AH13" s="0" t="s">
        <v>904</v>
      </c>
      <c r="AI13" s="0" t="s">
        <v>884</v>
      </c>
    </row>
    <row r="14">
      <c r="A14" s="0" t="s">
        <v>1266</v>
      </c>
      <c r="B14" s="0">
        <v>1</v>
      </c>
      <c r="C14" s="0" t="s">
        <v>81</v>
      </c>
      <c r="D14" s="0" t="s">
        <v>278</v>
      </c>
      <c r="E14" s="0" t="s">
        <v>47</v>
      </c>
      <c r="F14" s="0" t="s">
        <v>34</v>
      </c>
      <c r="G14" s="8" t="s">
        <v>1267</v>
      </c>
      <c r="H14" s="0" t="s">
        <v>101</v>
      </c>
      <c r="I14" s="0">
        <v>1</v>
      </c>
      <c r="J14" s="0">
        <v>2</v>
      </c>
      <c r="K14" s="0" t="s">
        <v>1266</v>
      </c>
      <c r="L14" s="0" t="s">
        <v>363</v>
      </c>
      <c r="M14" s="0" t="s">
        <v>281</v>
      </c>
      <c r="N14" s="0" t="s">
        <v>281</v>
      </c>
      <c r="O14" s="0" t="s">
        <v>102</v>
      </c>
      <c r="P14" s="0" t="s">
        <v>41</v>
      </c>
      <c r="Q14" s="0" t="s">
        <v>34</v>
      </c>
      <c r="R14" s="0" t="s">
        <v>40</v>
      </c>
      <c r="S14" s="0" t="s">
        <v>41</v>
      </c>
      <c r="T14" s="0" t="s">
        <v>34</v>
      </c>
      <c r="U14" s="0" t="s">
        <v>34</v>
      </c>
      <c r="V14" s="0" t="s">
        <v>34</v>
      </c>
      <c r="W14" s="0" t="s">
        <v>34</v>
      </c>
      <c r="X14" s="0" t="s">
        <v>34</v>
      </c>
      <c r="Y14" s="0" t="s">
        <v>34</v>
      </c>
      <c r="Z14" s="0" t="s">
        <v>43</v>
      </c>
      <c r="AA14" s="0" t="s">
        <v>34</v>
      </c>
      <c r="AB14" s="0" t="s">
        <v>34</v>
      </c>
      <c r="AC14" s="0" t="s">
        <v>34</v>
      </c>
      <c r="AD14" s="0">
        <f>IF($AC14="","NEW","Live")</f>
      </c>
      <c r="AE14" s="8" t="s">
        <v>34</v>
      </c>
      <c r="AF14" s="0" t="s">
        <v>882</v>
      </c>
      <c r="AG14" s="8" t="s">
        <v>34</v>
      </c>
      <c r="AH14" s="0" t="s">
        <v>1032</v>
      </c>
      <c r="AI14" s="0" t="s">
        <v>889</v>
      </c>
    </row>
    <row r="15">
      <c r="A15" s="0" t="s">
        <v>1268</v>
      </c>
      <c r="B15" s="0">
        <v>1</v>
      </c>
      <c r="C15" s="0" t="s">
        <v>32</v>
      </c>
      <c r="D15" s="0" t="s">
        <v>272</v>
      </c>
      <c r="E15" s="0" t="s">
        <v>262</v>
      </c>
      <c r="F15" s="0" t="s">
        <v>34</v>
      </c>
      <c r="G15" s="8" t="s">
        <v>1269</v>
      </c>
      <c r="H15" s="0" t="s">
        <v>101</v>
      </c>
      <c r="I15" s="0">
        <v>1</v>
      </c>
      <c r="J15" s="0">
        <v>1</v>
      </c>
      <c r="K15" s="0" t="s">
        <v>1268</v>
      </c>
      <c r="L15" s="0" t="s">
        <v>363</v>
      </c>
      <c r="M15" s="0" t="s">
        <v>138</v>
      </c>
      <c r="N15" s="0" t="s">
        <v>914</v>
      </c>
      <c r="O15" s="0" t="s">
        <v>102</v>
      </c>
      <c r="P15" s="0" t="s">
        <v>41</v>
      </c>
      <c r="Q15" s="0" t="s">
        <v>34</v>
      </c>
      <c r="R15" s="0" t="s">
        <v>102</v>
      </c>
      <c r="S15" s="0" t="s">
        <v>41</v>
      </c>
      <c r="T15" s="0" t="s">
        <v>34</v>
      </c>
      <c r="U15" s="0" t="s">
        <v>34</v>
      </c>
      <c r="V15" s="0" t="s">
        <v>34</v>
      </c>
      <c r="W15" s="0" t="s">
        <v>34</v>
      </c>
      <c r="X15" s="0" t="s">
        <v>34</v>
      </c>
      <c r="Y15" s="0" t="s">
        <v>34</v>
      </c>
      <c r="Z15" s="0" t="s">
        <v>43</v>
      </c>
      <c r="AA15" s="0" t="s">
        <v>34</v>
      </c>
      <c r="AB15" s="0" t="s">
        <v>34</v>
      </c>
      <c r="AC15" s="0" t="s">
        <v>34</v>
      </c>
      <c r="AD15" s="0">
        <f>IF($AC15="","NEW","Live")</f>
      </c>
      <c r="AE15" s="8" t="s">
        <v>34</v>
      </c>
      <c r="AF15" s="0" t="s">
        <v>882</v>
      </c>
      <c r="AG15" s="8" t="s">
        <v>34</v>
      </c>
      <c r="AH15" s="0" t="s">
        <v>34</v>
      </c>
      <c r="AI15" s="0" t="s">
        <v>884</v>
      </c>
    </row>
    <row r="16">
      <c r="A16" s="0" t="s">
        <v>1270</v>
      </c>
      <c r="B16" s="0">
        <v>2</v>
      </c>
      <c r="C16" s="0" t="s">
        <v>62</v>
      </c>
      <c r="D16" s="0" t="s">
        <v>361</v>
      </c>
      <c r="E16" s="0" t="s">
        <v>384</v>
      </c>
      <c r="F16" s="0" t="s">
        <v>34</v>
      </c>
      <c r="G16" s="8" t="s">
        <v>1271</v>
      </c>
      <c r="H16" s="0" t="s">
        <v>36</v>
      </c>
      <c r="I16" s="0">
        <v>0</v>
      </c>
      <c r="J16" s="0">
        <v>0</v>
      </c>
      <c r="K16" s="0" t="s">
        <v>1272</v>
      </c>
      <c r="L16" s="0" t="s">
        <v>363</v>
      </c>
      <c r="M16" s="0" t="s">
        <v>38</v>
      </c>
      <c r="N16" s="0" t="s">
        <v>39</v>
      </c>
      <c r="O16" s="0" t="s">
        <v>40</v>
      </c>
      <c r="P16" s="0" t="s">
        <v>41</v>
      </c>
      <c r="Q16" s="0" t="s">
        <v>34</v>
      </c>
      <c r="R16" s="0" t="s">
        <v>40</v>
      </c>
      <c r="S16" s="0" t="s">
        <v>1122</v>
      </c>
      <c r="T16" s="0" t="s">
        <v>34</v>
      </c>
      <c r="U16" s="0" t="s">
        <v>34</v>
      </c>
      <c r="V16" s="0" t="s">
        <v>34</v>
      </c>
      <c r="W16" s="0" t="s">
        <v>34</v>
      </c>
      <c r="X16" s="0" t="s">
        <v>34</v>
      </c>
      <c r="Y16" s="0" t="s">
        <v>34</v>
      </c>
      <c r="Z16" s="0" t="s">
        <v>43</v>
      </c>
      <c r="AA16" s="0" t="s">
        <v>34</v>
      </c>
      <c r="AB16" s="0" t="s">
        <v>34</v>
      </c>
      <c r="AC16" s="0" t="s">
        <v>34</v>
      </c>
      <c r="AD16" s="0">
        <f>IF($AC16="","NEW","Live")</f>
      </c>
      <c r="AE16" s="8" t="s">
        <v>34</v>
      </c>
      <c r="AF16" s="0" t="s">
        <v>882</v>
      </c>
      <c r="AG16" s="8" t="s">
        <v>34</v>
      </c>
      <c r="AH16" s="0" t="s">
        <v>904</v>
      </c>
      <c r="AI16" s="0" t="s">
        <v>889</v>
      </c>
    </row>
    <row r="17">
      <c r="A17" s="0" t="s">
        <v>1273</v>
      </c>
      <c r="B17" s="0">
        <v>1</v>
      </c>
      <c r="C17" s="0" t="s">
        <v>32</v>
      </c>
      <c r="D17" s="0" t="s">
        <v>34</v>
      </c>
      <c r="E17" s="0" t="s">
        <v>34</v>
      </c>
      <c r="F17" s="0" t="s">
        <v>34</v>
      </c>
      <c r="G17" s="8" t="s">
        <v>1274</v>
      </c>
      <c r="H17" s="0" t="s">
        <v>101</v>
      </c>
      <c r="I17" s="0">
        <v>1</v>
      </c>
      <c r="J17" s="0">
        <v>4</v>
      </c>
      <c r="K17" s="0" t="s">
        <v>1275</v>
      </c>
      <c r="L17" s="0" t="s">
        <v>363</v>
      </c>
      <c r="M17" s="0" t="s">
        <v>281</v>
      </c>
      <c r="N17" s="0" t="s">
        <v>281</v>
      </c>
      <c r="O17" s="0" t="s">
        <v>34</v>
      </c>
      <c r="P17" s="0" t="s">
        <v>34</v>
      </c>
      <c r="Q17" s="0" t="s">
        <v>34</v>
      </c>
      <c r="R17" s="0" t="s">
        <v>34</v>
      </c>
      <c r="S17" s="0" t="s">
        <v>34</v>
      </c>
      <c r="T17" s="0" t="s">
        <v>34</v>
      </c>
      <c r="U17" s="0" t="s">
        <v>34</v>
      </c>
      <c r="V17" s="0" t="s">
        <v>34</v>
      </c>
      <c r="W17" s="0" t="s">
        <v>34</v>
      </c>
      <c r="X17" s="0" t="s">
        <v>34</v>
      </c>
      <c r="Y17" s="0" t="s">
        <v>34</v>
      </c>
      <c r="Z17" s="0" t="s">
        <v>43</v>
      </c>
      <c r="AA17" s="0" t="s">
        <v>34</v>
      </c>
      <c r="AB17" s="0" t="s">
        <v>34</v>
      </c>
      <c r="AC17" s="0" t="s">
        <v>34</v>
      </c>
      <c r="AD17" s="0">
        <f>IF($AC17="","NEW","Live")</f>
      </c>
      <c r="AE17" s="8" t="s">
        <v>1276</v>
      </c>
      <c r="AF17" s="0" t="s">
        <v>915</v>
      </c>
      <c r="AG17" s="8" t="s">
        <v>1277</v>
      </c>
      <c r="AH17" s="0" t="s">
        <v>917</v>
      </c>
      <c r="AI17" s="0" t="s">
        <v>910</v>
      </c>
    </row>
    <row r="18">
      <c r="A18" s="0" t="s">
        <v>1278</v>
      </c>
      <c r="B18" s="0">
        <v>2</v>
      </c>
      <c r="C18" s="0" t="s">
        <v>62</v>
      </c>
      <c r="D18" s="0" t="s">
        <v>34</v>
      </c>
      <c r="E18" s="0" t="s">
        <v>34</v>
      </c>
      <c r="F18" s="0" t="s">
        <v>34</v>
      </c>
      <c r="G18" s="8" t="s">
        <v>1279</v>
      </c>
      <c r="H18" s="0" t="s">
        <v>101</v>
      </c>
      <c r="I18" s="0">
        <v>1</v>
      </c>
      <c r="J18" s="0">
        <v>3</v>
      </c>
      <c r="K18" s="0" t="s">
        <v>1278</v>
      </c>
      <c r="L18" s="0" t="s">
        <v>363</v>
      </c>
      <c r="M18" s="0" t="s">
        <v>138</v>
      </c>
      <c r="N18" s="0" t="s">
        <v>914</v>
      </c>
      <c r="O18" s="0" t="s">
        <v>34</v>
      </c>
      <c r="P18" s="0" t="s">
        <v>34</v>
      </c>
      <c r="Q18" s="0" t="s">
        <v>34</v>
      </c>
      <c r="R18" s="0" t="s">
        <v>34</v>
      </c>
      <c r="S18" s="0" t="s">
        <v>34</v>
      </c>
      <c r="T18" s="0" t="s">
        <v>34</v>
      </c>
      <c r="U18" s="0" t="s">
        <v>34</v>
      </c>
      <c r="V18" s="0" t="s">
        <v>34</v>
      </c>
      <c r="W18" s="0" t="s">
        <v>34</v>
      </c>
      <c r="X18" s="0" t="s">
        <v>34</v>
      </c>
      <c r="Y18" s="0" t="s">
        <v>34</v>
      </c>
      <c r="Z18" s="0" t="s">
        <v>43</v>
      </c>
      <c r="AA18" s="0" t="s">
        <v>34</v>
      </c>
      <c r="AB18" s="0" t="s">
        <v>34</v>
      </c>
      <c r="AC18" s="0" t="s">
        <v>34</v>
      </c>
      <c r="AD18" s="0">
        <f>IF($AC18="","NEW","Live")</f>
      </c>
      <c r="AE18" s="8" t="s">
        <v>34</v>
      </c>
      <c r="AF18" s="0" t="s">
        <v>915</v>
      </c>
      <c r="AG18" s="8" t="s">
        <v>1280</v>
      </c>
      <c r="AH18" s="0" t="s">
        <v>1281</v>
      </c>
      <c r="AI18" s="0" t="s">
        <v>884</v>
      </c>
    </row>
    <row r="19">
      <c r="A19" s="0" t="s">
        <v>1282</v>
      </c>
      <c r="B19" s="0">
        <v>2</v>
      </c>
      <c r="C19" s="0" t="s">
        <v>62</v>
      </c>
      <c r="D19" s="0" t="s">
        <v>34</v>
      </c>
      <c r="E19" s="0" t="s">
        <v>34</v>
      </c>
      <c r="F19" s="0" t="s">
        <v>34</v>
      </c>
      <c r="G19" s="8" t="s">
        <v>1283</v>
      </c>
      <c r="H19" s="0" t="s">
        <v>101</v>
      </c>
      <c r="I19" s="0">
        <v>1</v>
      </c>
      <c r="J19" s="0">
        <v>3</v>
      </c>
      <c r="K19" s="0" t="s">
        <v>1282</v>
      </c>
      <c r="L19" s="0" t="s">
        <v>363</v>
      </c>
      <c r="M19" s="0" t="s">
        <v>258</v>
      </c>
      <c r="N19" s="0" t="s">
        <v>281</v>
      </c>
      <c r="O19" s="0" t="s">
        <v>34</v>
      </c>
      <c r="P19" s="0" t="s">
        <v>34</v>
      </c>
      <c r="Q19" s="0" t="s">
        <v>34</v>
      </c>
      <c r="R19" s="0" t="s">
        <v>34</v>
      </c>
      <c r="S19" s="0" t="s">
        <v>34</v>
      </c>
      <c r="T19" s="0" t="s">
        <v>34</v>
      </c>
      <c r="U19" s="0" t="s">
        <v>34</v>
      </c>
      <c r="V19" s="0" t="s">
        <v>34</v>
      </c>
      <c r="W19" s="0" t="s">
        <v>34</v>
      </c>
      <c r="X19" s="0" t="s">
        <v>34</v>
      </c>
      <c r="Y19" s="0" t="s">
        <v>34</v>
      </c>
      <c r="Z19" s="0" t="s">
        <v>43</v>
      </c>
      <c r="AA19" s="0" t="s">
        <v>34</v>
      </c>
      <c r="AB19" s="0" t="s">
        <v>34</v>
      </c>
      <c r="AC19" s="0" t="s">
        <v>34</v>
      </c>
      <c r="AD19" s="0">
        <f>IF($AC19="","NEW","Live")</f>
      </c>
      <c r="AE19" s="8" t="s">
        <v>34</v>
      </c>
      <c r="AF19" s="0" t="s">
        <v>936</v>
      </c>
      <c r="AG19" s="8" t="s">
        <v>1284</v>
      </c>
      <c r="AH19" s="0" t="s">
        <v>1285</v>
      </c>
      <c r="AI19" s="0" t="s">
        <v>889</v>
      </c>
    </row>
    <row r="20">
      <c r="A20" s="0" t="s">
        <v>1286</v>
      </c>
      <c r="B20" s="0">
        <v>1</v>
      </c>
      <c r="C20" s="0" t="s">
        <v>81</v>
      </c>
      <c r="D20" s="0" t="s">
        <v>34</v>
      </c>
      <c r="E20" s="0" t="s">
        <v>34</v>
      </c>
      <c r="F20" s="0" t="s">
        <v>34</v>
      </c>
      <c r="G20" s="8" t="s">
        <v>1287</v>
      </c>
      <c r="H20" s="0" t="s">
        <v>101</v>
      </c>
      <c r="I20" s="0">
        <v>1</v>
      </c>
      <c r="J20" s="0">
        <v>2</v>
      </c>
      <c r="K20" s="0" t="s">
        <v>1288</v>
      </c>
      <c r="L20" s="0" t="s">
        <v>363</v>
      </c>
      <c r="M20" s="0" t="s">
        <v>281</v>
      </c>
      <c r="N20" s="0" t="s">
        <v>281</v>
      </c>
      <c r="O20" s="0" t="s">
        <v>34</v>
      </c>
      <c r="P20" s="0" t="s">
        <v>34</v>
      </c>
      <c r="Q20" s="0" t="s">
        <v>34</v>
      </c>
      <c r="R20" s="0" t="s">
        <v>34</v>
      </c>
      <c r="S20" s="0" t="s">
        <v>34</v>
      </c>
      <c r="T20" s="0" t="s">
        <v>34</v>
      </c>
      <c r="U20" s="0" t="s">
        <v>34</v>
      </c>
      <c r="V20" s="0" t="s">
        <v>34</v>
      </c>
      <c r="W20" s="0" t="s">
        <v>34</v>
      </c>
      <c r="X20" s="0" t="s">
        <v>34</v>
      </c>
      <c r="Y20" s="0" t="s">
        <v>34</v>
      </c>
      <c r="Z20" s="0" t="s">
        <v>43</v>
      </c>
      <c r="AA20" s="0" t="s">
        <v>34</v>
      </c>
      <c r="AB20" s="0" t="s">
        <v>34</v>
      </c>
      <c r="AC20" s="0" t="s">
        <v>34</v>
      </c>
      <c r="AD20" s="0">
        <f>IF($AC20="","NEW","Live")</f>
      </c>
      <c r="AE20" s="8" t="s">
        <v>34</v>
      </c>
      <c r="AF20" s="0" t="s">
        <v>926</v>
      </c>
      <c r="AG20" s="8" t="s">
        <v>1289</v>
      </c>
      <c r="AH20" s="0" t="s">
        <v>951</v>
      </c>
      <c r="AI20" s="0" t="s">
        <v>910</v>
      </c>
    </row>
    <row r="21">
      <c r="A21" s="0" t="s">
        <v>151</v>
      </c>
      <c r="B21" s="0">
        <v>2</v>
      </c>
      <c r="C21" s="0" t="s">
        <v>32</v>
      </c>
      <c r="D21" s="0" t="s">
        <v>34</v>
      </c>
      <c r="E21" s="0" t="s">
        <v>34</v>
      </c>
      <c r="F21" s="0" t="s">
        <v>34</v>
      </c>
      <c r="G21" s="8" t="s">
        <v>1290</v>
      </c>
      <c r="H21" s="0" t="s">
        <v>101</v>
      </c>
      <c r="I21" s="0">
        <v>1</v>
      </c>
      <c r="J21" s="0">
        <v>1</v>
      </c>
      <c r="K21" s="0" t="s">
        <v>1291</v>
      </c>
      <c r="L21" s="0" t="s">
        <v>363</v>
      </c>
      <c r="M21" s="0" t="s">
        <v>138</v>
      </c>
      <c r="N21" s="0" t="s">
        <v>139</v>
      </c>
      <c r="O21" s="0" t="s">
        <v>34</v>
      </c>
      <c r="P21" s="0" t="s">
        <v>34</v>
      </c>
      <c r="Q21" s="0" t="s">
        <v>34</v>
      </c>
      <c r="R21" s="0" t="s">
        <v>34</v>
      </c>
      <c r="S21" s="0" t="s">
        <v>34</v>
      </c>
      <c r="T21" s="0" t="s">
        <v>34</v>
      </c>
      <c r="U21" s="0" t="s">
        <v>34</v>
      </c>
      <c r="V21" s="0" t="s">
        <v>34</v>
      </c>
      <c r="W21" s="0" t="s">
        <v>34</v>
      </c>
      <c r="X21" s="0" t="s">
        <v>34</v>
      </c>
      <c r="Y21" s="0" t="s">
        <v>34</v>
      </c>
      <c r="Z21" s="0" t="s">
        <v>43</v>
      </c>
      <c r="AA21" s="0" t="s">
        <v>34</v>
      </c>
      <c r="AB21" s="0" t="s">
        <v>34</v>
      </c>
      <c r="AC21" s="0" t="s">
        <v>34</v>
      </c>
      <c r="AD21" s="0">
        <f>IF($AC21="","NEW","Live")</f>
      </c>
      <c r="AE21" s="8" t="s">
        <v>1292</v>
      </c>
      <c r="AF21" s="0" t="s">
        <v>915</v>
      </c>
      <c r="AG21" s="8" t="s">
        <v>1293</v>
      </c>
      <c r="AH21" s="0" t="s">
        <v>1294</v>
      </c>
      <c r="AI21" s="0" t="s">
        <v>884</v>
      </c>
    </row>
    <row r="22">
      <c r="A22" s="0" t="s">
        <v>1295</v>
      </c>
      <c r="B22" s="0">
        <v>2</v>
      </c>
      <c r="C22" s="0" t="s">
        <v>32</v>
      </c>
      <c r="D22" s="0" t="s">
        <v>1296</v>
      </c>
      <c r="E22" s="0" t="s">
        <v>34</v>
      </c>
      <c r="F22" s="0" t="s">
        <v>34</v>
      </c>
      <c r="G22" s="8" t="s">
        <v>1297</v>
      </c>
      <c r="H22" s="0" t="s">
        <v>101</v>
      </c>
      <c r="I22" s="0">
        <v>1</v>
      </c>
      <c r="J22" s="0">
        <v>1</v>
      </c>
      <c r="K22" s="0" t="s">
        <v>1298</v>
      </c>
      <c r="L22" s="0" t="s">
        <v>363</v>
      </c>
      <c r="M22" s="0" t="s">
        <v>258</v>
      </c>
      <c r="N22" s="0" t="s">
        <v>798</v>
      </c>
      <c r="O22" s="0" t="s">
        <v>102</v>
      </c>
      <c r="P22" s="0" t="s">
        <v>41</v>
      </c>
      <c r="Q22" s="0" t="s">
        <v>34</v>
      </c>
      <c r="R22" s="0" t="s">
        <v>34</v>
      </c>
      <c r="S22" s="0" t="s">
        <v>34</v>
      </c>
      <c r="T22" s="0" t="s">
        <v>34</v>
      </c>
      <c r="U22" s="0" t="s">
        <v>34</v>
      </c>
      <c r="V22" s="0" t="s">
        <v>34</v>
      </c>
      <c r="W22" s="0" t="s">
        <v>34</v>
      </c>
      <c r="X22" s="0" t="s">
        <v>34</v>
      </c>
      <c r="Y22" s="0" t="s">
        <v>34</v>
      </c>
      <c r="Z22" s="0" t="s">
        <v>43</v>
      </c>
      <c r="AA22" s="0" t="s">
        <v>34</v>
      </c>
      <c r="AB22" s="0" t="s">
        <v>34</v>
      </c>
      <c r="AC22" s="0" t="s">
        <v>34</v>
      </c>
      <c r="AD22" s="0">
        <f>IF($AC22="","NEW","Live")</f>
      </c>
      <c r="AE22" s="8" t="s">
        <v>34</v>
      </c>
      <c r="AF22" s="0" t="s">
        <v>882</v>
      </c>
      <c r="AG22" s="8" t="s">
        <v>34</v>
      </c>
      <c r="AH22" s="0" t="s">
        <v>34</v>
      </c>
      <c r="AI22" s="0" t="s">
        <v>889</v>
      </c>
    </row>
    <row r="23">
      <c r="A23" s="0" t="s">
        <v>1299</v>
      </c>
      <c r="B23" s="0">
        <v>2</v>
      </c>
      <c r="C23" s="0" t="s">
        <v>62</v>
      </c>
      <c r="D23" s="0" t="s">
        <v>391</v>
      </c>
      <c r="E23" s="0" t="s">
        <v>963</v>
      </c>
      <c r="F23" s="0" t="s">
        <v>34</v>
      </c>
      <c r="G23" s="8" t="s">
        <v>1300</v>
      </c>
      <c r="H23" s="0" t="s">
        <v>101</v>
      </c>
      <c r="I23" s="0">
        <v>1</v>
      </c>
      <c r="J23" s="0">
        <v>1</v>
      </c>
      <c r="K23" s="0" t="s">
        <v>1301</v>
      </c>
      <c r="L23" s="0" t="s">
        <v>363</v>
      </c>
      <c r="M23" s="0" t="s">
        <v>258</v>
      </c>
      <c r="N23" s="0" t="s">
        <v>798</v>
      </c>
      <c r="O23" s="0" t="s">
        <v>102</v>
      </c>
      <c r="P23" s="0" t="s">
        <v>41</v>
      </c>
      <c r="Q23" s="0" t="s">
        <v>34</v>
      </c>
      <c r="R23" s="0" t="s">
        <v>102</v>
      </c>
      <c r="S23" s="0" t="s">
        <v>41</v>
      </c>
      <c r="T23" s="0" t="s">
        <v>34</v>
      </c>
      <c r="U23" s="0" t="s">
        <v>34</v>
      </c>
      <c r="V23" s="0" t="s">
        <v>34</v>
      </c>
      <c r="W23" s="0" t="s">
        <v>34</v>
      </c>
      <c r="X23" s="0" t="s">
        <v>34</v>
      </c>
      <c r="Y23" s="0" t="s">
        <v>34</v>
      </c>
      <c r="Z23" s="0" t="s">
        <v>43</v>
      </c>
      <c r="AA23" s="0" t="s">
        <v>34</v>
      </c>
      <c r="AB23" s="0" t="s">
        <v>34</v>
      </c>
      <c r="AC23" s="0" t="s">
        <v>34</v>
      </c>
      <c r="AD23" s="0">
        <f>IF($AC23="","NEW","Live")</f>
      </c>
      <c r="AE23" s="8" t="s">
        <v>34</v>
      </c>
      <c r="AF23" s="0" t="s">
        <v>882</v>
      </c>
      <c r="AG23" s="8" t="s">
        <v>34</v>
      </c>
      <c r="AH23" s="0" t="s">
        <v>34</v>
      </c>
      <c r="AI23" s="0" t="s">
        <v>889</v>
      </c>
    </row>
    <row r="24">
      <c r="A24" s="0" t="s">
        <v>1302</v>
      </c>
      <c r="B24" s="0">
        <v>2</v>
      </c>
      <c r="C24" s="0" t="s">
        <v>62</v>
      </c>
      <c r="D24" s="0" t="s">
        <v>136</v>
      </c>
      <c r="E24" s="0" t="s">
        <v>400</v>
      </c>
      <c r="F24" s="0" t="s">
        <v>34</v>
      </c>
      <c r="G24" s="8" t="s">
        <v>1303</v>
      </c>
      <c r="H24" s="0" t="s">
        <v>101</v>
      </c>
      <c r="I24" s="0">
        <v>1</v>
      </c>
      <c r="J24" s="0">
        <v>1</v>
      </c>
      <c r="K24" s="0" t="s">
        <v>1302</v>
      </c>
      <c r="L24" s="0" t="s">
        <v>363</v>
      </c>
      <c r="M24" s="0" t="s">
        <v>138</v>
      </c>
      <c r="N24" s="0" t="s">
        <v>381</v>
      </c>
      <c r="O24" s="0" t="s">
        <v>102</v>
      </c>
      <c r="P24" s="0" t="s">
        <v>41</v>
      </c>
      <c r="Q24" s="0" t="s">
        <v>34</v>
      </c>
      <c r="R24" s="0" t="s">
        <v>102</v>
      </c>
      <c r="S24" s="0" t="s">
        <v>41</v>
      </c>
      <c r="T24" s="0" t="s">
        <v>34</v>
      </c>
      <c r="U24" s="0" t="s">
        <v>34</v>
      </c>
      <c r="V24" s="0" t="s">
        <v>34</v>
      </c>
      <c r="W24" s="0" t="s">
        <v>34</v>
      </c>
      <c r="X24" s="0" t="s">
        <v>34</v>
      </c>
      <c r="Y24" s="0" t="s">
        <v>34</v>
      </c>
      <c r="Z24" s="0" t="s">
        <v>43</v>
      </c>
      <c r="AA24" s="0" t="s">
        <v>34</v>
      </c>
      <c r="AB24" s="0" t="s">
        <v>34</v>
      </c>
      <c r="AC24" s="0" t="s">
        <v>34</v>
      </c>
      <c r="AD24" s="0">
        <f>IF($AC24="","NEW","Live")</f>
      </c>
      <c r="AE24" s="8" t="s">
        <v>34</v>
      </c>
      <c r="AF24" s="0" t="s">
        <v>882</v>
      </c>
      <c r="AG24" s="8" t="s">
        <v>34</v>
      </c>
      <c r="AH24" s="0" t="s">
        <v>34</v>
      </c>
      <c r="AI24" s="0" t="s">
        <v>884</v>
      </c>
    </row>
    <row r="25">
      <c r="A25" s="0" t="s">
        <v>1304</v>
      </c>
      <c r="B25" s="0">
        <v>2</v>
      </c>
      <c r="C25" s="0" t="s">
        <v>62</v>
      </c>
      <c r="D25" s="0" t="s">
        <v>272</v>
      </c>
      <c r="E25" s="0" t="s">
        <v>127</v>
      </c>
      <c r="F25" s="0" t="s">
        <v>34</v>
      </c>
      <c r="G25" s="8" t="s">
        <v>1305</v>
      </c>
      <c r="H25" s="0" t="s">
        <v>36</v>
      </c>
      <c r="I25" s="0">
        <v>0</v>
      </c>
      <c r="J25" s="0">
        <v>0</v>
      </c>
      <c r="K25" s="0" t="s">
        <v>1306</v>
      </c>
      <c r="L25" s="0" t="s">
        <v>363</v>
      </c>
      <c r="M25" s="0" t="s">
        <v>124</v>
      </c>
      <c r="N25" s="0" t="s">
        <v>139</v>
      </c>
      <c r="O25" s="0" t="s">
        <v>102</v>
      </c>
      <c r="P25" s="0" t="s">
        <v>41</v>
      </c>
      <c r="Q25" s="0" t="s">
        <v>34</v>
      </c>
      <c r="R25" s="0" t="s">
        <v>40</v>
      </c>
      <c r="S25" s="0" t="s">
        <v>41</v>
      </c>
      <c r="T25" s="0" t="s">
        <v>34</v>
      </c>
      <c r="U25" s="0" t="s">
        <v>34</v>
      </c>
      <c r="V25" s="0" t="s">
        <v>34</v>
      </c>
      <c r="W25" s="0" t="s">
        <v>34</v>
      </c>
      <c r="X25" s="0" t="s">
        <v>34</v>
      </c>
      <c r="Y25" s="0" t="s">
        <v>34</v>
      </c>
      <c r="Z25" s="0" t="s">
        <v>43</v>
      </c>
      <c r="AA25" s="0" t="s">
        <v>34</v>
      </c>
      <c r="AB25" s="0" t="s">
        <v>34</v>
      </c>
      <c r="AC25" s="0" t="s">
        <v>34</v>
      </c>
      <c r="AD25" s="0">
        <f>IF($AC25="","NEW","Live")</f>
      </c>
      <c r="AE25" s="8" t="s">
        <v>34</v>
      </c>
      <c r="AF25" s="0" t="s">
        <v>882</v>
      </c>
      <c r="AG25" s="8" t="s">
        <v>34</v>
      </c>
      <c r="AH25" s="0" t="s">
        <v>34</v>
      </c>
      <c r="AI25" s="0" t="s">
        <v>889</v>
      </c>
    </row>
    <row r="26">
      <c r="A26" s="0" t="s">
        <v>1307</v>
      </c>
      <c r="B26" s="0">
        <v>1</v>
      </c>
      <c r="C26" s="0" t="s">
        <v>81</v>
      </c>
      <c r="D26" s="0" t="s">
        <v>956</v>
      </c>
      <c r="E26" s="0" t="s">
        <v>34</v>
      </c>
      <c r="F26" s="0" t="s">
        <v>34</v>
      </c>
      <c r="G26" s="8" t="s">
        <v>1308</v>
      </c>
      <c r="H26" s="0" t="s">
        <v>36</v>
      </c>
      <c r="I26" s="0">
        <v>0</v>
      </c>
      <c r="J26" s="0">
        <v>0</v>
      </c>
      <c r="K26" s="0" t="s">
        <v>1307</v>
      </c>
      <c r="L26" s="0" t="s">
        <v>363</v>
      </c>
      <c r="M26" s="0" t="s">
        <v>124</v>
      </c>
      <c r="N26" s="0" t="s">
        <v>139</v>
      </c>
      <c r="O26" s="0" t="s">
        <v>40</v>
      </c>
      <c r="P26" s="0" t="s">
        <v>41</v>
      </c>
      <c r="Q26" s="0" t="s">
        <v>34</v>
      </c>
      <c r="R26" s="0" t="s">
        <v>34</v>
      </c>
      <c r="S26" s="0" t="s">
        <v>34</v>
      </c>
      <c r="T26" s="0" t="s">
        <v>34</v>
      </c>
      <c r="U26" s="0" t="s">
        <v>34</v>
      </c>
      <c r="V26" s="0" t="s">
        <v>34</v>
      </c>
      <c r="W26" s="0" t="s">
        <v>34</v>
      </c>
      <c r="X26" s="0" t="s">
        <v>34</v>
      </c>
      <c r="Y26" s="0" t="s">
        <v>34</v>
      </c>
      <c r="Z26" s="0" t="s">
        <v>43</v>
      </c>
      <c r="AA26" s="0" t="s">
        <v>34</v>
      </c>
      <c r="AB26" s="0" t="s">
        <v>34</v>
      </c>
      <c r="AC26" s="0" t="s">
        <v>34</v>
      </c>
      <c r="AD26" s="0">
        <f>IF($AC26="","NEW","Live")</f>
      </c>
      <c r="AE26" s="8" t="s">
        <v>1309</v>
      </c>
      <c r="AF26" s="0" t="s">
        <v>882</v>
      </c>
      <c r="AG26" s="8" t="s">
        <v>34</v>
      </c>
      <c r="AH26" s="0" t="s">
        <v>34</v>
      </c>
      <c r="AI26" s="0" t="s">
        <v>889</v>
      </c>
    </row>
    <row r="27">
      <c r="A27" s="0" t="s">
        <v>245</v>
      </c>
      <c r="B27" s="0">
        <v>1</v>
      </c>
      <c r="C27" s="0" t="s">
        <v>32</v>
      </c>
      <c r="D27" s="0" t="s">
        <v>1200</v>
      </c>
      <c r="E27" s="0" t="s">
        <v>34</v>
      </c>
      <c r="F27" s="0" t="s">
        <v>34</v>
      </c>
      <c r="G27" s="8" t="s">
        <v>1201</v>
      </c>
      <c r="H27" s="0" t="s">
        <v>36</v>
      </c>
      <c r="I27" s="0">
        <v>0</v>
      </c>
      <c r="J27" s="0">
        <v>0</v>
      </c>
      <c r="K27" s="0" t="s">
        <v>245</v>
      </c>
      <c r="L27" s="0" t="s">
        <v>363</v>
      </c>
      <c r="M27" s="0" t="s">
        <v>124</v>
      </c>
      <c r="N27" s="0" t="s">
        <v>139</v>
      </c>
      <c r="O27" s="0" t="s">
        <v>40</v>
      </c>
      <c r="P27" s="0" t="s">
        <v>41</v>
      </c>
      <c r="Q27" s="0" t="s">
        <v>34</v>
      </c>
      <c r="R27" s="0" t="s">
        <v>34</v>
      </c>
      <c r="S27" s="0" t="s">
        <v>34</v>
      </c>
      <c r="T27" s="0" t="s">
        <v>34</v>
      </c>
      <c r="U27" s="0" t="s">
        <v>34</v>
      </c>
      <c r="V27" s="0" t="s">
        <v>34</v>
      </c>
      <c r="W27" s="0" t="s">
        <v>34</v>
      </c>
      <c r="X27" s="0" t="s">
        <v>34</v>
      </c>
      <c r="Y27" s="0" t="s">
        <v>34</v>
      </c>
      <c r="Z27" s="0" t="s">
        <v>43</v>
      </c>
      <c r="AA27" s="0" t="s">
        <v>34</v>
      </c>
      <c r="AB27" s="0" t="s">
        <v>34</v>
      </c>
      <c r="AC27" s="0" t="s">
        <v>34</v>
      </c>
      <c r="AD27" s="0">
        <f>IF($AC27="","NEW","Live")</f>
      </c>
      <c r="AE27" s="8" t="s">
        <v>34</v>
      </c>
      <c r="AF27" s="0" t="s">
        <v>882</v>
      </c>
      <c r="AG27" s="8" t="s">
        <v>34</v>
      </c>
      <c r="AH27" s="0" t="s">
        <v>1032</v>
      </c>
      <c r="AI27" s="0" t="s">
        <v>884</v>
      </c>
    </row>
    <row r="28">
      <c r="A28" s="0" t="s">
        <v>1310</v>
      </c>
      <c r="B28" s="0">
        <v>1</v>
      </c>
      <c r="C28" s="0" t="s">
        <v>81</v>
      </c>
      <c r="D28" s="0" t="s">
        <v>1311</v>
      </c>
      <c r="E28" s="0" t="s">
        <v>34</v>
      </c>
      <c r="F28" s="0" t="s">
        <v>34</v>
      </c>
      <c r="G28" s="8" t="s">
        <v>1312</v>
      </c>
      <c r="H28" s="0" t="s">
        <v>101</v>
      </c>
      <c r="I28" s="0">
        <v>1</v>
      </c>
      <c r="J28" s="0">
        <v>2</v>
      </c>
      <c r="K28" s="0" t="s">
        <v>1313</v>
      </c>
      <c r="L28" s="0" t="s">
        <v>363</v>
      </c>
      <c r="M28" s="0" t="s">
        <v>258</v>
      </c>
      <c r="N28" s="0" t="s">
        <v>139</v>
      </c>
      <c r="O28" s="0" t="s">
        <v>102</v>
      </c>
      <c r="P28" s="0" t="s">
        <v>41</v>
      </c>
      <c r="Q28" s="0" t="s">
        <v>34</v>
      </c>
      <c r="R28" s="0" t="s">
        <v>34</v>
      </c>
      <c r="S28" s="0" t="s">
        <v>34</v>
      </c>
      <c r="T28" s="0" t="s">
        <v>34</v>
      </c>
      <c r="U28" s="0" t="s">
        <v>34</v>
      </c>
      <c r="V28" s="0" t="s">
        <v>34</v>
      </c>
      <c r="W28" s="0" t="s">
        <v>34</v>
      </c>
      <c r="X28" s="0" t="s">
        <v>34</v>
      </c>
      <c r="Y28" s="0" t="s">
        <v>34</v>
      </c>
      <c r="Z28" s="0" t="s">
        <v>43</v>
      </c>
      <c r="AA28" s="0" t="s">
        <v>34</v>
      </c>
      <c r="AB28" s="0" t="s">
        <v>34</v>
      </c>
      <c r="AC28" s="0" t="s">
        <v>34</v>
      </c>
      <c r="AD28" s="0">
        <f>IF($AC28="","NEW","Live")</f>
      </c>
      <c r="AE28" s="8" t="s">
        <v>34</v>
      </c>
      <c r="AF28" s="0" t="s">
        <v>882</v>
      </c>
      <c r="AG28" s="8" t="s">
        <v>34</v>
      </c>
      <c r="AH28" s="0" t="s">
        <v>34</v>
      </c>
      <c r="AI28" s="0" t="s">
        <v>889</v>
      </c>
    </row>
    <row r="29">
      <c r="A29" s="0" t="s">
        <v>1314</v>
      </c>
      <c r="B29" s="0">
        <v>3</v>
      </c>
      <c r="C29" s="0" t="s">
        <v>62</v>
      </c>
      <c r="D29" s="0" t="s">
        <v>391</v>
      </c>
      <c r="E29" s="0" t="s">
        <v>34</v>
      </c>
      <c r="F29" s="0" t="s">
        <v>34</v>
      </c>
      <c r="G29" s="8" t="s">
        <v>1315</v>
      </c>
      <c r="H29" s="0" t="s">
        <v>101</v>
      </c>
      <c r="I29" s="0">
        <v>1</v>
      </c>
      <c r="J29" s="0">
        <v>3</v>
      </c>
      <c r="K29" s="0" t="s">
        <v>1316</v>
      </c>
      <c r="L29" s="0" t="s">
        <v>363</v>
      </c>
      <c r="M29" s="0" t="s">
        <v>258</v>
      </c>
      <c r="N29" s="0" t="s">
        <v>798</v>
      </c>
      <c r="O29" s="0" t="s">
        <v>102</v>
      </c>
      <c r="P29" s="0" t="s">
        <v>87</v>
      </c>
      <c r="Q29" s="0" t="s">
        <v>34</v>
      </c>
      <c r="R29" s="0" t="s">
        <v>34</v>
      </c>
      <c r="S29" s="0" t="s">
        <v>34</v>
      </c>
      <c r="T29" s="0" t="s">
        <v>34</v>
      </c>
      <c r="U29" s="0" t="s">
        <v>34</v>
      </c>
      <c r="V29" s="0" t="s">
        <v>34</v>
      </c>
      <c r="W29" s="0" t="s">
        <v>34</v>
      </c>
      <c r="X29" s="0" t="s">
        <v>34</v>
      </c>
      <c r="Y29" s="0" t="s">
        <v>34</v>
      </c>
      <c r="Z29" s="0" t="s">
        <v>43</v>
      </c>
      <c r="AA29" s="0" t="s">
        <v>34</v>
      </c>
      <c r="AB29" s="0" t="s">
        <v>34</v>
      </c>
      <c r="AC29" s="0" t="s">
        <v>34</v>
      </c>
      <c r="AD29" s="0">
        <f>IF($AC29="","NEW","Live")</f>
      </c>
      <c r="AE29" s="8" t="s">
        <v>34</v>
      </c>
      <c r="AF29" s="0" t="s">
        <v>882</v>
      </c>
      <c r="AG29" s="8" t="s">
        <v>34</v>
      </c>
      <c r="AH29" s="0" t="s">
        <v>34</v>
      </c>
      <c r="AI29" s="0" t="s">
        <v>889</v>
      </c>
    </row>
    <row r="30">
      <c r="A30" s="0" t="s">
        <v>1317</v>
      </c>
      <c r="B30" s="0">
        <v>2</v>
      </c>
      <c r="C30" s="0" t="s">
        <v>62</v>
      </c>
      <c r="D30" s="0" t="s">
        <v>1156</v>
      </c>
      <c r="E30" s="0" t="s">
        <v>34</v>
      </c>
      <c r="F30" s="0" t="s">
        <v>34</v>
      </c>
      <c r="G30" s="8" t="s">
        <v>1157</v>
      </c>
      <c r="H30" s="0" t="s">
        <v>36</v>
      </c>
      <c r="I30" s="0">
        <v>0</v>
      </c>
      <c r="J30" s="0">
        <v>0</v>
      </c>
      <c r="K30" s="0" t="s">
        <v>1318</v>
      </c>
      <c r="L30" s="0" t="s">
        <v>363</v>
      </c>
      <c r="M30" s="0" t="s">
        <v>38</v>
      </c>
      <c r="N30" s="0" t="s">
        <v>39</v>
      </c>
      <c r="O30" s="0" t="s">
        <v>40</v>
      </c>
      <c r="P30" s="0" t="s">
        <v>41</v>
      </c>
      <c r="Q30" s="0" t="s">
        <v>34</v>
      </c>
      <c r="R30" s="0" t="s">
        <v>34</v>
      </c>
      <c r="S30" s="0" t="s">
        <v>34</v>
      </c>
      <c r="T30" s="0" t="s">
        <v>34</v>
      </c>
      <c r="U30" s="0" t="s">
        <v>34</v>
      </c>
      <c r="V30" s="0" t="s">
        <v>34</v>
      </c>
      <c r="W30" s="0" t="s">
        <v>34</v>
      </c>
      <c r="X30" s="0" t="s">
        <v>34</v>
      </c>
      <c r="Y30" s="0" t="s">
        <v>34</v>
      </c>
      <c r="Z30" s="0" t="s">
        <v>43</v>
      </c>
      <c r="AA30" s="0" t="s">
        <v>34</v>
      </c>
      <c r="AB30" s="0" t="s">
        <v>34</v>
      </c>
      <c r="AC30" s="0" t="s">
        <v>34</v>
      </c>
      <c r="AD30" s="0">
        <f>IF($AC30="","NEW","Live")</f>
      </c>
      <c r="AE30" s="8" t="s">
        <v>34</v>
      </c>
      <c r="AF30" s="0" t="s">
        <v>882</v>
      </c>
      <c r="AG30" s="8" t="s">
        <v>34</v>
      </c>
      <c r="AH30" s="0" t="s">
        <v>34</v>
      </c>
      <c r="AI30" s="0" t="s">
        <v>889</v>
      </c>
    </row>
    <row r="31">
      <c r="A31" s="0" t="s">
        <v>1319</v>
      </c>
      <c r="B31" s="0">
        <v>0</v>
      </c>
      <c r="C31" s="0" t="s">
        <v>62</v>
      </c>
      <c r="D31" s="0" t="s">
        <v>47</v>
      </c>
      <c r="E31" s="0" t="s">
        <v>34</v>
      </c>
      <c r="F31" s="0" t="s">
        <v>34</v>
      </c>
      <c r="G31" s="8" t="s">
        <v>1320</v>
      </c>
      <c r="H31" s="0" t="s">
        <v>36</v>
      </c>
      <c r="I31" s="0">
        <v>0</v>
      </c>
      <c r="J31" s="0">
        <v>0</v>
      </c>
      <c r="K31" s="0" t="s">
        <v>1319</v>
      </c>
      <c r="L31" s="0" t="s">
        <v>363</v>
      </c>
      <c r="M31" s="0" t="s">
        <v>124</v>
      </c>
      <c r="N31" s="0" t="s">
        <v>139</v>
      </c>
      <c r="O31" s="0" t="s">
        <v>40</v>
      </c>
      <c r="P31" s="0" t="s">
        <v>41</v>
      </c>
      <c r="Q31" s="0" t="s">
        <v>34</v>
      </c>
      <c r="R31" s="0" t="s">
        <v>34</v>
      </c>
      <c r="S31" s="0" t="s">
        <v>34</v>
      </c>
      <c r="T31" s="0" t="s">
        <v>34</v>
      </c>
      <c r="U31" s="0" t="s">
        <v>34</v>
      </c>
      <c r="V31" s="0" t="s">
        <v>34</v>
      </c>
      <c r="W31" s="0" t="s">
        <v>34</v>
      </c>
      <c r="X31" s="0" t="s">
        <v>34</v>
      </c>
      <c r="Y31" s="0" t="s">
        <v>34</v>
      </c>
      <c r="Z31" s="0" t="s">
        <v>43</v>
      </c>
      <c r="AA31" s="0" t="s">
        <v>34</v>
      </c>
      <c r="AB31" s="0" t="s">
        <v>34</v>
      </c>
      <c r="AC31" s="0" t="s">
        <v>34</v>
      </c>
      <c r="AD31" s="0">
        <f>IF($AC31="","NEW","Live")</f>
      </c>
      <c r="AE31" s="8" t="s">
        <v>34</v>
      </c>
      <c r="AF31" s="0" t="s">
        <v>882</v>
      </c>
      <c r="AG31" s="8" t="s">
        <v>34</v>
      </c>
      <c r="AH31" s="0" t="s">
        <v>1032</v>
      </c>
      <c r="AI31" s="0" t="s">
        <v>889</v>
      </c>
    </row>
    <row r="32">
      <c r="A32" s="0" t="s">
        <v>1321</v>
      </c>
      <c r="B32" s="0">
        <v>1</v>
      </c>
      <c r="C32" s="0" t="s">
        <v>62</v>
      </c>
      <c r="D32" s="0" t="s">
        <v>34</v>
      </c>
      <c r="E32" s="0" t="s">
        <v>34</v>
      </c>
      <c r="F32" s="0" t="s">
        <v>34</v>
      </c>
      <c r="G32" s="8" t="s">
        <v>1322</v>
      </c>
      <c r="H32" s="0" t="s">
        <v>101</v>
      </c>
      <c r="I32" s="0">
        <v>1</v>
      </c>
      <c r="J32" s="0">
        <v>1</v>
      </c>
      <c r="K32" s="0" t="s">
        <v>1323</v>
      </c>
      <c r="L32" s="0" t="s">
        <v>363</v>
      </c>
      <c r="M32" s="0" t="s">
        <v>138</v>
      </c>
      <c r="N32" s="0" t="s">
        <v>139</v>
      </c>
      <c r="O32" s="0" t="s">
        <v>34</v>
      </c>
      <c r="P32" s="0" t="s">
        <v>34</v>
      </c>
      <c r="Q32" s="0" t="s">
        <v>34</v>
      </c>
      <c r="R32" s="0" t="s">
        <v>34</v>
      </c>
      <c r="S32" s="0" t="s">
        <v>34</v>
      </c>
      <c r="T32" s="0" t="s">
        <v>34</v>
      </c>
      <c r="U32" s="0" t="s">
        <v>34</v>
      </c>
      <c r="V32" s="0" t="s">
        <v>34</v>
      </c>
      <c r="W32" s="0" t="s">
        <v>34</v>
      </c>
      <c r="X32" s="0" t="s">
        <v>34</v>
      </c>
      <c r="Y32" s="0" t="s">
        <v>34</v>
      </c>
      <c r="Z32" s="0" t="s">
        <v>43</v>
      </c>
      <c r="AA32" s="0" t="s">
        <v>34</v>
      </c>
      <c r="AB32" s="0" t="s">
        <v>34</v>
      </c>
      <c r="AC32" s="0" t="s">
        <v>34</v>
      </c>
      <c r="AD32" s="0">
        <f>IF($AC32="","NEW","Live")</f>
      </c>
      <c r="AE32" s="8" t="s">
        <v>1324</v>
      </c>
      <c r="AF32" s="0" t="s">
        <v>936</v>
      </c>
      <c r="AG32" s="8" t="s">
        <v>1325</v>
      </c>
      <c r="AH32" s="0" t="s">
        <v>1326</v>
      </c>
      <c r="AI32" s="0" t="s">
        <v>884</v>
      </c>
    </row>
    <row r="33">
      <c r="A33" s="0" t="s">
        <v>1327</v>
      </c>
      <c r="B33" s="0">
        <v>1</v>
      </c>
      <c r="C33" s="0" t="s">
        <v>62</v>
      </c>
      <c r="D33" s="0" t="s">
        <v>34</v>
      </c>
      <c r="E33" s="0" t="s">
        <v>34</v>
      </c>
      <c r="F33" s="0" t="s">
        <v>34</v>
      </c>
      <c r="G33" s="8" t="s">
        <v>1328</v>
      </c>
      <c r="H33" s="0" t="s">
        <v>36</v>
      </c>
      <c r="I33" s="0">
        <v>0</v>
      </c>
      <c r="J33" s="0">
        <v>0</v>
      </c>
      <c r="K33" s="0" t="s">
        <v>1329</v>
      </c>
      <c r="L33" s="0" t="s">
        <v>363</v>
      </c>
      <c r="M33" s="0" t="s">
        <v>124</v>
      </c>
      <c r="N33" s="0" t="s">
        <v>798</v>
      </c>
      <c r="O33" s="0" t="s">
        <v>34</v>
      </c>
      <c r="P33" s="0" t="s">
        <v>34</v>
      </c>
      <c r="Q33" s="0" t="s">
        <v>34</v>
      </c>
      <c r="R33" s="0" t="s">
        <v>34</v>
      </c>
      <c r="S33" s="0" t="s">
        <v>34</v>
      </c>
      <c r="T33" s="0" t="s">
        <v>34</v>
      </c>
      <c r="U33" s="0" t="s">
        <v>34</v>
      </c>
      <c r="V33" s="0" t="s">
        <v>34</v>
      </c>
      <c r="W33" s="0" t="s">
        <v>34</v>
      </c>
      <c r="X33" s="0" t="s">
        <v>34</v>
      </c>
      <c r="Y33" s="0" t="s">
        <v>34</v>
      </c>
      <c r="Z33" s="0" t="s">
        <v>43</v>
      </c>
      <c r="AA33" s="0" t="s">
        <v>34</v>
      </c>
      <c r="AB33" s="0" t="s">
        <v>34</v>
      </c>
      <c r="AC33" s="0" t="s">
        <v>34</v>
      </c>
      <c r="AD33" s="0">
        <f>IF($AC33="","NEW","Live")</f>
      </c>
      <c r="AE33" s="8" t="s">
        <v>1330</v>
      </c>
      <c r="AF33" s="0" t="s">
        <v>926</v>
      </c>
      <c r="AG33" s="8" t="s">
        <v>1331</v>
      </c>
      <c r="AH33" s="0" t="s">
        <v>904</v>
      </c>
      <c r="AI33" s="0" t="s">
        <v>884</v>
      </c>
    </row>
    <row r="34">
      <c r="A34" s="0" t="s">
        <v>1332</v>
      </c>
      <c r="B34" s="0">
        <v>2</v>
      </c>
      <c r="C34" s="0" t="s">
        <v>985</v>
      </c>
      <c r="D34" s="0" t="s">
        <v>34</v>
      </c>
      <c r="E34" s="0" t="s">
        <v>34</v>
      </c>
      <c r="F34" s="0" t="s">
        <v>34</v>
      </c>
      <c r="G34" s="8" t="s">
        <v>1333</v>
      </c>
      <c r="H34" s="0" t="s">
        <v>101</v>
      </c>
      <c r="I34" s="0">
        <v>1</v>
      </c>
      <c r="J34" s="0">
        <v>1</v>
      </c>
      <c r="K34" s="0" t="s">
        <v>1332</v>
      </c>
      <c r="L34" s="0" t="s">
        <v>363</v>
      </c>
      <c r="M34" s="0" t="s">
        <v>138</v>
      </c>
      <c r="N34" s="0" t="s">
        <v>139</v>
      </c>
      <c r="O34" s="0" t="s">
        <v>34</v>
      </c>
      <c r="P34" s="0" t="s">
        <v>34</v>
      </c>
      <c r="Q34" s="0" t="s">
        <v>34</v>
      </c>
      <c r="R34" s="0" t="s">
        <v>34</v>
      </c>
      <c r="S34" s="0" t="s">
        <v>34</v>
      </c>
      <c r="T34" s="0" t="s">
        <v>34</v>
      </c>
      <c r="U34" s="0" t="s">
        <v>34</v>
      </c>
      <c r="V34" s="0" t="s">
        <v>34</v>
      </c>
      <c r="W34" s="0" t="s">
        <v>34</v>
      </c>
      <c r="X34" s="0" t="s">
        <v>34</v>
      </c>
      <c r="Y34" s="0" t="s">
        <v>34</v>
      </c>
      <c r="Z34" s="0" t="s">
        <v>43</v>
      </c>
      <c r="AA34" s="0" t="s">
        <v>34</v>
      </c>
      <c r="AB34" s="0" t="s">
        <v>34</v>
      </c>
      <c r="AC34" s="0" t="s">
        <v>34</v>
      </c>
      <c r="AD34" s="0">
        <f>IF($AC34="","NEW","Live")</f>
      </c>
      <c r="AE34" s="8" t="s">
        <v>34</v>
      </c>
      <c r="AF34" s="0" t="s">
        <v>915</v>
      </c>
      <c r="AG34" s="8" t="s">
        <v>1334</v>
      </c>
      <c r="AH34" s="0" t="s">
        <v>1335</v>
      </c>
      <c r="AI34" s="0" t="s">
        <v>889</v>
      </c>
    </row>
    <row r="35">
      <c r="A35" s="0" t="s">
        <v>1336</v>
      </c>
      <c r="B35" s="0">
        <v>1</v>
      </c>
      <c r="C35" s="0" t="s">
        <v>32</v>
      </c>
      <c r="D35" s="0" t="s">
        <v>34</v>
      </c>
      <c r="E35" s="0" t="s">
        <v>34</v>
      </c>
      <c r="F35" s="0" t="s">
        <v>34</v>
      </c>
      <c r="G35" s="8" t="s">
        <v>1337</v>
      </c>
      <c r="H35" s="0" t="s">
        <v>36</v>
      </c>
      <c r="I35" s="0">
        <v>0</v>
      </c>
      <c r="J35" s="0">
        <v>0</v>
      </c>
      <c r="K35" s="0" t="s">
        <v>1338</v>
      </c>
      <c r="L35" s="0" t="s">
        <v>363</v>
      </c>
      <c r="M35" s="0" t="s">
        <v>124</v>
      </c>
      <c r="N35" s="0" t="s">
        <v>139</v>
      </c>
      <c r="O35" s="0" t="s">
        <v>34</v>
      </c>
      <c r="P35" s="0" t="s">
        <v>34</v>
      </c>
      <c r="Q35" s="0" t="s">
        <v>34</v>
      </c>
      <c r="R35" s="0" t="s">
        <v>34</v>
      </c>
      <c r="S35" s="0" t="s">
        <v>34</v>
      </c>
      <c r="T35" s="0" t="s">
        <v>34</v>
      </c>
      <c r="U35" s="0" t="s">
        <v>34</v>
      </c>
      <c r="V35" s="0" t="s">
        <v>34</v>
      </c>
      <c r="W35" s="0" t="s">
        <v>34</v>
      </c>
      <c r="X35" s="0" t="s">
        <v>34</v>
      </c>
      <c r="Y35" s="0" t="s">
        <v>34</v>
      </c>
      <c r="Z35" s="0" t="s">
        <v>43</v>
      </c>
      <c r="AA35" s="0" t="s">
        <v>34</v>
      </c>
      <c r="AB35" s="0" t="s">
        <v>34</v>
      </c>
      <c r="AC35" s="0" t="s">
        <v>34</v>
      </c>
      <c r="AD35" s="0">
        <f>IF($AC35="","NEW","Live")</f>
      </c>
      <c r="AE35" s="8" t="s">
        <v>34</v>
      </c>
      <c r="AF35" s="0" t="s">
        <v>915</v>
      </c>
      <c r="AG35" s="8" t="s">
        <v>1339</v>
      </c>
      <c r="AH35" s="0" t="s">
        <v>1032</v>
      </c>
      <c r="AI35" s="0" t="s">
        <v>910</v>
      </c>
    </row>
    <row r="36">
      <c r="A36" s="0" t="s">
        <v>1340</v>
      </c>
      <c r="B36" s="0">
        <v>0</v>
      </c>
      <c r="C36" s="0" t="s">
        <v>81</v>
      </c>
      <c r="D36" s="0" t="s">
        <v>193</v>
      </c>
      <c r="E36" s="0" t="s">
        <v>34</v>
      </c>
      <c r="F36" s="0" t="s">
        <v>34</v>
      </c>
      <c r="G36" s="8" t="s">
        <v>1341</v>
      </c>
      <c r="H36" s="0" t="s">
        <v>101</v>
      </c>
      <c r="I36" s="0">
        <v>1</v>
      </c>
      <c r="J36" s="0">
        <v>1</v>
      </c>
      <c r="K36" s="0" t="s">
        <v>1340</v>
      </c>
      <c r="L36" s="0" t="s">
        <v>363</v>
      </c>
      <c r="M36" s="0" t="s">
        <v>138</v>
      </c>
      <c r="N36" s="0" t="s">
        <v>139</v>
      </c>
      <c r="O36" s="0" t="s">
        <v>102</v>
      </c>
      <c r="P36" s="0" t="s">
        <v>41</v>
      </c>
      <c r="Q36" s="0" t="s">
        <v>34</v>
      </c>
      <c r="R36" s="0" t="s">
        <v>34</v>
      </c>
      <c r="S36" s="0" t="s">
        <v>34</v>
      </c>
      <c r="T36" s="0" t="s">
        <v>34</v>
      </c>
      <c r="U36" s="0" t="s">
        <v>34</v>
      </c>
      <c r="V36" s="0" t="s">
        <v>34</v>
      </c>
      <c r="W36" s="0" t="s">
        <v>34</v>
      </c>
      <c r="X36" s="0" t="s">
        <v>34</v>
      </c>
      <c r="Y36" s="0" t="s">
        <v>34</v>
      </c>
      <c r="Z36" s="0" t="s">
        <v>43</v>
      </c>
      <c r="AA36" s="0" t="s">
        <v>34</v>
      </c>
      <c r="AB36" s="0" t="s">
        <v>34</v>
      </c>
      <c r="AC36" s="0" t="s">
        <v>34</v>
      </c>
      <c r="AD36" s="0">
        <f>IF($AC36="","NEW","Live")</f>
      </c>
      <c r="AE36" s="8" t="s">
        <v>34</v>
      </c>
      <c r="AF36" s="0" t="s">
        <v>936</v>
      </c>
      <c r="AG36" s="8" t="s">
        <v>1342</v>
      </c>
      <c r="AH36" s="0" t="s">
        <v>1032</v>
      </c>
      <c r="AI36" s="0" t="s">
        <v>884</v>
      </c>
    </row>
    <row r="37">
      <c r="A37" s="0" t="s">
        <v>1343</v>
      </c>
      <c r="B37" s="0">
        <v>2</v>
      </c>
      <c r="C37" s="0" t="s">
        <v>62</v>
      </c>
      <c r="D37" s="0" t="s">
        <v>34</v>
      </c>
      <c r="E37" s="0" t="s">
        <v>34</v>
      </c>
      <c r="F37" s="0" t="s">
        <v>34</v>
      </c>
      <c r="G37" s="8" t="s">
        <v>1344</v>
      </c>
      <c r="H37" s="0" t="s">
        <v>36</v>
      </c>
      <c r="I37" s="0">
        <v>0</v>
      </c>
      <c r="J37" s="0">
        <v>0</v>
      </c>
      <c r="K37" s="0" t="s">
        <v>1345</v>
      </c>
      <c r="L37" s="0" t="s">
        <v>363</v>
      </c>
      <c r="M37" s="0" t="s">
        <v>124</v>
      </c>
      <c r="N37" s="0" t="s">
        <v>139</v>
      </c>
      <c r="O37" s="0" t="s">
        <v>34</v>
      </c>
      <c r="P37" s="0" t="s">
        <v>34</v>
      </c>
      <c r="Q37" s="0" t="s">
        <v>34</v>
      </c>
      <c r="R37" s="0" t="s">
        <v>34</v>
      </c>
      <c r="S37" s="0" t="s">
        <v>34</v>
      </c>
      <c r="T37" s="0" t="s">
        <v>34</v>
      </c>
      <c r="U37" s="0" t="s">
        <v>34</v>
      </c>
      <c r="V37" s="0" t="s">
        <v>34</v>
      </c>
      <c r="W37" s="0" t="s">
        <v>34</v>
      </c>
      <c r="X37" s="0" t="s">
        <v>34</v>
      </c>
      <c r="Y37" s="0" t="s">
        <v>34</v>
      </c>
      <c r="Z37" s="0" t="s">
        <v>43</v>
      </c>
      <c r="AA37" s="0" t="s">
        <v>34</v>
      </c>
      <c r="AB37" s="0" t="s">
        <v>34</v>
      </c>
      <c r="AC37" s="0" t="s">
        <v>34</v>
      </c>
      <c r="AD37" s="0">
        <f>IF($AC37="","NEW","Live")</f>
      </c>
      <c r="AE37" s="8" t="s">
        <v>1346</v>
      </c>
      <c r="AF37" s="0" t="s">
        <v>999</v>
      </c>
      <c r="AG37" s="8" t="s">
        <v>1347</v>
      </c>
      <c r="AH37" s="0" t="s">
        <v>1348</v>
      </c>
      <c r="AI37" s="0" t="s">
        <v>884</v>
      </c>
    </row>
    <row r="38">
      <c r="A38" s="0" t="s">
        <v>1349</v>
      </c>
      <c r="B38" s="0">
        <v>2</v>
      </c>
      <c r="C38" s="0" t="s">
        <v>62</v>
      </c>
      <c r="D38" s="0" t="s">
        <v>34</v>
      </c>
      <c r="E38" s="0" t="s">
        <v>34</v>
      </c>
      <c r="F38" s="0" t="s">
        <v>34</v>
      </c>
      <c r="G38" s="8" t="s">
        <v>1350</v>
      </c>
      <c r="H38" s="0" t="s">
        <v>36</v>
      </c>
      <c r="I38" s="0">
        <v>0</v>
      </c>
      <c r="J38" s="0">
        <v>0</v>
      </c>
      <c r="K38" s="0" t="s">
        <v>1349</v>
      </c>
      <c r="L38" s="0" t="s">
        <v>363</v>
      </c>
      <c r="M38" s="0" t="s">
        <v>38</v>
      </c>
      <c r="N38" s="0" t="s">
        <v>39</v>
      </c>
      <c r="O38" s="0" t="s">
        <v>34</v>
      </c>
      <c r="P38" s="0" t="s">
        <v>34</v>
      </c>
      <c r="Q38" s="0" t="s">
        <v>34</v>
      </c>
      <c r="R38" s="0" t="s">
        <v>34</v>
      </c>
      <c r="S38" s="0" t="s">
        <v>34</v>
      </c>
      <c r="T38" s="0" t="s">
        <v>34</v>
      </c>
      <c r="U38" s="0" t="s">
        <v>34</v>
      </c>
      <c r="V38" s="0" t="s">
        <v>34</v>
      </c>
      <c r="W38" s="0" t="s">
        <v>34</v>
      </c>
      <c r="X38" s="0" t="s">
        <v>34</v>
      </c>
      <c r="Y38" s="0" t="s">
        <v>34</v>
      </c>
      <c r="Z38" s="0" t="s">
        <v>43</v>
      </c>
      <c r="AA38" s="0" t="s">
        <v>34</v>
      </c>
      <c r="AB38" s="0" t="s">
        <v>34</v>
      </c>
      <c r="AC38" s="0" t="s">
        <v>34</v>
      </c>
      <c r="AD38" s="0">
        <f>IF($AC38="","NEW","Live")</f>
      </c>
      <c r="AE38" s="8" t="s">
        <v>34</v>
      </c>
      <c r="AF38" s="0" t="s">
        <v>926</v>
      </c>
      <c r="AG38" s="8" t="s">
        <v>1351</v>
      </c>
      <c r="AH38" s="0" t="s">
        <v>904</v>
      </c>
      <c r="AI38" s="0" t="s">
        <v>889</v>
      </c>
    </row>
    <row r="39">
      <c r="A39" s="0" t="s">
        <v>1352</v>
      </c>
      <c r="B39" s="0">
        <v>1</v>
      </c>
      <c r="C39" s="0" t="s">
        <v>32</v>
      </c>
      <c r="D39" s="0" t="s">
        <v>34</v>
      </c>
      <c r="E39" s="0" t="s">
        <v>34</v>
      </c>
      <c r="F39" s="0" t="s">
        <v>34</v>
      </c>
      <c r="G39" s="8" t="s">
        <v>1353</v>
      </c>
      <c r="H39" s="0" t="s">
        <v>101</v>
      </c>
      <c r="I39" s="0">
        <v>1</v>
      </c>
      <c r="J39" s="0">
        <v>1</v>
      </c>
      <c r="K39" s="0" t="s">
        <v>1352</v>
      </c>
      <c r="L39" s="0" t="s">
        <v>363</v>
      </c>
      <c r="M39" s="0" t="s">
        <v>138</v>
      </c>
      <c r="N39" s="0" t="s">
        <v>139</v>
      </c>
      <c r="O39" s="0" t="s">
        <v>34</v>
      </c>
      <c r="P39" s="0" t="s">
        <v>34</v>
      </c>
      <c r="Q39" s="0" t="s">
        <v>34</v>
      </c>
      <c r="R39" s="0" t="s">
        <v>34</v>
      </c>
      <c r="S39" s="0" t="s">
        <v>34</v>
      </c>
      <c r="T39" s="0" t="s">
        <v>34</v>
      </c>
      <c r="U39" s="0" t="s">
        <v>34</v>
      </c>
      <c r="V39" s="0" t="s">
        <v>34</v>
      </c>
      <c r="W39" s="0" t="s">
        <v>34</v>
      </c>
      <c r="X39" s="0" t="s">
        <v>34</v>
      </c>
      <c r="Y39" s="0" t="s">
        <v>34</v>
      </c>
      <c r="Z39" s="0" t="s">
        <v>43</v>
      </c>
      <c r="AA39" s="0" t="s">
        <v>34</v>
      </c>
      <c r="AB39" s="0" t="s">
        <v>34</v>
      </c>
      <c r="AC39" s="0" t="s">
        <v>34</v>
      </c>
      <c r="AD39" s="0">
        <f>IF($AC39="","NEW","Live")</f>
      </c>
      <c r="AE39" s="8" t="s">
        <v>34</v>
      </c>
      <c r="AF39" s="0" t="s">
        <v>915</v>
      </c>
      <c r="AG39" s="8" t="s">
        <v>1354</v>
      </c>
      <c r="AH39" s="0" t="s">
        <v>951</v>
      </c>
      <c r="AI39" s="0" t="s">
        <v>889</v>
      </c>
    </row>
    <row r="40">
      <c r="A40" s="0" t="s">
        <v>1355</v>
      </c>
      <c r="B40" s="0">
        <v>3</v>
      </c>
      <c r="C40" s="0" t="s">
        <v>985</v>
      </c>
      <c r="D40" s="0" t="s">
        <v>34</v>
      </c>
      <c r="E40" s="0" t="s">
        <v>34</v>
      </c>
      <c r="F40" s="0" t="s">
        <v>34</v>
      </c>
      <c r="G40" s="8" t="s">
        <v>1356</v>
      </c>
      <c r="H40" s="0" t="s">
        <v>36</v>
      </c>
      <c r="I40" s="0">
        <v>0</v>
      </c>
      <c r="J40" s="0">
        <v>0</v>
      </c>
      <c r="K40" s="0" t="s">
        <v>1355</v>
      </c>
      <c r="L40" s="0" t="s">
        <v>363</v>
      </c>
      <c r="M40" s="0" t="s">
        <v>124</v>
      </c>
      <c r="N40" s="0" t="s">
        <v>139</v>
      </c>
      <c r="O40" s="0" t="s">
        <v>34</v>
      </c>
      <c r="P40" s="0" t="s">
        <v>34</v>
      </c>
      <c r="Q40" s="0" t="s">
        <v>34</v>
      </c>
      <c r="R40" s="0" t="s">
        <v>34</v>
      </c>
      <c r="S40" s="0" t="s">
        <v>34</v>
      </c>
      <c r="T40" s="0" t="s">
        <v>34</v>
      </c>
      <c r="U40" s="0" t="s">
        <v>34</v>
      </c>
      <c r="V40" s="0" t="s">
        <v>34</v>
      </c>
      <c r="W40" s="0" t="s">
        <v>34</v>
      </c>
      <c r="X40" s="0" t="s">
        <v>34</v>
      </c>
      <c r="Y40" s="0" t="s">
        <v>34</v>
      </c>
      <c r="Z40" s="0" t="s">
        <v>43</v>
      </c>
      <c r="AA40" s="0" t="s">
        <v>34</v>
      </c>
      <c r="AB40" s="0" t="s">
        <v>34</v>
      </c>
      <c r="AC40" s="0" t="s">
        <v>34</v>
      </c>
      <c r="AD40" s="0">
        <f>IF($AC40="","NEW","Live")</f>
      </c>
      <c r="AE40" s="8" t="s">
        <v>34</v>
      </c>
      <c r="AF40" s="0" t="s">
        <v>936</v>
      </c>
      <c r="AG40" s="8" t="s">
        <v>1357</v>
      </c>
      <c r="AH40" s="0" t="s">
        <v>1032</v>
      </c>
      <c r="AI40" s="0" t="s">
        <v>910</v>
      </c>
    </row>
    <row r="41">
      <c r="A41" s="0" t="s">
        <v>1358</v>
      </c>
      <c r="B41" s="0">
        <v>2</v>
      </c>
      <c r="C41" s="0" t="s">
        <v>62</v>
      </c>
      <c r="D41" s="0" t="s">
        <v>34</v>
      </c>
      <c r="E41" s="0" t="s">
        <v>34</v>
      </c>
      <c r="F41" s="0" t="s">
        <v>34</v>
      </c>
      <c r="G41" s="8" t="s">
        <v>1359</v>
      </c>
      <c r="H41" s="0" t="s">
        <v>101</v>
      </c>
      <c r="I41" s="0">
        <v>1</v>
      </c>
      <c r="J41" s="0">
        <v>3</v>
      </c>
      <c r="K41" s="0" t="s">
        <v>1358</v>
      </c>
      <c r="L41" s="0" t="s">
        <v>363</v>
      </c>
      <c r="M41" s="0" t="s">
        <v>258</v>
      </c>
      <c r="N41" s="0" t="s">
        <v>139</v>
      </c>
      <c r="O41" s="0" t="s">
        <v>34</v>
      </c>
      <c r="P41" s="0" t="s">
        <v>34</v>
      </c>
      <c r="Q41" s="0" t="s">
        <v>34</v>
      </c>
      <c r="R41" s="0" t="s">
        <v>34</v>
      </c>
      <c r="S41" s="0" t="s">
        <v>34</v>
      </c>
      <c r="T41" s="0" t="s">
        <v>34</v>
      </c>
      <c r="U41" s="0" t="s">
        <v>34</v>
      </c>
      <c r="V41" s="0" t="s">
        <v>34</v>
      </c>
      <c r="W41" s="0" t="s">
        <v>34</v>
      </c>
      <c r="X41" s="0" t="s">
        <v>34</v>
      </c>
      <c r="Y41" s="0" t="s">
        <v>34</v>
      </c>
      <c r="Z41" s="0" t="s">
        <v>43</v>
      </c>
      <c r="AA41" s="0" t="s">
        <v>34</v>
      </c>
      <c r="AB41" s="0" t="s">
        <v>34</v>
      </c>
      <c r="AC41" s="0" t="s">
        <v>34</v>
      </c>
      <c r="AD41" s="0">
        <f>IF($AC41="","NEW","Live")</f>
      </c>
      <c r="AE41" s="8" t="s">
        <v>34</v>
      </c>
      <c r="AF41" s="0" t="s">
        <v>926</v>
      </c>
      <c r="AG41" s="8" t="s">
        <v>1360</v>
      </c>
      <c r="AH41" s="0" t="s">
        <v>1361</v>
      </c>
      <c r="AI41" s="0" t="s">
        <v>910</v>
      </c>
    </row>
    <row r="42">
      <c r="A42" s="0" t="s">
        <v>1362</v>
      </c>
      <c r="B42" s="0">
        <v>3</v>
      </c>
      <c r="C42" s="0" t="s">
        <v>985</v>
      </c>
      <c r="D42" s="0" t="s">
        <v>167</v>
      </c>
      <c r="E42" s="0" t="s">
        <v>391</v>
      </c>
      <c r="F42" s="0" t="s">
        <v>34</v>
      </c>
      <c r="G42" s="8" t="s">
        <v>1363</v>
      </c>
      <c r="H42" s="0" t="s">
        <v>36</v>
      </c>
      <c r="I42" s="0">
        <v>0</v>
      </c>
      <c r="J42" s="0">
        <v>0</v>
      </c>
      <c r="K42" s="0" t="s">
        <v>1364</v>
      </c>
      <c r="L42" s="0" t="s">
        <v>363</v>
      </c>
      <c r="M42" s="0" t="s">
        <v>138</v>
      </c>
      <c r="N42" s="0" t="s">
        <v>381</v>
      </c>
      <c r="O42" s="0" t="s">
        <v>40</v>
      </c>
      <c r="P42" s="0" t="s">
        <v>87</v>
      </c>
      <c r="Q42" s="0" t="s">
        <v>34</v>
      </c>
      <c r="R42" s="0" t="s">
        <v>40</v>
      </c>
      <c r="S42" s="0" t="s">
        <v>87</v>
      </c>
      <c r="T42" s="0" t="s">
        <v>34</v>
      </c>
      <c r="U42" s="0" t="s">
        <v>34</v>
      </c>
      <c r="V42" s="0" t="s">
        <v>34</v>
      </c>
      <c r="W42" s="0" t="s">
        <v>34</v>
      </c>
      <c r="X42" s="0" t="s">
        <v>34</v>
      </c>
      <c r="Y42" s="0" t="s">
        <v>34</v>
      </c>
      <c r="Z42" s="0" t="s">
        <v>43</v>
      </c>
      <c r="AA42" s="0" t="s">
        <v>34</v>
      </c>
      <c r="AB42" s="0" t="s">
        <v>34</v>
      </c>
      <c r="AC42" s="0" t="s">
        <v>34</v>
      </c>
      <c r="AD42" s="0">
        <f>IF($AC42="","NEW","Live")</f>
      </c>
      <c r="AE42" s="8" t="s">
        <v>34</v>
      </c>
      <c r="AF42" s="0" t="s">
        <v>882</v>
      </c>
      <c r="AG42" s="8" t="s">
        <v>34</v>
      </c>
      <c r="AH42" s="0" t="s">
        <v>34</v>
      </c>
      <c r="AI42" s="0" t="s">
        <v>889</v>
      </c>
    </row>
    <row r="43">
      <c r="A43" s="0" t="s">
        <v>1365</v>
      </c>
      <c r="B43" s="0">
        <v>3</v>
      </c>
      <c r="C43" s="0" t="s">
        <v>62</v>
      </c>
      <c r="D43" s="0" t="s">
        <v>161</v>
      </c>
      <c r="E43" s="0" t="s">
        <v>1296</v>
      </c>
      <c r="F43" s="0" t="s">
        <v>34</v>
      </c>
      <c r="G43" s="8" t="s">
        <v>1366</v>
      </c>
      <c r="H43" s="0" t="s">
        <v>101</v>
      </c>
      <c r="I43" s="0">
        <v>1</v>
      </c>
      <c r="J43" s="0">
        <v>1</v>
      </c>
      <c r="K43" s="0" t="s">
        <v>1367</v>
      </c>
      <c r="L43" s="0" t="s">
        <v>363</v>
      </c>
      <c r="M43" s="0" t="s">
        <v>138</v>
      </c>
      <c r="N43" s="0" t="s">
        <v>381</v>
      </c>
      <c r="O43" s="0" t="s">
        <v>102</v>
      </c>
      <c r="P43" s="0" t="s">
        <v>41</v>
      </c>
      <c r="Q43" s="0" t="s">
        <v>34</v>
      </c>
      <c r="R43" s="0" t="s">
        <v>102</v>
      </c>
      <c r="S43" s="0" t="s">
        <v>41</v>
      </c>
      <c r="T43" s="0" t="s">
        <v>34</v>
      </c>
      <c r="U43" s="0" t="s">
        <v>34</v>
      </c>
      <c r="V43" s="0" t="s">
        <v>34</v>
      </c>
      <c r="W43" s="0" t="s">
        <v>34</v>
      </c>
      <c r="X43" s="0" t="s">
        <v>34</v>
      </c>
      <c r="Y43" s="0" t="s">
        <v>34</v>
      </c>
      <c r="Z43" s="0" t="s">
        <v>43</v>
      </c>
      <c r="AA43" s="0" t="s">
        <v>34</v>
      </c>
      <c r="AB43" s="0" t="s">
        <v>34</v>
      </c>
      <c r="AC43" s="0" t="s">
        <v>34</v>
      </c>
      <c r="AD43" s="0">
        <f>IF($AC43="","NEW","Live")</f>
      </c>
      <c r="AE43" s="8" t="s">
        <v>34</v>
      </c>
      <c r="AF43" s="0" t="s">
        <v>882</v>
      </c>
      <c r="AG43" s="8" t="s">
        <v>34</v>
      </c>
      <c r="AH43" s="0" t="s">
        <v>34</v>
      </c>
      <c r="AI43" s="0" t="s">
        <v>889</v>
      </c>
    </row>
    <row r="44">
      <c r="A44" s="0" t="s">
        <v>1368</v>
      </c>
      <c r="B44" s="0">
        <v>3</v>
      </c>
      <c r="C44" s="0" t="s">
        <v>985</v>
      </c>
      <c r="D44" s="0" t="s">
        <v>278</v>
      </c>
      <c r="E44" s="0" t="s">
        <v>1369</v>
      </c>
      <c r="F44" s="0" t="s">
        <v>1200</v>
      </c>
      <c r="G44" s="8" t="s">
        <v>1370</v>
      </c>
      <c r="H44" s="0" t="s">
        <v>101</v>
      </c>
      <c r="I44" s="0">
        <v>1</v>
      </c>
      <c r="J44" s="0">
        <v>3</v>
      </c>
      <c r="K44" s="0" t="s">
        <v>1371</v>
      </c>
      <c r="L44" s="0" t="s">
        <v>363</v>
      </c>
      <c r="M44" s="0" t="s">
        <v>281</v>
      </c>
      <c r="N44" s="0" t="s">
        <v>941</v>
      </c>
      <c r="O44" s="0" t="s">
        <v>102</v>
      </c>
      <c r="P44" s="0" t="s">
        <v>41</v>
      </c>
      <c r="Q44" s="0" t="s">
        <v>34</v>
      </c>
      <c r="R44" s="0" t="s">
        <v>40</v>
      </c>
      <c r="S44" s="0" t="s">
        <v>41</v>
      </c>
      <c r="T44" s="0" t="s">
        <v>34</v>
      </c>
      <c r="U44" s="0" t="s">
        <v>40</v>
      </c>
      <c r="V44" s="0" t="s">
        <v>41</v>
      </c>
      <c r="W44" s="0" t="s">
        <v>34</v>
      </c>
      <c r="X44" s="0" t="s">
        <v>34</v>
      </c>
      <c r="Y44" s="0" t="s">
        <v>34</v>
      </c>
      <c r="Z44" s="0" t="s">
        <v>43</v>
      </c>
      <c r="AA44" s="0" t="s">
        <v>34</v>
      </c>
      <c r="AB44" s="0" t="s">
        <v>34</v>
      </c>
      <c r="AC44" s="0" t="s">
        <v>34</v>
      </c>
      <c r="AD44" s="0">
        <f>IF($AC44="","NEW","Live")</f>
      </c>
      <c r="AE44" s="8" t="s">
        <v>34</v>
      </c>
      <c r="AF44" s="0" t="s">
        <v>882</v>
      </c>
      <c r="AG44" s="8" t="s">
        <v>34</v>
      </c>
      <c r="AH44" s="0" t="s">
        <v>904</v>
      </c>
      <c r="AI44" s="0" t="s">
        <v>889</v>
      </c>
    </row>
    <row r="45">
      <c r="A45" s="0" t="s">
        <v>435</v>
      </c>
      <c r="B45" s="0">
        <v>2</v>
      </c>
      <c r="C45" s="0" t="s">
        <v>62</v>
      </c>
      <c r="D45" s="0" t="s">
        <v>34</v>
      </c>
      <c r="E45" s="0" t="s">
        <v>34</v>
      </c>
      <c r="F45" s="0" t="s">
        <v>34</v>
      </c>
      <c r="G45" s="8" t="s">
        <v>1372</v>
      </c>
      <c r="H45" s="0" t="s">
        <v>101</v>
      </c>
      <c r="I45" s="0">
        <v>1</v>
      </c>
      <c r="J45" s="0">
        <v>3</v>
      </c>
      <c r="K45" s="0" t="s">
        <v>1373</v>
      </c>
      <c r="L45" s="0" t="s">
        <v>363</v>
      </c>
      <c r="M45" s="0" t="s">
        <v>199</v>
      </c>
      <c r="N45" s="0" t="s">
        <v>438</v>
      </c>
      <c r="O45" s="0" t="s">
        <v>34</v>
      </c>
      <c r="P45" s="0" t="s">
        <v>34</v>
      </c>
      <c r="Q45" s="0" t="s">
        <v>34</v>
      </c>
      <c r="R45" s="0" t="s">
        <v>34</v>
      </c>
      <c r="S45" s="0" t="s">
        <v>34</v>
      </c>
      <c r="T45" s="0" t="s">
        <v>34</v>
      </c>
      <c r="U45" s="0" t="s">
        <v>34</v>
      </c>
      <c r="V45" s="0" t="s">
        <v>34</v>
      </c>
      <c r="W45" s="0" t="s">
        <v>34</v>
      </c>
      <c r="X45" s="0" t="s">
        <v>34</v>
      </c>
      <c r="Y45" s="0" t="s">
        <v>34</v>
      </c>
      <c r="Z45" s="0" t="s">
        <v>43</v>
      </c>
      <c r="AA45" s="0" t="s">
        <v>34</v>
      </c>
      <c r="AB45" s="0" t="s">
        <v>34</v>
      </c>
      <c r="AC45" s="0" t="s">
        <v>34</v>
      </c>
      <c r="AD45" s="0">
        <f>IF($AC45="","NEW","Live")</f>
      </c>
      <c r="AE45" s="8" t="s">
        <v>1374</v>
      </c>
      <c r="AF45" s="0" t="s">
        <v>936</v>
      </c>
      <c r="AG45" s="8" t="s">
        <v>1375</v>
      </c>
      <c r="AH45" s="0" t="s">
        <v>904</v>
      </c>
      <c r="AI45" s="0" t="s">
        <v>884</v>
      </c>
    </row>
    <row r="46">
      <c r="A46" s="0" t="s">
        <v>1376</v>
      </c>
      <c r="B46" s="0">
        <v>3</v>
      </c>
      <c r="C46" s="0" t="s">
        <v>985</v>
      </c>
      <c r="D46" s="0" t="s">
        <v>1211</v>
      </c>
      <c r="E46" s="0" t="s">
        <v>1377</v>
      </c>
      <c r="F46" s="0" t="s">
        <v>34</v>
      </c>
      <c r="G46" s="8" t="s">
        <v>1378</v>
      </c>
      <c r="H46" s="0" t="s">
        <v>101</v>
      </c>
      <c r="I46" s="0">
        <v>1</v>
      </c>
      <c r="J46" s="0">
        <v>1</v>
      </c>
      <c r="K46" s="0" t="s">
        <v>1379</v>
      </c>
      <c r="L46" s="0" t="s">
        <v>363</v>
      </c>
      <c r="M46" s="0" t="s">
        <v>138</v>
      </c>
      <c r="N46" s="0" t="s">
        <v>381</v>
      </c>
      <c r="O46" s="0" t="s">
        <v>102</v>
      </c>
      <c r="P46" s="0" t="s">
        <v>41</v>
      </c>
      <c r="Q46" s="0" t="s">
        <v>34</v>
      </c>
      <c r="R46" s="0" t="s">
        <v>102</v>
      </c>
      <c r="S46" s="0" t="s">
        <v>41</v>
      </c>
      <c r="T46" s="0" t="s">
        <v>34</v>
      </c>
      <c r="U46" s="0" t="s">
        <v>34</v>
      </c>
      <c r="V46" s="0" t="s">
        <v>34</v>
      </c>
      <c r="W46" s="0" t="s">
        <v>34</v>
      </c>
      <c r="X46" s="0" t="s">
        <v>34</v>
      </c>
      <c r="Y46" s="0" t="s">
        <v>34</v>
      </c>
      <c r="Z46" s="0" t="s">
        <v>43</v>
      </c>
      <c r="AA46" s="0" t="s">
        <v>34</v>
      </c>
      <c r="AB46" s="0" t="s">
        <v>34</v>
      </c>
      <c r="AC46" s="0" t="s">
        <v>34</v>
      </c>
      <c r="AD46" s="0">
        <f>IF($AC46="","NEW","Live")</f>
      </c>
      <c r="AE46" s="8" t="s">
        <v>34</v>
      </c>
      <c r="AF46" s="0" t="s">
        <v>882</v>
      </c>
      <c r="AG46" s="8" t="s">
        <v>34</v>
      </c>
      <c r="AH46" s="0" t="s">
        <v>34</v>
      </c>
      <c r="AI46" s="0" t="s">
        <v>910</v>
      </c>
    </row>
    <row r="47">
      <c r="A47" s="0" t="s">
        <v>1380</v>
      </c>
      <c r="B47" s="0">
        <v>3</v>
      </c>
      <c r="C47" s="0" t="s">
        <v>62</v>
      </c>
      <c r="D47" s="0" t="s">
        <v>152</v>
      </c>
      <c r="E47" s="0" t="s">
        <v>34</v>
      </c>
      <c r="F47" s="0" t="s">
        <v>34</v>
      </c>
      <c r="G47" s="8" t="s">
        <v>1381</v>
      </c>
      <c r="H47" s="0" t="s">
        <v>36</v>
      </c>
      <c r="I47" s="0">
        <v>0</v>
      </c>
      <c r="J47" s="0">
        <v>0</v>
      </c>
      <c r="K47" s="0" t="s">
        <v>1382</v>
      </c>
      <c r="L47" s="0" t="s">
        <v>363</v>
      </c>
      <c r="M47" s="0" t="s">
        <v>138</v>
      </c>
      <c r="N47" s="0" t="s">
        <v>139</v>
      </c>
      <c r="O47" s="0" t="s">
        <v>40</v>
      </c>
      <c r="P47" s="0" t="s">
        <v>78</v>
      </c>
      <c r="Q47" s="0" t="s">
        <v>34</v>
      </c>
      <c r="R47" s="0" t="s">
        <v>34</v>
      </c>
      <c r="S47" s="0" t="s">
        <v>34</v>
      </c>
      <c r="T47" s="0" t="s">
        <v>34</v>
      </c>
      <c r="U47" s="0" t="s">
        <v>34</v>
      </c>
      <c r="V47" s="0" t="s">
        <v>34</v>
      </c>
      <c r="W47" s="0" t="s">
        <v>34</v>
      </c>
      <c r="X47" s="0" t="s">
        <v>34</v>
      </c>
      <c r="Y47" s="0" t="s">
        <v>34</v>
      </c>
      <c r="Z47" s="0" t="s">
        <v>43</v>
      </c>
      <c r="AA47" s="0" t="s">
        <v>34</v>
      </c>
      <c r="AB47" s="0" t="s">
        <v>34</v>
      </c>
      <c r="AC47" s="0" t="s">
        <v>34</v>
      </c>
      <c r="AD47" s="0">
        <f>IF($AC47="","NEW","Live")</f>
      </c>
      <c r="AE47" s="8" t="s">
        <v>34</v>
      </c>
      <c r="AF47" s="0" t="s">
        <v>882</v>
      </c>
      <c r="AG47" s="8" t="s">
        <v>34</v>
      </c>
      <c r="AH47" s="0" t="s">
        <v>34</v>
      </c>
      <c r="AI47" s="0" t="s">
        <v>889</v>
      </c>
    </row>
    <row r="48">
      <c r="A48" s="0" t="s">
        <v>1383</v>
      </c>
      <c r="B48" s="0">
        <v>3</v>
      </c>
      <c r="C48" s="0" t="s">
        <v>985</v>
      </c>
      <c r="D48" s="0" t="s">
        <v>122</v>
      </c>
      <c r="E48" s="0" t="s">
        <v>1156</v>
      </c>
      <c r="F48" s="0" t="s">
        <v>1200</v>
      </c>
      <c r="G48" s="8" t="s">
        <v>1384</v>
      </c>
      <c r="H48" s="0" t="s">
        <v>36</v>
      </c>
      <c r="I48" s="0">
        <v>0</v>
      </c>
      <c r="J48" s="0">
        <v>0</v>
      </c>
      <c r="K48" s="0" t="s">
        <v>1385</v>
      </c>
      <c r="L48" s="0" t="s">
        <v>363</v>
      </c>
      <c r="M48" s="0" t="s">
        <v>124</v>
      </c>
      <c r="N48" s="0" t="s">
        <v>903</v>
      </c>
      <c r="O48" s="0" t="s">
        <v>40</v>
      </c>
      <c r="P48" s="0" t="s">
        <v>41</v>
      </c>
      <c r="Q48" s="0" t="s">
        <v>34</v>
      </c>
      <c r="R48" s="0" t="s">
        <v>40</v>
      </c>
      <c r="S48" s="0" t="s">
        <v>41</v>
      </c>
      <c r="T48" s="0" t="s">
        <v>34</v>
      </c>
      <c r="U48" s="0" t="s">
        <v>40</v>
      </c>
      <c r="V48" s="0" t="s">
        <v>41</v>
      </c>
      <c r="W48" s="0" t="s">
        <v>34</v>
      </c>
      <c r="X48" s="0" t="s">
        <v>34</v>
      </c>
      <c r="Y48" s="0" t="s">
        <v>34</v>
      </c>
      <c r="Z48" s="0" t="s">
        <v>43</v>
      </c>
      <c r="AA48" s="0" t="s">
        <v>34</v>
      </c>
      <c r="AB48" s="0" t="s">
        <v>34</v>
      </c>
      <c r="AC48" s="0" t="s">
        <v>34</v>
      </c>
      <c r="AD48" s="0">
        <f>IF($AC48="","NEW","Live")</f>
      </c>
      <c r="AE48" s="8" t="s">
        <v>34</v>
      </c>
      <c r="AF48" s="0" t="s">
        <v>882</v>
      </c>
      <c r="AG48" s="8" t="s">
        <v>34</v>
      </c>
      <c r="AH48" s="0" t="s">
        <v>34</v>
      </c>
      <c r="AI48" s="0" t="s">
        <v>889</v>
      </c>
    </row>
    <row r="49">
      <c r="A49" s="0" t="s">
        <v>1386</v>
      </c>
      <c r="B49" s="0">
        <v>3</v>
      </c>
      <c r="C49" s="0" t="s">
        <v>62</v>
      </c>
      <c r="D49" s="0" t="s">
        <v>1387</v>
      </c>
      <c r="E49" s="0" t="s">
        <v>34</v>
      </c>
      <c r="F49" s="0" t="s">
        <v>34</v>
      </c>
      <c r="G49" s="8" t="s">
        <v>1388</v>
      </c>
      <c r="H49" s="0" t="s">
        <v>101</v>
      </c>
      <c r="I49" s="0">
        <v>1</v>
      </c>
      <c r="J49" s="0">
        <v>1</v>
      </c>
      <c r="K49" s="0" t="s">
        <v>1389</v>
      </c>
      <c r="L49" s="0" t="s">
        <v>363</v>
      </c>
      <c r="M49" s="0" t="s">
        <v>258</v>
      </c>
      <c r="N49" s="0" t="s">
        <v>798</v>
      </c>
      <c r="O49" s="0" t="s">
        <v>102</v>
      </c>
      <c r="P49" s="0" t="s">
        <v>41</v>
      </c>
      <c r="Q49" s="0" t="s">
        <v>34</v>
      </c>
      <c r="R49" s="0" t="s">
        <v>34</v>
      </c>
      <c r="S49" s="0" t="s">
        <v>34</v>
      </c>
      <c r="T49" s="0" t="s">
        <v>34</v>
      </c>
      <c r="U49" s="0" t="s">
        <v>34</v>
      </c>
      <c r="V49" s="0" t="s">
        <v>34</v>
      </c>
      <c r="W49" s="0" t="s">
        <v>34</v>
      </c>
      <c r="X49" s="0" t="s">
        <v>34</v>
      </c>
      <c r="Y49" s="0" t="s">
        <v>34</v>
      </c>
      <c r="Z49" s="0" t="s">
        <v>43</v>
      </c>
      <c r="AA49" s="0" t="s">
        <v>34</v>
      </c>
      <c r="AB49" s="0" t="s">
        <v>34</v>
      </c>
      <c r="AC49" s="0" t="s">
        <v>34</v>
      </c>
      <c r="AD49" s="0">
        <f>IF($AC49="","NEW","Live")</f>
      </c>
      <c r="AE49" s="8" t="s">
        <v>1390</v>
      </c>
      <c r="AF49" s="0" t="s">
        <v>882</v>
      </c>
      <c r="AG49" s="8" t="s">
        <v>34</v>
      </c>
      <c r="AH49" s="0" t="s">
        <v>34</v>
      </c>
      <c r="AI49" s="0" t="s">
        <v>889</v>
      </c>
    </row>
    <row r="50">
      <c r="A50" s="0" t="s">
        <v>1391</v>
      </c>
      <c r="B50" s="0">
        <v>2</v>
      </c>
      <c r="C50" s="0" t="s">
        <v>62</v>
      </c>
      <c r="D50" s="0" t="s">
        <v>185</v>
      </c>
      <c r="E50" s="0" t="s">
        <v>963</v>
      </c>
      <c r="F50" s="0" t="s">
        <v>34</v>
      </c>
      <c r="G50" s="8" t="s">
        <v>1392</v>
      </c>
      <c r="H50" s="0" t="s">
        <v>101</v>
      </c>
      <c r="I50" s="0">
        <v>1</v>
      </c>
      <c r="J50" s="0">
        <v>1</v>
      </c>
      <c r="K50" s="0" t="s">
        <v>1391</v>
      </c>
      <c r="L50" s="0" t="s">
        <v>363</v>
      </c>
      <c r="M50" s="0" t="s">
        <v>138</v>
      </c>
      <c r="N50" s="0" t="s">
        <v>139</v>
      </c>
      <c r="O50" s="0" t="s">
        <v>102</v>
      </c>
      <c r="P50" s="0" t="s">
        <v>41</v>
      </c>
      <c r="Q50" s="0" t="s">
        <v>34</v>
      </c>
      <c r="R50" s="0" t="s">
        <v>102</v>
      </c>
      <c r="S50" s="0" t="s">
        <v>41</v>
      </c>
      <c r="T50" s="0" t="s">
        <v>34</v>
      </c>
      <c r="U50" s="0" t="s">
        <v>34</v>
      </c>
      <c r="V50" s="0" t="s">
        <v>34</v>
      </c>
      <c r="W50" s="0" t="s">
        <v>34</v>
      </c>
      <c r="X50" s="0" t="s">
        <v>34</v>
      </c>
      <c r="Y50" s="0" t="s">
        <v>34</v>
      </c>
      <c r="Z50" s="0" t="s">
        <v>43</v>
      </c>
      <c r="AA50" s="0" t="s">
        <v>34</v>
      </c>
      <c r="AB50" s="0" t="s">
        <v>34</v>
      </c>
      <c r="AC50" s="0" t="s">
        <v>34</v>
      </c>
      <c r="AD50" s="0">
        <f>IF($AC50="","NEW","Live")</f>
      </c>
      <c r="AE50" s="8" t="s">
        <v>34</v>
      </c>
      <c r="AF50" s="0" t="s">
        <v>882</v>
      </c>
      <c r="AG50" s="8" t="s">
        <v>34</v>
      </c>
      <c r="AH50" s="0" t="s">
        <v>34</v>
      </c>
      <c r="AI50" s="0" t="s">
        <v>889</v>
      </c>
    </row>
    <row r="51">
      <c r="A51" s="0" t="s">
        <v>1393</v>
      </c>
      <c r="B51" s="0">
        <v>3</v>
      </c>
      <c r="C51" s="0" t="s">
        <v>985</v>
      </c>
      <c r="D51" s="0" t="s">
        <v>1049</v>
      </c>
      <c r="E51" s="0" t="s">
        <v>1394</v>
      </c>
      <c r="F51" s="0" t="s">
        <v>34</v>
      </c>
      <c r="G51" s="8" t="s">
        <v>1395</v>
      </c>
      <c r="H51" s="0" t="s">
        <v>101</v>
      </c>
      <c r="I51" s="0">
        <v>1</v>
      </c>
      <c r="J51" s="0">
        <v>1</v>
      </c>
      <c r="K51" s="0" t="s">
        <v>1396</v>
      </c>
      <c r="L51" s="0" t="s">
        <v>363</v>
      </c>
      <c r="M51" s="0" t="s">
        <v>138</v>
      </c>
      <c r="N51" s="0" t="s">
        <v>139</v>
      </c>
      <c r="O51" s="0" t="s">
        <v>102</v>
      </c>
      <c r="P51" s="0" t="s">
        <v>41</v>
      </c>
      <c r="Q51" s="0" t="s">
        <v>34</v>
      </c>
      <c r="R51" s="0" t="s">
        <v>40</v>
      </c>
      <c r="S51" s="0" t="s">
        <v>41</v>
      </c>
      <c r="T51" s="0" t="s">
        <v>34</v>
      </c>
      <c r="U51" s="0" t="s">
        <v>34</v>
      </c>
      <c r="V51" s="0" t="s">
        <v>34</v>
      </c>
      <c r="W51" s="0" t="s">
        <v>34</v>
      </c>
      <c r="X51" s="0" t="s">
        <v>34</v>
      </c>
      <c r="Y51" s="0" t="s">
        <v>34</v>
      </c>
      <c r="Z51" s="0" t="s">
        <v>43</v>
      </c>
      <c r="AA51" s="0" t="s">
        <v>34</v>
      </c>
      <c r="AB51" s="0" t="s">
        <v>34</v>
      </c>
      <c r="AC51" s="0" t="s">
        <v>34</v>
      </c>
      <c r="AD51" s="0">
        <f>IF($AC51="","NEW","Live")</f>
      </c>
      <c r="AE51" s="8" t="s">
        <v>34</v>
      </c>
      <c r="AF51" s="0" t="s">
        <v>882</v>
      </c>
      <c r="AG51" s="8" t="s">
        <v>34</v>
      </c>
      <c r="AH51" s="0" t="s">
        <v>34</v>
      </c>
      <c r="AI51" s="0" t="s">
        <v>889</v>
      </c>
    </row>
  </sheetData>
  <autoFilter ref="A1:AI51"/>
  <conditionalFormatting sqref="AD2:AD51">
    <cfRule priority="1" type="cellIs" operator="equal" dxfId="0">
      <formula>"NEW"</formula>
    </cfRule>
  </conditionalFormatting>
  <dataValidations count="18">
    <dataValidation type="list" sqref="L2:L251" showErrorMessage="0" allowBlank="1">
      <formula1>=list_Class</formula1>
    </dataValidation>
    <dataValidation type="list" sqref="M2:M251" showErrorMessage="0" allowBlank="1">
      <formula1>=list_Folder</formula1>
    </dataValidation>
    <dataValidation type="list" sqref="C2:C251" showErrorMessage="0" allowBlank="1">
      <formula1>=list_Rarity</formula1>
    </dataValidation>
    <dataValidation type="list" sqref="H2:H251" showErrorMessage="0" allowBlank="1">
      <formula1>=list_Shape</formula1>
    </dataValidation>
    <dataValidation type="list" sqref="O2:O251" showErrorMessage="0" allowBlank="1">
      <formula1>=list_Aim</formula1>
    </dataValidation>
    <dataValidation type="list" sqref="R2:R251" showErrorMessage="0" allowBlank="1">
      <formula1>=list_Aim</formula1>
    </dataValidation>
    <dataValidation type="list" sqref="U2:U251" showErrorMessage="0" allowBlank="1">
      <formula1>=list_Aim</formula1>
    </dataValidation>
    <dataValidation type="list" sqref="D2:D251" showErrorMessage="0" allowBlank="1">
      <formula1>=list_Effect</formula1>
    </dataValidation>
    <dataValidation type="list" sqref="E2:E251" showErrorMessage="0" allowBlank="1">
      <formula1>=list_Effect</formula1>
    </dataValidation>
    <dataValidation type="list" sqref="F2:F251" showErrorMessage="0" allowBlank="1">
      <formula1>=list_Effect</formula1>
    </dataValidation>
    <dataValidation type="list" sqref="Q2:Q251" showErrorMessage="0" allowBlank="1">
      <formula1>=list_Condition</formula1>
    </dataValidation>
    <dataValidation type="list" sqref="T2:T251" showErrorMessage="0" allowBlank="1">
      <formula1>=list_Condition</formula1>
    </dataValidation>
    <dataValidation type="list" sqref="W2:W251" showErrorMessage="0" allowBlank="1">
      <formula1>=list_Condition</formula1>
    </dataValidation>
    <dataValidation type="list" sqref="X2:X251" showErrorMessage="0" allowBlank="1">
      <formula1>=list_CostCond</formula1>
    </dataValidation>
    <dataValidation type="list" sqref="Z2:Z251" showErrorMessage="0" allowBlank="1">
      <formula1>=list_Bool</formula1>
    </dataValidation>
    <dataValidation type="list" sqref="AA2:AA251" showErrorMessage="0" allowBlank="1">
      <formula1>=list_Bool</formula1>
    </dataValidation>
    <dataValidation type="list" sqref="AF2:AF251" showErrorMessage="0" allowBlank="1">
      <formula1>=list_Buildable</formula1>
    </dataValidation>
    <dataValidation type="list" sqref="AI2:AI251" showErrorMessage="0" allowBlank="1">
      <formula1>=list_Priority</formula1>
    </dataValidation>
  </dataValidations>
  <headerFooter/>
</worksheet>
</file>

<file path=xl/worksheets/sheet9.xml><?xml version="1.0" encoding="utf-8"?>
<worksheet xmlns:r="http://schemas.openxmlformats.org/officeDocument/2006/relationships" xmlns="http://schemas.openxmlformats.org/spreadsheetml/2006/main">
  <dimension ref="A1:AI1"/>
  <sheetViews>
    <sheetView workbookViewId="0" tabSelected="0">
      <pane xSplit="2" ySplit="1" topLeftCell="C2" state="frozen" activePane="bottomRight"/>
      <selection pane="topRight" activeCell="C1" sqref="C1"/>
      <selection pane="bottomLeft" activeCell="A2" sqref="A2"/>
      <selection pane="bottomRight" activeCell="A1" sqref="A1"/>
    </sheetView>
  </sheetViews>
  <sheetFormatPr defaultRowHeight="15"/>
  <cols>
    <col min="7" max="7" width="52" customWidth="1" style="8"/>
    <col min="31" max="31" width="46" customWidth="1" style="8"/>
    <col min="33" max="33" width="46" customWidth="1" style="8"/>
  </cols>
  <sheetData>
    <row r="1">
      <c r="A1" s="7" t="s">
        <v>0</v>
      </c>
      <c r="B1" s="7" t="s">
        <v>1</v>
      </c>
      <c r="C1" s="7" t="s">
        <v>2</v>
      </c>
      <c r="D1" s="7" t="s">
        <v>3</v>
      </c>
      <c r="E1" s="7" t="s">
        <v>4</v>
      </c>
      <c r="F1" s="7" t="s">
        <v>5</v>
      </c>
      <c r="G1" s="9"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c r="Y1" s="7" t="s">
        <v>24</v>
      </c>
      <c r="Z1" s="7" t="s">
        <v>25</v>
      </c>
      <c r="AA1" s="7" t="s">
        <v>26</v>
      </c>
      <c r="AB1" s="7" t="s">
        <v>27</v>
      </c>
      <c r="AC1" s="7" t="s">
        <v>28</v>
      </c>
      <c r="AD1" s="7" t="s">
        <v>29</v>
      </c>
      <c r="AE1" s="9" t="s">
        <v>30</v>
      </c>
      <c r="AF1" s="7" t="s">
        <v>877</v>
      </c>
      <c r="AG1" s="9" t="s">
        <v>878</v>
      </c>
      <c r="AH1" s="7" t="s">
        <v>879</v>
      </c>
      <c r="AI1" s="7" t="s">
        <v>880</v>
      </c>
    </row>
  </sheetData>
  <dataValidations count="18">
    <dataValidation type="list" sqref="L2:L202" showErrorMessage="0" allowBlank="1">
      <formula1>=list_Class</formula1>
    </dataValidation>
    <dataValidation type="list" sqref="M2:M202" showErrorMessage="0" allowBlank="1">
      <formula1>=list_Folder</formula1>
    </dataValidation>
    <dataValidation type="list" sqref="C2:C202" showErrorMessage="0" allowBlank="1">
      <formula1>=list_Rarity</formula1>
    </dataValidation>
    <dataValidation type="list" sqref="H2:H202" showErrorMessage="0" allowBlank="1">
      <formula1>=list_Shape</formula1>
    </dataValidation>
    <dataValidation type="list" sqref="O2:O202" showErrorMessage="0" allowBlank="1">
      <formula1>=list_Aim</formula1>
    </dataValidation>
    <dataValidation type="list" sqref="R2:R202" showErrorMessage="0" allowBlank="1">
      <formula1>=list_Aim</formula1>
    </dataValidation>
    <dataValidation type="list" sqref="U2:U202" showErrorMessage="0" allowBlank="1">
      <formula1>=list_Aim</formula1>
    </dataValidation>
    <dataValidation type="list" sqref="D2:D202" showErrorMessage="0" allowBlank="1">
      <formula1>=list_Effect</formula1>
    </dataValidation>
    <dataValidation type="list" sqref="E2:E202" showErrorMessage="0" allowBlank="1">
      <formula1>=list_Effect</formula1>
    </dataValidation>
    <dataValidation type="list" sqref="F2:F202" showErrorMessage="0" allowBlank="1">
      <formula1>=list_Effect</formula1>
    </dataValidation>
    <dataValidation type="list" sqref="Q2:Q202" showErrorMessage="0" allowBlank="1">
      <formula1>=list_Condition</formula1>
    </dataValidation>
    <dataValidation type="list" sqref="T2:T202" showErrorMessage="0" allowBlank="1">
      <formula1>=list_Condition</formula1>
    </dataValidation>
    <dataValidation type="list" sqref="W2:W202" showErrorMessage="0" allowBlank="1">
      <formula1>=list_Condition</formula1>
    </dataValidation>
    <dataValidation type="list" sqref="X2:X202" showErrorMessage="0" allowBlank="1">
      <formula1>=list_CostCond</formula1>
    </dataValidation>
    <dataValidation type="list" sqref="Z2:Z202" showErrorMessage="0" allowBlank="1">
      <formula1>=list_Bool</formula1>
    </dataValidation>
    <dataValidation type="list" sqref="AA2:AA202" showErrorMessage="0" allowBlank="1">
      <formula1>=list_Bool</formula1>
    </dataValidation>
    <dataValidation type="list" sqref="AF2:AF202" showErrorMessage="0" allowBlank="1">
      <formula1>=list_Buildable</formula1>
    </dataValidation>
    <dataValidation type="list" sqref="AI2:AI202" showErrorMessage="0" allowBlank="1">
      <formula1>=list_Priority</formula1>
    </dataValidation>
  </dataValidations>
  <headerFooter/>
</worksheet>
</file>

<file path=xl/worksheets/sheet10.xml><?xml version="1.0" encoding="utf-8"?>
<worksheet xmlns:r="http://schemas.openxmlformats.org/officeDocument/2006/relationships" xmlns="http://schemas.openxmlformats.org/spreadsheetml/2006/main">
  <dimension ref="A1:I125"/>
  <sheetViews>
    <sheetView workbookViewId="0" tabSelected="0">
      <pane ySplit="1" topLeftCell="A2" state="frozen" activePane="bottomLeft"/>
      <selection pane="bottomLeft" activeCell="A1" sqref="A1"/>
    </sheetView>
  </sheetViews>
  <sheetFormatPr defaultRowHeight="15"/>
  <cols>
    <col min="1" max="1" width="26.5934047698975" customWidth="1"/>
    <col min="2" max="2" width="16.9315757751465" customWidth="1"/>
    <col min="3" max="3" width="23.4894237518311" customWidth="1"/>
    <col min="4" max="4" width="9.140625" customWidth="1"/>
    <col min="5" max="5" width="36.4291572570801" customWidth="1"/>
    <col min="6" max="6" width="10.016676902771" customWidth="1"/>
    <col min="7" max="7" width="9.140625" customWidth="1"/>
    <col min="8" max="8" width="61.7326278686523" customWidth="1"/>
    <col min="9" max="9" width="36.4506416320801" customWidth="1"/>
  </cols>
  <sheetData>
    <row r="1">
      <c r="A1" s="0" t="s">
        <v>1397</v>
      </c>
      <c r="B1" s="0" t="s">
        <v>11</v>
      </c>
      <c r="C1" s="0" t="s">
        <v>1398</v>
      </c>
      <c r="D1" s="0" t="s">
        <v>1399</v>
      </c>
      <c r="E1" s="0" t="s">
        <v>1400</v>
      </c>
      <c r="F1" s="0" t="s">
        <v>1401</v>
      </c>
      <c r="G1" s="0" t="s">
        <v>1402</v>
      </c>
      <c r="H1" s="0" t="s">
        <v>1403</v>
      </c>
      <c r="I1" s="0" t="s">
        <v>28</v>
      </c>
    </row>
    <row r="2">
      <c r="A2" s="0" t="s">
        <v>361</v>
      </c>
      <c r="B2" s="0" t="s">
        <v>1404</v>
      </c>
      <c r="C2" s="5" t="s">
        <v>1405</v>
      </c>
      <c r="D2" s="0">
        <v>1</v>
      </c>
      <c r="E2" s="0" t="s">
        <v>1406</v>
      </c>
      <c r="F2" s="0" t="s">
        <v>1407</v>
      </c>
      <c r="G2" s="0">
        <v>1</v>
      </c>
      <c r="H2" s="0" t="s">
        <v>1408</v>
      </c>
      <c r="I2" s="0" t="s">
        <v>1409</v>
      </c>
    </row>
    <row r="3">
      <c r="A3" s="0" t="s">
        <v>127</v>
      </c>
      <c r="B3" s="0" t="s">
        <v>1404</v>
      </c>
      <c r="C3" s="5" t="s">
        <v>1410</v>
      </c>
      <c r="D3" s="0">
        <v>1</v>
      </c>
      <c r="E3" s="0" t="s">
        <v>1406</v>
      </c>
      <c r="F3" s="0" t="s">
        <v>882</v>
      </c>
      <c r="G3" s="0">
        <v>1</v>
      </c>
      <c r="H3" s="0" t="s">
        <v>1411</v>
      </c>
      <c r="I3" s="0" t="s">
        <v>1412</v>
      </c>
    </row>
    <row r="4">
      <c r="A4" s="0" t="s">
        <v>967</v>
      </c>
      <c r="B4" s="0" t="s">
        <v>1404</v>
      </c>
      <c r="C4" s="5" t="s">
        <v>1413</v>
      </c>
      <c r="D4" s="0">
        <v>1</v>
      </c>
      <c r="E4" s="0" t="s">
        <v>1406</v>
      </c>
      <c r="F4" s="0" t="s">
        <v>882</v>
      </c>
      <c r="G4" s="0">
        <v>0</v>
      </c>
      <c r="H4" s="0" t="s">
        <v>1414</v>
      </c>
      <c r="I4" s="0" t="s">
        <v>1415</v>
      </c>
    </row>
    <row r="5">
      <c r="A5" s="0" t="s">
        <v>265</v>
      </c>
      <c r="B5" s="0" t="s">
        <v>1404</v>
      </c>
      <c r="C5" s="5" t="s">
        <v>1416</v>
      </c>
      <c r="D5" s="0">
        <v>1</v>
      </c>
      <c r="E5" s="0" t="s">
        <v>1406</v>
      </c>
      <c r="F5" s="0" t="s">
        <v>1407</v>
      </c>
      <c r="G5" s="0">
        <v>2</v>
      </c>
      <c r="H5" s="0" t="s">
        <v>1417</v>
      </c>
      <c r="I5" s="0" t="s">
        <v>1418</v>
      </c>
    </row>
    <row r="6">
      <c r="A6" s="0" t="s">
        <v>469</v>
      </c>
      <c r="B6" s="0" t="s">
        <v>1404</v>
      </c>
      <c r="C6" s="5" t="s">
        <v>1419</v>
      </c>
      <c r="D6" s="0">
        <v>1</v>
      </c>
      <c r="E6" s="0" t="s">
        <v>1406</v>
      </c>
      <c r="F6" s="0" t="s">
        <v>882</v>
      </c>
      <c r="G6" s="0">
        <v>1</v>
      </c>
      <c r="H6" s="0" t="s">
        <v>1420</v>
      </c>
      <c r="I6" s="0" t="s">
        <v>1421</v>
      </c>
    </row>
    <row r="7">
      <c r="A7" s="0" t="s">
        <v>375</v>
      </c>
      <c r="B7" s="0" t="s">
        <v>1404</v>
      </c>
      <c r="C7" s="5" t="s">
        <v>1419</v>
      </c>
      <c r="D7" s="0">
        <v>3</v>
      </c>
      <c r="E7" s="0" t="s">
        <v>1406</v>
      </c>
      <c r="F7" s="0" t="s">
        <v>882</v>
      </c>
      <c r="G7" s="0">
        <v>1</v>
      </c>
      <c r="H7" s="0" t="s">
        <v>1422</v>
      </c>
      <c r="I7" s="0" t="s">
        <v>1423</v>
      </c>
    </row>
    <row r="8">
      <c r="A8" s="0" t="s">
        <v>824</v>
      </c>
      <c r="B8" s="0" t="s">
        <v>1404</v>
      </c>
      <c r="C8" s="5" t="s">
        <v>1424</v>
      </c>
      <c r="D8" s="0">
        <v>1</v>
      </c>
      <c r="E8" s="0" t="s">
        <v>1406</v>
      </c>
      <c r="F8" s="0" t="s">
        <v>882</v>
      </c>
      <c r="G8" s="0">
        <v>1</v>
      </c>
      <c r="H8" s="0" t="s">
        <v>1425</v>
      </c>
      <c r="I8" s="0" t="s">
        <v>1426</v>
      </c>
    </row>
    <row r="9">
      <c r="A9" s="0" t="s">
        <v>798</v>
      </c>
      <c r="B9" s="0" t="s">
        <v>1404</v>
      </c>
      <c r="C9" s="5" t="s">
        <v>1427</v>
      </c>
      <c r="D9" s="0">
        <v>1</v>
      </c>
      <c r="E9" s="0" t="s">
        <v>1406</v>
      </c>
      <c r="F9" s="0" t="s">
        <v>882</v>
      </c>
      <c r="G9" s="0">
        <v>0</v>
      </c>
      <c r="H9" s="0" t="s">
        <v>1428</v>
      </c>
      <c r="I9" s="0" t="s">
        <v>1429</v>
      </c>
    </row>
    <row r="10">
      <c r="A10" s="0" t="s">
        <v>786</v>
      </c>
      <c r="B10" s="0" t="s">
        <v>1404</v>
      </c>
      <c r="C10" s="5" t="s">
        <v>1427</v>
      </c>
      <c r="D10" s="0">
        <v>2</v>
      </c>
      <c r="E10" s="0" t="s">
        <v>1406</v>
      </c>
      <c r="F10" s="0" t="s">
        <v>882</v>
      </c>
      <c r="G10" s="0">
        <v>1</v>
      </c>
      <c r="H10" s="0" t="s">
        <v>1430</v>
      </c>
      <c r="I10" s="0" t="s">
        <v>1431</v>
      </c>
    </row>
    <row r="11">
      <c r="A11" s="0" t="s">
        <v>391</v>
      </c>
      <c r="B11" s="0" t="s">
        <v>1404</v>
      </c>
      <c r="C11" s="5" t="s">
        <v>1427</v>
      </c>
      <c r="D11" s="0">
        <v>3</v>
      </c>
      <c r="E11" s="0" t="s">
        <v>1406</v>
      </c>
      <c r="F11" s="0" t="s">
        <v>882</v>
      </c>
      <c r="G11" s="0">
        <v>3</v>
      </c>
      <c r="H11" s="0" t="s">
        <v>1432</v>
      </c>
      <c r="I11" s="0" t="s">
        <v>1433</v>
      </c>
    </row>
    <row r="12">
      <c r="A12" s="0" t="s">
        <v>400</v>
      </c>
      <c r="B12" s="0" t="s">
        <v>1404</v>
      </c>
      <c r="C12" s="5" t="s">
        <v>1427</v>
      </c>
      <c r="D12" s="0">
        <v>4</v>
      </c>
      <c r="E12" s="0" t="s">
        <v>1406</v>
      </c>
      <c r="F12" s="0" t="s">
        <v>882</v>
      </c>
      <c r="G12" s="0">
        <v>1</v>
      </c>
      <c r="H12" s="0" t="s">
        <v>1434</v>
      </c>
      <c r="I12" s="0" t="s">
        <v>1435</v>
      </c>
    </row>
    <row r="13">
      <c r="A13" s="0" t="s">
        <v>379</v>
      </c>
      <c r="B13" s="0" t="s">
        <v>1404</v>
      </c>
      <c r="C13" s="5" t="s">
        <v>1436</v>
      </c>
      <c r="D13" s="0">
        <v>3</v>
      </c>
      <c r="E13" s="0" t="s">
        <v>1406</v>
      </c>
      <c r="F13" s="0" t="s">
        <v>882</v>
      </c>
      <c r="G13" s="0">
        <v>1</v>
      </c>
      <c r="H13" s="0" t="s">
        <v>1437</v>
      </c>
      <c r="I13" s="0" t="s">
        <v>1438</v>
      </c>
    </row>
    <row r="14">
      <c r="A14" s="0" t="s">
        <v>513</v>
      </c>
      <c r="B14" s="0" t="s">
        <v>1404</v>
      </c>
      <c r="C14" s="5" t="s">
        <v>1439</v>
      </c>
      <c r="D14" s="0">
        <v>4</v>
      </c>
      <c r="E14" s="0" t="s">
        <v>1406</v>
      </c>
      <c r="F14" s="0" t="s">
        <v>882</v>
      </c>
      <c r="G14" s="0">
        <v>2</v>
      </c>
      <c r="H14" s="0" t="s">
        <v>1440</v>
      </c>
      <c r="I14" s="0" t="s">
        <v>1441</v>
      </c>
    </row>
    <row r="15">
      <c r="A15" s="0" t="s">
        <v>262</v>
      </c>
      <c r="B15" s="0" t="s">
        <v>1404</v>
      </c>
      <c r="C15" s="5" t="s">
        <v>1442</v>
      </c>
      <c r="D15" s="0">
        <v>1</v>
      </c>
      <c r="E15" s="0" t="s">
        <v>1406</v>
      </c>
      <c r="F15" s="0" t="s">
        <v>1407</v>
      </c>
      <c r="G15" s="0">
        <v>2</v>
      </c>
      <c r="H15" s="0" t="s">
        <v>1443</v>
      </c>
      <c r="I15" s="0" t="s">
        <v>1444</v>
      </c>
    </row>
    <row r="16">
      <c r="A16" s="0" t="s">
        <v>830</v>
      </c>
      <c r="B16" s="0" t="s">
        <v>1404</v>
      </c>
      <c r="C16" s="5" t="s">
        <v>1445</v>
      </c>
      <c r="D16" s="0">
        <v>2</v>
      </c>
      <c r="E16" s="0" t="s">
        <v>1406</v>
      </c>
      <c r="F16" s="0" t="s">
        <v>882</v>
      </c>
      <c r="G16" s="0">
        <v>1</v>
      </c>
      <c r="H16" s="0" t="s">
        <v>1446</v>
      </c>
      <c r="I16" s="0" t="s">
        <v>1447</v>
      </c>
    </row>
    <row r="17">
      <c r="A17" s="0" t="s">
        <v>371</v>
      </c>
      <c r="B17" s="0" t="s">
        <v>1404</v>
      </c>
      <c r="C17" s="5" t="s">
        <v>1448</v>
      </c>
      <c r="D17" s="0">
        <v>2</v>
      </c>
      <c r="E17" s="0" t="s">
        <v>1406</v>
      </c>
      <c r="F17" s="0" t="s">
        <v>882</v>
      </c>
      <c r="G17" s="0">
        <v>1</v>
      </c>
      <c r="H17" s="0" t="s">
        <v>1449</v>
      </c>
      <c r="I17" s="0" t="s">
        <v>1450</v>
      </c>
    </row>
    <row r="18">
      <c r="A18" s="0" t="s">
        <v>1451</v>
      </c>
      <c r="B18" s="0" t="s">
        <v>1404</v>
      </c>
      <c r="C18" s="5" t="s">
        <v>1452</v>
      </c>
      <c r="D18" s="0">
        <v>1</v>
      </c>
      <c r="E18" s="0" t="s">
        <v>1406</v>
      </c>
      <c r="F18" s="0" t="s">
        <v>882</v>
      </c>
      <c r="G18" s="0">
        <v>0</v>
      </c>
      <c r="H18" s="0" t="s">
        <v>1453</v>
      </c>
      <c r="I18" s="0" t="s">
        <v>1454</v>
      </c>
    </row>
    <row r="19">
      <c r="A19" s="0" t="s">
        <v>122</v>
      </c>
      <c r="B19" s="0" t="s">
        <v>1404</v>
      </c>
      <c r="C19" s="5" t="s">
        <v>1452</v>
      </c>
      <c r="D19" s="0">
        <v>3</v>
      </c>
      <c r="E19" s="0" t="s">
        <v>1406</v>
      </c>
      <c r="F19" s="0" t="s">
        <v>882</v>
      </c>
      <c r="G19" s="0">
        <v>2</v>
      </c>
      <c r="H19" s="0" t="s">
        <v>1455</v>
      </c>
      <c r="I19" s="0" t="s">
        <v>1456</v>
      </c>
    </row>
    <row r="20">
      <c r="A20" s="0" t="s">
        <v>1457</v>
      </c>
      <c r="B20" s="0" t="s">
        <v>1404</v>
      </c>
      <c r="C20" s="5" t="s">
        <v>1458</v>
      </c>
      <c r="D20" s="0">
        <v>3</v>
      </c>
      <c r="E20" s="0" t="s">
        <v>1406</v>
      </c>
      <c r="F20" s="0" t="s">
        <v>882</v>
      </c>
      <c r="G20" s="0">
        <v>0</v>
      </c>
      <c r="H20" s="0" t="s">
        <v>1459</v>
      </c>
      <c r="I20" s="0" t="s">
        <v>1460</v>
      </c>
    </row>
    <row r="21">
      <c r="A21" s="0" t="s">
        <v>178</v>
      </c>
      <c r="B21" s="0" t="s">
        <v>1404</v>
      </c>
      <c r="C21" s="5" t="s">
        <v>1461</v>
      </c>
      <c r="D21" s="0">
        <v>1</v>
      </c>
      <c r="E21" s="0" t="s">
        <v>1406</v>
      </c>
      <c r="F21" s="0" t="s">
        <v>882</v>
      </c>
      <c r="G21" s="0">
        <v>6</v>
      </c>
      <c r="H21" s="0" t="s">
        <v>1462</v>
      </c>
      <c r="I21" s="0" t="s">
        <v>1463</v>
      </c>
    </row>
    <row r="22">
      <c r="A22" s="0" t="s">
        <v>1464</v>
      </c>
      <c r="B22" s="0" t="s">
        <v>1404</v>
      </c>
      <c r="C22" s="5" t="s">
        <v>1461</v>
      </c>
      <c r="D22" s="0">
        <v>2</v>
      </c>
      <c r="E22" s="0" t="s">
        <v>1406</v>
      </c>
      <c r="F22" s="0" t="s">
        <v>882</v>
      </c>
      <c r="G22" s="0">
        <v>0</v>
      </c>
      <c r="H22" s="0" t="s">
        <v>1465</v>
      </c>
      <c r="I22" s="0" t="s">
        <v>1466</v>
      </c>
    </row>
    <row r="23">
      <c r="A23" s="0" t="s">
        <v>255</v>
      </c>
      <c r="B23" s="0" t="s">
        <v>1404</v>
      </c>
      <c r="C23" s="5" t="s">
        <v>1467</v>
      </c>
      <c r="D23" s="0">
        <v>1</v>
      </c>
      <c r="E23" s="0" t="s">
        <v>1406</v>
      </c>
      <c r="F23" s="0" t="s">
        <v>882</v>
      </c>
      <c r="G23" s="0">
        <v>6</v>
      </c>
      <c r="H23" s="0" t="s">
        <v>1468</v>
      </c>
      <c r="I23" s="0" t="s">
        <v>1469</v>
      </c>
    </row>
    <row r="24">
      <c r="A24" s="0" t="s">
        <v>384</v>
      </c>
      <c r="B24" s="0" t="s">
        <v>1404</v>
      </c>
      <c r="C24" s="5" t="s">
        <v>1467</v>
      </c>
      <c r="D24" s="0">
        <v>2</v>
      </c>
      <c r="E24" s="0" t="s">
        <v>1406</v>
      </c>
      <c r="F24" s="0" t="s">
        <v>882</v>
      </c>
      <c r="G24" s="0">
        <v>1</v>
      </c>
      <c r="H24" s="0" t="s">
        <v>1470</v>
      </c>
      <c r="I24" s="0" t="s">
        <v>1471</v>
      </c>
    </row>
    <row r="25">
      <c r="A25" s="0" t="s">
        <v>33</v>
      </c>
      <c r="B25" s="0" t="s">
        <v>1472</v>
      </c>
      <c r="C25" s="0" t="s">
        <v>31</v>
      </c>
      <c r="D25" s="0">
        <v>1</v>
      </c>
      <c r="E25" s="0" t="s">
        <v>1473</v>
      </c>
      <c r="F25" s="0" t="s">
        <v>882</v>
      </c>
      <c r="G25" s="0">
        <v>7</v>
      </c>
      <c r="H25" s="0" t="s">
        <v>1474</v>
      </c>
      <c r="I25" s="0" t="s">
        <v>1475</v>
      </c>
    </row>
    <row r="26">
      <c r="A26" s="0" t="s">
        <v>367</v>
      </c>
      <c r="B26" s="0" t="s">
        <v>1472</v>
      </c>
      <c r="C26" s="0" t="s">
        <v>31</v>
      </c>
      <c r="D26" s="0">
        <v>2</v>
      </c>
      <c r="E26" s="0" t="s">
        <v>1473</v>
      </c>
      <c r="F26" s="0" t="s">
        <v>882</v>
      </c>
      <c r="G26" s="0">
        <v>3</v>
      </c>
      <c r="H26" s="0" t="s">
        <v>1476</v>
      </c>
      <c r="I26" s="0" t="s">
        <v>1477</v>
      </c>
    </row>
    <row r="27">
      <c r="A27" s="0" t="s">
        <v>907</v>
      </c>
      <c r="B27" s="0" t="s">
        <v>1472</v>
      </c>
      <c r="C27" s="0" t="s">
        <v>31</v>
      </c>
      <c r="D27" s="0">
        <v>3</v>
      </c>
      <c r="E27" s="0" t="s">
        <v>1473</v>
      </c>
      <c r="F27" s="0" t="s">
        <v>882</v>
      </c>
      <c r="G27" s="0">
        <v>0</v>
      </c>
      <c r="H27" s="0" t="s">
        <v>1478</v>
      </c>
      <c r="I27" s="0" t="s">
        <v>1479</v>
      </c>
    </row>
    <row r="28">
      <c r="A28" s="0" t="s">
        <v>1480</v>
      </c>
      <c r="B28" s="0" t="s">
        <v>1472</v>
      </c>
      <c r="C28" s="0" t="s">
        <v>31</v>
      </c>
      <c r="D28" s="0">
        <v>4</v>
      </c>
      <c r="E28" s="0" t="s">
        <v>1473</v>
      </c>
      <c r="F28" s="0" t="s">
        <v>882</v>
      </c>
      <c r="G28" s="0">
        <v>0</v>
      </c>
      <c r="H28" s="0" t="s">
        <v>1481</v>
      </c>
      <c r="I28" s="0" t="s">
        <v>1482</v>
      </c>
    </row>
    <row r="29">
      <c r="A29" s="0" t="s">
        <v>780</v>
      </c>
      <c r="B29" s="0" t="s">
        <v>1483</v>
      </c>
      <c r="C29" s="0" t="s">
        <v>1484</v>
      </c>
      <c r="D29" s="0">
        <v>1</v>
      </c>
      <c r="E29" s="0" t="s">
        <v>34</v>
      </c>
      <c r="F29" s="0" t="s">
        <v>882</v>
      </c>
      <c r="G29" s="0">
        <v>2</v>
      </c>
      <c r="H29" s="0" t="s">
        <v>1485</v>
      </c>
      <c r="I29" s="0" t="s">
        <v>1486</v>
      </c>
    </row>
    <row r="30">
      <c r="A30" s="0" t="s">
        <v>189</v>
      </c>
      <c r="B30" s="0" t="s">
        <v>1483</v>
      </c>
      <c r="C30" s="0" t="s">
        <v>1484</v>
      </c>
      <c r="D30" s="0">
        <v>11</v>
      </c>
      <c r="E30" s="0" t="s">
        <v>34</v>
      </c>
      <c r="F30" s="0" t="s">
        <v>882</v>
      </c>
      <c r="G30" s="0">
        <v>1</v>
      </c>
      <c r="H30" s="0" t="s">
        <v>1487</v>
      </c>
      <c r="I30" s="0" t="s">
        <v>1488</v>
      </c>
    </row>
    <row r="31">
      <c r="A31" s="0" t="s">
        <v>185</v>
      </c>
      <c r="B31" s="0" t="s">
        <v>1483</v>
      </c>
      <c r="C31" s="0" t="s">
        <v>1484</v>
      </c>
      <c r="D31" s="0">
        <v>12</v>
      </c>
      <c r="E31" s="0" t="s">
        <v>34</v>
      </c>
      <c r="F31" s="0" t="s">
        <v>882</v>
      </c>
      <c r="G31" s="0">
        <v>1</v>
      </c>
      <c r="H31" s="0" t="s">
        <v>1489</v>
      </c>
      <c r="I31" s="0" t="s">
        <v>1490</v>
      </c>
    </row>
    <row r="32">
      <c r="A32" s="0" t="s">
        <v>801</v>
      </c>
      <c r="B32" s="0" t="s">
        <v>1483</v>
      </c>
      <c r="C32" s="0" t="s">
        <v>1484</v>
      </c>
      <c r="D32" s="0">
        <v>2</v>
      </c>
      <c r="E32" s="0" t="s">
        <v>34</v>
      </c>
      <c r="F32" s="0" t="s">
        <v>882</v>
      </c>
      <c r="G32" s="0">
        <v>5</v>
      </c>
      <c r="H32" s="0" t="s">
        <v>1491</v>
      </c>
      <c r="I32" s="0" t="s">
        <v>1492</v>
      </c>
    </row>
    <row r="33">
      <c r="A33" s="0" t="s">
        <v>272</v>
      </c>
      <c r="B33" s="0" t="s">
        <v>1483</v>
      </c>
      <c r="C33" s="0" t="s">
        <v>1484</v>
      </c>
      <c r="D33" s="0">
        <v>3</v>
      </c>
      <c r="E33" s="0" t="s">
        <v>34</v>
      </c>
      <c r="F33" s="0" t="s">
        <v>882</v>
      </c>
      <c r="G33" s="0">
        <v>12</v>
      </c>
      <c r="H33" s="0" t="s">
        <v>1493</v>
      </c>
      <c r="I33" s="0" t="s">
        <v>1494</v>
      </c>
    </row>
    <row r="34">
      <c r="A34" s="0" t="s">
        <v>193</v>
      </c>
      <c r="B34" s="0" t="s">
        <v>1483</v>
      </c>
      <c r="C34" s="0" t="s">
        <v>1484</v>
      </c>
      <c r="D34" s="0">
        <v>4</v>
      </c>
      <c r="E34" s="0" t="s">
        <v>34</v>
      </c>
      <c r="F34" s="0" t="s">
        <v>882</v>
      </c>
      <c r="G34" s="0">
        <v>10</v>
      </c>
      <c r="H34" s="0" t="s">
        <v>1495</v>
      </c>
      <c r="I34" s="0" t="s">
        <v>1496</v>
      </c>
    </row>
    <row r="35">
      <c r="A35" s="0" t="s">
        <v>136</v>
      </c>
      <c r="B35" s="0" t="s">
        <v>1483</v>
      </c>
      <c r="C35" s="0" t="s">
        <v>1484</v>
      </c>
      <c r="D35" s="0">
        <v>5</v>
      </c>
      <c r="E35" s="0" t="s">
        <v>34</v>
      </c>
      <c r="F35" s="0" t="s">
        <v>882</v>
      </c>
      <c r="G35" s="0">
        <v>12</v>
      </c>
      <c r="H35" s="0" t="s">
        <v>1497</v>
      </c>
      <c r="I35" s="0" t="s">
        <v>1498</v>
      </c>
    </row>
    <row r="36">
      <c r="A36" s="0" t="s">
        <v>161</v>
      </c>
      <c r="B36" s="0" t="s">
        <v>1483</v>
      </c>
      <c r="C36" s="0" t="s">
        <v>1484</v>
      </c>
      <c r="D36" s="0">
        <v>6</v>
      </c>
      <c r="E36" s="0" t="s">
        <v>34</v>
      </c>
      <c r="F36" s="0" t="s">
        <v>882</v>
      </c>
      <c r="G36" s="0">
        <v>5</v>
      </c>
      <c r="H36" s="0" t="s">
        <v>1499</v>
      </c>
      <c r="I36" s="0" t="s">
        <v>1500</v>
      </c>
    </row>
    <row r="37">
      <c r="A37" s="0" t="s">
        <v>152</v>
      </c>
      <c r="B37" s="0" t="s">
        <v>1483</v>
      </c>
      <c r="C37" s="0" t="s">
        <v>1484</v>
      </c>
      <c r="D37" s="0">
        <v>7</v>
      </c>
      <c r="E37" s="0" t="s">
        <v>34</v>
      </c>
      <c r="F37" s="0" t="s">
        <v>882</v>
      </c>
      <c r="G37" s="0">
        <v>7</v>
      </c>
      <c r="H37" s="0" t="s">
        <v>1501</v>
      </c>
      <c r="I37" s="0" t="s">
        <v>1502</v>
      </c>
    </row>
    <row r="38">
      <c r="A38" s="0" t="s">
        <v>167</v>
      </c>
      <c r="B38" s="0" t="s">
        <v>1483</v>
      </c>
      <c r="C38" s="0" t="s">
        <v>1484</v>
      </c>
      <c r="D38" s="0">
        <v>8</v>
      </c>
      <c r="E38" s="0" t="s">
        <v>34</v>
      </c>
      <c r="F38" s="0" t="s">
        <v>882</v>
      </c>
      <c r="G38" s="0">
        <v>6</v>
      </c>
      <c r="H38" s="0" t="s">
        <v>1503</v>
      </c>
      <c r="I38" s="0" t="s">
        <v>1504</v>
      </c>
    </row>
    <row r="39">
      <c r="A39" s="0" t="s">
        <v>147</v>
      </c>
      <c r="B39" s="0" t="s">
        <v>1483</v>
      </c>
      <c r="C39" s="0" t="s">
        <v>1484</v>
      </c>
      <c r="D39" s="0">
        <v>9</v>
      </c>
      <c r="E39" s="0" t="s">
        <v>34</v>
      </c>
      <c r="F39" s="0" t="s">
        <v>882</v>
      </c>
      <c r="G39" s="0">
        <v>4</v>
      </c>
      <c r="H39" s="0" t="s">
        <v>1505</v>
      </c>
      <c r="I39" s="0" t="s">
        <v>1506</v>
      </c>
    </row>
    <row r="40">
      <c r="A40" s="0" t="s">
        <v>47</v>
      </c>
      <c r="B40" s="0" t="s">
        <v>1507</v>
      </c>
      <c r="C40" s="0" t="s">
        <v>1508</v>
      </c>
      <c r="D40" s="0">
        <v>1</v>
      </c>
      <c r="E40" s="0" t="s">
        <v>34</v>
      </c>
      <c r="F40" s="0" t="s">
        <v>882</v>
      </c>
      <c r="G40" s="0">
        <v>24</v>
      </c>
      <c r="H40" s="0" t="s">
        <v>1509</v>
      </c>
      <c r="I40" s="0" t="s">
        <v>1510</v>
      </c>
    </row>
    <row r="41">
      <c r="A41" s="0" t="s">
        <v>489</v>
      </c>
      <c r="B41" s="0" t="s">
        <v>1511</v>
      </c>
      <c r="C41" s="0" t="s">
        <v>133</v>
      </c>
      <c r="D41" s="0">
        <v>10</v>
      </c>
      <c r="E41" s="0" t="s">
        <v>34</v>
      </c>
      <c r="F41" s="0" t="s">
        <v>882</v>
      </c>
      <c r="G41" s="0">
        <v>1</v>
      </c>
      <c r="H41" s="0" t="s">
        <v>1512</v>
      </c>
      <c r="I41" s="0" t="s">
        <v>1513</v>
      </c>
    </row>
    <row r="42">
      <c r="A42" s="0" t="s">
        <v>560</v>
      </c>
      <c r="B42" s="0" t="s">
        <v>1511</v>
      </c>
      <c r="C42" s="0" t="s">
        <v>133</v>
      </c>
      <c r="D42" s="0">
        <v>12</v>
      </c>
      <c r="E42" s="0" t="s">
        <v>34</v>
      </c>
      <c r="F42" s="0" t="s">
        <v>882</v>
      </c>
      <c r="G42" s="0">
        <v>1</v>
      </c>
      <c r="H42" s="0" t="s">
        <v>1514</v>
      </c>
      <c r="I42" s="0" t="s">
        <v>1515</v>
      </c>
    </row>
    <row r="43">
      <c r="A43" s="0" t="s">
        <v>273</v>
      </c>
      <c r="B43" s="0" t="s">
        <v>1511</v>
      </c>
      <c r="C43" s="0" t="s">
        <v>133</v>
      </c>
      <c r="D43" s="0">
        <v>3</v>
      </c>
      <c r="E43" s="0" t="s">
        <v>34</v>
      </c>
      <c r="F43" s="0" t="s">
        <v>882</v>
      </c>
      <c r="G43" s="0">
        <v>7</v>
      </c>
      <c r="H43" s="0" t="s">
        <v>1516</v>
      </c>
      <c r="I43" s="0" t="s">
        <v>1517</v>
      </c>
    </row>
    <row r="44">
      <c r="A44" s="0" t="s">
        <v>477</v>
      </c>
      <c r="B44" s="0" t="s">
        <v>1511</v>
      </c>
      <c r="C44" s="0" t="s">
        <v>133</v>
      </c>
      <c r="D44" s="0">
        <v>4</v>
      </c>
      <c r="E44" s="0" t="s">
        <v>34</v>
      </c>
      <c r="F44" s="0" t="s">
        <v>882</v>
      </c>
      <c r="G44" s="0">
        <v>4</v>
      </c>
      <c r="H44" s="0" t="s">
        <v>1518</v>
      </c>
      <c r="I44" s="0" t="s">
        <v>1519</v>
      </c>
    </row>
    <row r="45">
      <c r="A45" s="0" t="s">
        <v>131</v>
      </c>
      <c r="B45" s="0" t="s">
        <v>1511</v>
      </c>
      <c r="C45" s="0" t="s">
        <v>133</v>
      </c>
      <c r="D45" s="0">
        <v>5</v>
      </c>
      <c r="E45" s="0" t="s">
        <v>34</v>
      </c>
      <c r="F45" s="0" t="s">
        <v>882</v>
      </c>
      <c r="G45" s="0">
        <v>8</v>
      </c>
      <c r="H45" s="0" t="s">
        <v>1520</v>
      </c>
      <c r="I45" s="0" t="s">
        <v>1521</v>
      </c>
    </row>
    <row r="46">
      <c r="A46" s="0" t="s">
        <v>529</v>
      </c>
      <c r="B46" s="0" t="s">
        <v>1511</v>
      </c>
      <c r="C46" s="0" t="s">
        <v>133</v>
      </c>
      <c r="D46" s="0">
        <v>6</v>
      </c>
      <c r="E46" s="0" t="s">
        <v>34</v>
      </c>
      <c r="F46" s="0" t="s">
        <v>882</v>
      </c>
      <c r="G46" s="0">
        <v>2</v>
      </c>
      <c r="H46" s="0" t="s">
        <v>1522</v>
      </c>
      <c r="I46" s="0" t="s">
        <v>1523</v>
      </c>
    </row>
    <row r="47">
      <c r="A47" s="0" t="s">
        <v>485</v>
      </c>
      <c r="B47" s="0" t="s">
        <v>1511</v>
      </c>
      <c r="C47" s="0" t="s">
        <v>133</v>
      </c>
      <c r="D47" s="0">
        <v>7</v>
      </c>
      <c r="E47" s="0" t="s">
        <v>34</v>
      </c>
      <c r="F47" s="0" t="s">
        <v>882</v>
      </c>
      <c r="G47" s="0">
        <v>3</v>
      </c>
      <c r="H47" s="0" t="s">
        <v>1524</v>
      </c>
      <c r="I47" s="0" t="s">
        <v>1525</v>
      </c>
    </row>
    <row r="48">
      <c r="A48" s="0" t="s">
        <v>1526</v>
      </c>
      <c r="B48" s="0" t="s">
        <v>1511</v>
      </c>
      <c r="C48" s="0" t="s">
        <v>133</v>
      </c>
      <c r="D48" s="0">
        <v>9</v>
      </c>
      <c r="E48" s="0" t="s">
        <v>34</v>
      </c>
      <c r="F48" s="0" t="s">
        <v>882</v>
      </c>
      <c r="G48" s="0">
        <v>0</v>
      </c>
      <c r="H48" s="0" t="s">
        <v>1527</v>
      </c>
      <c r="I48" s="0" t="s">
        <v>1528</v>
      </c>
    </row>
    <row r="49">
      <c r="A49" s="0" t="s">
        <v>278</v>
      </c>
      <c r="B49" s="0" t="s">
        <v>1529</v>
      </c>
      <c r="C49" s="0" t="s">
        <v>278</v>
      </c>
      <c r="D49" s="0">
        <v>1</v>
      </c>
      <c r="E49" s="0" t="s">
        <v>34</v>
      </c>
      <c r="F49" s="0" t="s">
        <v>882</v>
      </c>
      <c r="G49" s="0">
        <v>5</v>
      </c>
      <c r="H49" s="0" t="s">
        <v>1530</v>
      </c>
      <c r="I49" s="0" t="s">
        <v>1531</v>
      </c>
    </row>
    <row r="50">
      <c r="A50" s="0" t="s">
        <v>73</v>
      </c>
      <c r="B50" s="0" t="s">
        <v>1532</v>
      </c>
      <c r="C50" s="0" t="s">
        <v>72</v>
      </c>
      <c r="D50" s="0">
        <v>1</v>
      </c>
      <c r="E50" s="0" t="s">
        <v>34</v>
      </c>
      <c r="F50" s="0" t="s">
        <v>882</v>
      </c>
      <c r="G50" s="0">
        <v>2</v>
      </c>
      <c r="H50" s="0" t="s">
        <v>1533</v>
      </c>
      <c r="I50" s="0" t="s">
        <v>1534</v>
      </c>
    </row>
    <row r="51">
      <c r="A51" s="0" t="s">
        <v>449</v>
      </c>
      <c r="B51" s="0" t="s">
        <v>1535</v>
      </c>
      <c r="C51" s="0" t="s">
        <v>80</v>
      </c>
      <c r="D51" s="0">
        <v>10</v>
      </c>
      <c r="E51" s="0" t="s">
        <v>34</v>
      </c>
      <c r="F51" s="0" t="s">
        <v>882</v>
      </c>
      <c r="G51" s="0">
        <v>3</v>
      </c>
      <c r="H51" s="0" t="s">
        <v>1536</v>
      </c>
      <c r="I51" s="0" t="s">
        <v>1537</v>
      </c>
    </row>
    <row r="52">
      <c r="A52" s="0" t="s">
        <v>108</v>
      </c>
      <c r="B52" s="0" t="s">
        <v>1535</v>
      </c>
      <c r="C52" s="0" t="s">
        <v>80</v>
      </c>
      <c r="D52" s="0">
        <v>11</v>
      </c>
      <c r="E52" s="0" t="s">
        <v>34</v>
      </c>
      <c r="F52" s="0" t="s">
        <v>882</v>
      </c>
      <c r="G52" s="0">
        <v>1</v>
      </c>
      <c r="H52" s="0" t="s">
        <v>1538</v>
      </c>
      <c r="I52" s="0" t="s">
        <v>1539</v>
      </c>
    </row>
    <row r="53">
      <c r="A53" s="0" t="s">
        <v>115</v>
      </c>
      <c r="B53" s="0" t="s">
        <v>1535</v>
      </c>
      <c r="C53" s="0" t="s">
        <v>80</v>
      </c>
      <c r="D53" s="0">
        <v>12</v>
      </c>
      <c r="E53" s="0" t="s">
        <v>34</v>
      </c>
      <c r="F53" s="0" t="s">
        <v>882</v>
      </c>
      <c r="G53" s="0">
        <v>1</v>
      </c>
      <c r="H53" s="0" t="s">
        <v>1540</v>
      </c>
      <c r="I53" s="0" t="s">
        <v>1541</v>
      </c>
    </row>
    <row r="54">
      <c r="A54" s="0" t="s">
        <v>162</v>
      </c>
      <c r="B54" s="0" t="s">
        <v>1535</v>
      </c>
      <c r="C54" s="0" t="s">
        <v>80</v>
      </c>
      <c r="D54" s="0">
        <v>3</v>
      </c>
      <c r="E54" s="0" t="s">
        <v>34</v>
      </c>
      <c r="F54" s="0" t="s">
        <v>882</v>
      </c>
      <c r="G54" s="0">
        <v>1</v>
      </c>
      <c r="H54" s="0" t="s">
        <v>1542</v>
      </c>
      <c r="I54" s="0" t="s">
        <v>1543</v>
      </c>
    </row>
    <row r="55">
      <c r="A55" s="0" t="s">
        <v>153</v>
      </c>
      <c r="B55" s="0" t="s">
        <v>1535</v>
      </c>
      <c r="C55" s="0" t="s">
        <v>80</v>
      </c>
      <c r="D55" s="0">
        <v>4</v>
      </c>
      <c r="E55" s="0" t="s">
        <v>34</v>
      </c>
      <c r="F55" s="0" t="s">
        <v>882</v>
      </c>
      <c r="G55" s="0">
        <v>2</v>
      </c>
      <c r="H55" s="0" t="s">
        <v>1544</v>
      </c>
      <c r="I55" s="0" t="s">
        <v>1545</v>
      </c>
    </row>
    <row r="56">
      <c r="A56" s="0" t="s">
        <v>97</v>
      </c>
      <c r="B56" s="0" t="s">
        <v>1535</v>
      </c>
      <c r="C56" s="0" t="s">
        <v>80</v>
      </c>
      <c r="D56" s="0">
        <v>5</v>
      </c>
      <c r="E56" s="0" t="s">
        <v>34</v>
      </c>
      <c r="F56" s="0" t="s">
        <v>882</v>
      </c>
      <c r="G56" s="0">
        <v>9</v>
      </c>
      <c r="H56" s="0" t="s">
        <v>1546</v>
      </c>
      <c r="I56" s="0" t="s">
        <v>1547</v>
      </c>
    </row>
    <row r="57">
      <c r="A57" s="0" t="s">
        <v>53</v>
      </c>
      <c r="B57" s="0" t="s">
        <v>1535</v>
      </c>
      <c r="C57" s="0" t="s">
        <v>80</v>
      </c>
      <c r="D57" s="0">
        <v>6</v>
      </c>
      <c r="E57" s="0" t="s">
        <v>34</v>
      </c>
      <c r="F57" s="0" t="s">
        <v>882</v>
      </c>
      <c r="G57" s="0">
        <v>7</v>
      </c>
      <c r="H57" s="0" t="s">
        <v>1548</v>
      </c>
      <c r="I57" s="0" t="s">
        <v>1549</v>
      </c>
    </row>
    <row r="58">
      <c r="A58" s="0" t="s">
        <v>82</v>
      </c>
      <c r="B58" s="0" t="s">
        <v>1535</v>
      </c>
      <c r="C58" s="0" t="s">
        <v>80</v>
      </c>
      <c r="D58" s="0">
        <v>7</v>
      </c>
      <c r="E58" s="0" t="s">
        <v>34</v>
      </c>
      <c r="F58" s="0" t="s">
        <v>882</v>
      </c>
      <c r="G58" s="0">
        <v>4</v>
      </c>
      <c r="H58" s="0" t="s">
        <v>1550</v>
      </c>
      <c r="I58" s="0" t="s">
        <v>1551</v>
      </c>
    </row>
    <row r="59">
      <c r="A59" s="0" t="s">
        <v>46</v>
      </c>
      <c r="B59" s="0" t="s">
        <v>1535</v>
      </c>
      <c r="C59" s="0" t="s">
        <v>80</v>
      </c>
      <c r="D59" s="0">
        <v>8</v>
      </c>
      <c r="E59" s="0" t="s">
        <v>34</v>
      </c>
      <c r="F59" s="0" t="s">
        <v>882</v>
      </c>
      <c r="G59" s="0">
        <v>2</v>
      </c>
      <c r="H59" s="0" t="s">
        <v>1552</v>
      </c>
      <c r="I59" s="0" t="s">
        <v>1553</v>
      </c>
    </row>
    <row r="60">
      <c r="A60" s="0" t="s">
        <v>462</v>
      </c>
      <c r="B60" s="0" t="s">
        <v>1535</v>
      </c>
      <c r="C60" s="0" t="s">
        <v>80</v>
      </c>
      <c r="D60" s="0">
        <v>9</v>
      </c>
      <c r="E60" s="0" t="s">
        <v>34</v>
      </c>
      <c r="F60" s="0" t="s">
        <v>882</v>
      </c>
      <c r="G60" s="0">
        <v>1</v>
      </c>
      <c r="H60" s="0" t="s">
        <v>1554</v>
      </c>
      <c r="I60" s="0" t="s">
        <v>1555</v>
      </c>
    </row>
    <row r="61">
      <c r="A61" s="0" t="s">
        <v>564</v>
      </c>
      <c r="B61" s="0" t="s">
        <v>1556</v>
      </c>
      <c r="C61" s="0" t="s">
        <v>199</v>
      </c>
      <c r="D61" s="0">
        <v>1</v>
      </c>
      <c r="E61" s="0" t="s">
        <v>1557</v>
      </c>
      <c r="F61" s="0" t="s">
        <v>1407</v>
      </c>
      <c r="G61" s="0">
        <v>1</v>
      </c>
      <c r="H61" s="0" t="s">
        <v>1558</v>
      </c>
      <c r="I61" s="0" t="s">
        <v>1559</v>
      </c>
    </row>
    <row r="62">
      <c r="A62" s="0" t="s">
        <v>210</v>
      </c>
      <c r="B62" s="0" t="s">
        <v>1556</v>
      </c>
      <c r="C62" s="0" t="s">
        <v>199</v>
      </c>
      <c r="D62" s="0">
        <v>1</v>
      </c>
      <c r="E62" s="0" t="s">
        <v>1560</v>
      </c>
      <c r="F62" s="0" t="s">
        <v>1407</v>
      </c>
      <c r="G62" s="0">
        <v>1</v>
      </c>
      <c r="H62" s="0" t="s">
        <v>1561</v>
      </c>
      <c r="I62" s="0" t="s">
        <v>1562</v>
      </c>
    </row>
    <row r="63">
      <c r="A63" s="0" t="s">
        <v>568</v>
      </c>
      <c r="B63" s="0" t="s">
        <v>1556</v>
      </c>
      <c r="C63" s="0" t="s">
        <v>199</v>
      </c>
      <c r="D63" s="0">
        <v>1</v>
      </c>
      <c r="E63" s="0" t="s">
        <v>1563</v>
      </c>
      <c r="F63" s="0" t="s">
        <v>1407</v>
      </c>
      <c r="G63" s="0">
        <v>1</v>
      </c>
      <c r="H63" s="0" t="s">
        <v>1564</v>
      </c>
      <c r="I63" s="0" t="s">
        <v>1565</v>
      </c>
    </row>
    <row r="64">
      <c r="A64" s="0" t="s">
        <v>729</v>
      </c>
      <c r="B64" s="0" t="s">
        <v>1556</v>
      </c>
      <c r="C64" s="0" t="s">
        <v>199</v>
      </c>
      <c r="D64" s="0">
        <v>1</v>
      </c>
      <c r="E64" s="0" t="s">
        <v>1566</v>
      </c>
      <c r="F64" s="0" t="s">
        <v>1407</v>
      </c>
      <c r="G64" s="0">
        <v>1</v>
      </c>
      <c r="H64" s="0" t="s">
        <v>1567</v>
      </c>
      <c r="I64" s="0" t="s">
        <v>1568</v>
      </c>
    </row>
    <row r="65">
      <c r="A65" s="0" t="s">
        <v>572</v>
      </c>
      <c r="B65" s="0" t="s">
        <v>1556</v>
      </c>
      <c r="C65" s="0" t="s">
        <v>199</v>
      </c>
      <c r="D65" s="0">
        <v>1</v>
      </c>
      <c r="E65" s="0" t="s">
        <v>1569</v>
      </c>
      <c r="F65" s="0" t="s">
        <v>1407</v>
      </c>
      <c r="G65" s="0">
        <v>1</v>
      </c>
      <c r="H65" s="0" t="s">
        <v>1570</v>
      </c>
      <c r="I65" s="0" t="s">
        <v>1571</v>
      </c>
    </row>
    <row r="66">
      <c r="A66" s="0" t="s">
        <v>304</v>
      </c>
      <c r="B66" s="0" t="s">
        <v>1556</v>
      </c>
      <c r="C66" s="0" t="s">
        <v>199</v>
      </c>
      <c r="D66" s="0">
        <v>1</v>
      </c>
      <c r="E66" s="0" t="s">
        <v>1572</v>
      </c>
      <c r="F66" s="0" t="s">
        <v>1407</v>
      </c>
      <c r="G66" s="0">
        <v>1</v>
      </c>
      <c r="H66" s="0" t="s">
        <v>1573</v>
      </c>
      <c r="I66" s="0" t="s">
        <v>1574</v>
      </c>
    </row>
    <row r="67">
      <c r="A67" s="0" t="s">
        <v>197</v>
      </c>
      <c r="B67" s="0" t="s">
        <v>1556</v>
      </c>
      <c r="C67" s="0" t="s">
        <v>199</v>
      </c>
      <c r="D67" s="0">
        <v>1</v>
      </c>
      <c r="E67" s="0" t="s">
        <v>1575</v>
      </c>
      <c r="F67" s="0" t="s">
        <v>1407</v>
      </c>
      <c r="G67" s="0">
        <v>1</v>
      </c>
      <c r="H67" s="0" t="s">
        <v>1576</v>
      </c>
      <c r="I67" s="0" t="s">
        <v>1577</v>
      </c>
    </row>
    <row r="68">
      <c r="A68" s="0" t="s">
        <v>576</v>
      </c>
      <c r="B68" s="0" t="s">
        <v>1556</v>
      </c>
      <c r="C68" s="0" t="s">
        <v>199</v>
      </c>
      <c r="D68" s="0">
        <v>1</v>
      </c>
      <c r="E68" s="0" t="s">
        <v>1578</v>
      </c>
      <c r="F68" s="0" t="s">
        <v>1407</v>
      </c>
      <c r="G68" s="0">
        <v>1</v>
      </c>
      <c r="H68" s="0" t="s">
        <v>1579</v>
      </c>
      <c r="I68" s="0" t="s">
        <v>1580</v>
      </c>
    </row>
    <row r="69">
      <c r="A69" s="0" t="s">
        <v>596</v>
      </c>
      <c r="B69" s="0" t="s">
        <v>1556</v>
      </c>
      <c r="C69" s="0" t="s">
        <v>199</v>
      </c>
      <c r="D69" s="0">
        <v>1</v>
      </c>
      <c r="E69" s="0" t="s">
        <v>1581</v>
      </c>
      <c r="F69" s="0" t="s">
        <v>1407</v>
      </c>
      <c r="G69" s="0">
        <v>1</v>
      </c>
      <c r="H69" s="0" t="s">
        <v>1582</v>
      </c>
      <c r="I69" s="0" t="s">
        <v>1583</v>
      </c>
    </row>
    <row r="70">
      <c r="A70" s="0" t="s">
        <v>600</v>
      </c>
      <c r="B70" s="0" t="s">
        <v>1556</v>
      </c>
      <c r="C70" s="0" t="s">
        <v>199</v>
      </c>
      <c r="D70" s="0">
        <v>1</v>
      </c>
      <c r="E70" s="0" t="s">
        <v>1584</v>
      </c>
      <c r="F70" s="0" t="s">
        <v>1407</v>
      </c>
      <c r="G70" s="0">
        <v>1</v>
      </c>
      <c r="H70" s="0" t="s">
        <v>1585</v>
      </c>
      <c r="I70" s="0" t="s">
        <v>1586</v>
      </c>
    </row>
    <row r="71">
      <c r="A71" s="0" t="s">
        <v>300</v>
      </c>
      <c r="B71" s="0" t="s">
        <v>1556</v>
      </c>
      <c r="C71" s="0" t="s">
        <v>199</v>
      </c>
      <c r="D71" s="0">
        <v>1</v>
      </c>
      <c r="E71" s="0" t="s">
        <v>1587</v>
      </c>
      <c r="F71" s="0" t="s">
        <v>1407</v>
      </c>
      <c r="G71" s="0">
        <v>1</v>
      </c>
      <c r="H71" s="0" t="s">
        <v>1588</v>
      </c>
      <c r="I71" s="0" t="s">
        <v>1589</v>
      </c>
    </row>
    <row r="72">
      <c r="A72" s="0" t="s">
        <v>604</v>
      </c>
      <c r="B72" s="0" t="s">
        <v>1556</v>
      </c>
      <c r="C72" s="0" t="s">
        <v>199</v>
      </c>
      <c r="D72" s="0">
        <v>1</v>
      </c>
      <c r="E72" s="0" t="s">
        <v>1590</v>
      </c>
      <c r="F72" s="0" t="s">
        <v>1407</v>
      </c>
      <c r="G72" s="0">
        <v>1</v>
      </c>
      <c r="H72" s="0" t="s">
        <v>1591</v>
      </c>
      <c r="I72" s="0" t="s">
        <v>1592</v>
      </c>
    </row>
    <row r="73">
      <c r="A73" s="0" t="s">
        <v>308</v>
      </c>
      <c r="B73" s="0" t="s">
        <v>1556</v>
      </c>
      <c r="C73" s="0" t="s">
        <v>199</v>
      </c>
      <c r="D73" s="0">
        <v>1</v>
      </c>
      <c r="E73" s="0" t="s">
        <v>1593</v>
      </c>
      <c r="F73" s="0" t="s">
        <v>1407</v>
      </c>
      <c r="G73" s="0">
        <v>1</v>
      </c>
      <c r="H73" s="0" t="s">
        <v>1594</v>
      </c>
      <c r="I73" s="0" t="s">
        <v>1595</v>
      </c>
    </row>
    <row r="74">
      <c r="A74" s="0" t="s">
        <v>408</v>
      </c>
      <c r="B74" s="0" t="s">
        <v>1556</v>
      </c>
      <c r="C74" s="0" t="s">
        <v>199</v>
      </c>
      <c r="D74" s="0">
        <v>1</v>
      </c>
      <c r="E74" s="0" t="s">
        <v>1596</v>
      </c>
      <c r="F74" s="0" t="s">
        <v>1407</v>
      </c>
      <c r="G74" s="0">
        <v>1</v>
      </c>
      <c r="H74" s="0" t="s">
        <v>1597</v>
      </c>
      <c r="I74" s="0" t="s">
        <v>1598</v>
      </c>
    </row>
    <row r="75">
      <c r="A75" s="0" t="s">
        <v>312</v>
      </c>
      <c r="B75" s="0" t="s">
        <v>1556</v>
      </c>
      <c r="C75" s="0" t="s">
        <v>199</v>
      </c>
      <c r="D75" s="0">
        <v>1</v>
      </c>
      <c r="E75" s="0" t="s">
        <v>1599</v>
      </c>
      <c r="F75" s="0" t="s">
        <v>1407</v>
      </c>
      <c r="G75" s="0">
        <v>1</v>
      </c>
      <c r="H75" s="0" t="s">
        <v>1600</v>
      </c>
      <c r="I75" s="0" t="s">
        <v>1601</v>
      </c>
    </row>
    <row r="76">
      <c r="A76" s="0" t="s">
        <v>404</v>
      </c>
      <c r="B76" s="0" t="s">
        <v>1556</v>
      </c>
      <c r="C76" s="0" t="s">
        <v>199</v>
      </c>
      <c r="D76" s="0">
        <v>1</v>
      </c>
      <c r="E76" s="0" t="s">
        <v>1602</v>
      </c>
      <c r="F76" s="0" t="s">
        <v>1407</v>
      </c>
      <c r="G76" s="0">
        <v>1</v>
      </c>
      <c r="H76" s="0" t="s">
        <v>1603</v>
      </c>
      <c r="I76" s="0" t="s">
        <v>1604</v>
      </c>
    </row>
    <row r="77">
      <c r="A77" s="0" t="s">
        <v>344</v>
      </c>
      <c r="B77" s="0" t="s">
        <v>1556</v>
      </c>
      <c r="C77" s="0" t="s">
        <v>199</v>
      </c>
      <c r="D77" s="0">
        <v>1</v>
      </c>
      <c r="E77" s="0" t="s">
        <v>1605</v>
      </c>
      <c r="F77" s="0" t="s">
        <v>1407</v>
      </c>
      <c r="G77" s="0">
        <v>1</v>
      </c>
      <c r="H77" s="0" t="s">
        <v>1606</v>
      </c>
      <c r="I77" s="0" t="s">
        <v>1607</v>
      </c>
    </row>
    <row r="78">
      <c r="A78" s="0" t="s">
        <v>580</v>
      </c>
      <c r="B78" s="0" t="s">
        <v>1556</v>
      </c>
      <c r="C78" s="0" t="s">
        <v>199</v>
      </c>
      <c r="D78" s="0">
        <v>1</v>
      </c>
      <c r="E78" s="0" t="s">
        <v>1608</v>
      </c>
      <c r="F78" s="0" t="s">
        <v>1407</v>
      </c>
      <c r="G78" s="0">
        <v>1</v>
      </c>
      <c r="H78" s="0" t="s">
        <v>1609</v>
      </c>
      <c r="I78" s="0" t="s">
        <v>1610</v>
      </c>
    </row>
    <row r="79">
      <c r="A79" s="0" t="s">
        <v>316</v>
      </c>
      <c r="B79" s="0" t="s">
        <v>1556</v>
      </c>
      <c r="C79" s="0" t="s">
        <v>199</v>
      </c>
      <c r="D79" s="0">
        <v>1</v>
      </c>
      <c r="E79" s="0" t="s">
        <v>1611</v>
      </c>
      <c r="F79" s="0" t="s">
        <v>1407</v>
      </c>
      <c r="G79" s="0">
        <v>1</v>
      </c>
      <c r="H79" s="0" t="s">
        <v>1612</v>
      </c>
      <c r="I79" s="0" t="s">
        <v>1613</v>
      </c>
    </row>
    <row r="80">
      <c r="A80" s="0" t="s">
        <v>412</v>
      </c>
      <c r="B80" s="0" t="s">
        <v>1556</v>
      </c>
      <c r="C80" s="0" t="s">
        <v>199</v>
      </c>
      <c r="D80" s="0">
        <v>1</v>
      </c>
      <c r="E80" s="0" t="s">
        <v>1614</v>
      </c>
      <c r="F80" s="0" t="s">
        <v>1407</v>
      </c>
      <c r="G80" s="0">
        <v>1</v>
      </c>
      <c r="H80" s="0" t="s">
        <v>1615</v>
      </c>
      <c r="I80" s="0" t="s">
        <v>1616</v>
      </c>
    </row>
    <row r="81">
      <c r="A81" s="0" t="s">
        <v>320</v>
      </c>
      <c r="B81" s="0" t="s">
        <v>1556</v>
      </c>
      <c r="C81" s="0" t="s">
        <v>199</v>
      </c>
      <c r="D81" s="0">
        <v>1</v>
      </c>
      <c r="E81" s="0" t="s">
        <v>1617</v>
      </c>
      <c r="F81" s="0" t="s">
        <v>1407</v>
      </c>
      <c r="G81" s="0">
        <v>1</v>
      </c>
      <c r="H81" s="0" t="s">
        <v>1618</v>
      </c>
      <c r="I81" s="0" t="s">
        <v>1619</v>
      </c>
    </row>
    <row r="82">
      <c r="A82" s="0" t="s">
        <v>214</v>
      </c>
      <c r="B82" s="0" t="s">
        <v>1556</v>
      </c>
      <c r="C82" s="0" t="s">
        <v>199</v>
      </c>
      <c r="D82" s="0">
        <v>1</v>
      </c>
      <c r="E82" s="0" t="s">
        <v>1620</v>
      </c>
      <c r="F82" s="0" t="s">
        <v>1407</v>
      </c>
      <c r="G82" s="0">
        <v>1</v>
      </c>
      <c r="H82" s="0" t="s">
        <v>1621</v>
      </c>
      <c r="I82" s="0" t="s">
        <v>1622</v>
      </c>
    </row>
    <row r="83">
      <c r="A83" s="0" t="s">
        <v>416</v>
      </c>
      <c r="B83" s="0" t="s">
        <v>1556</v>
      </c>
      <c r="C83" s="0" t="s">
        <v>199</v>
      </c>
      <c r="D83" s="0">
        <v>1</v>
      </c>
      <c r="E83" s="0" t="s">
        <v>1623</v>
      </c>
      <c r="F83" s="0" t="s">
        <v>1407</v>
      </c>
      <c r="G83" s="0">
        <v>1</v>
      </c>
      <c r="H83" s="0" t="s">
        <v>1624</v>
      </c>
      <c r="I83" s="0" t="s">
        <v>1625</v>
      </c>
    </row>
    <row r="84">
      <c r="A84" s="0" t="s">
        <v>715</v>
      </c>
      <c r="B84" s="0" t="s">
        <v>1556</v>
      </c>
      <c r="C84" s="0" t="s">
        <v>199</v>
      </c>
      <c r="D84" s="0">
        <v>1</v>
      </c>
      <c r="E84" s="0" t="s">
        <v>1626</v>
      </c>
      <c r="F84" s="0" t="s">
        <v>1407</v>
      </c>
      <c r="G84" s="0">
        <v>1</v>
      </c>
      <c r="H84" s="0" t="s">
        <v>1627</v>
      </c>
      <c r="I84" s="0" t="s">
        <v>1628</v>
      </c>
    </row>
    <row r="85">
      <c r="A85" s="0" t="s">
        <v>608</v>
      </c>
      <c r="B85" s="0" t="s">
        <v>1556</v>
      </c>
      <c r="C85" s="0" t="s">
        <v>199</v>
      </c>
      <c r="D85" s="0">
        <v>1</v>
      </c>
      <c r="E85" s="0" t="s">
        <v>1629</v>
      </c>
      <c r="F85" s="0" t="s">
        <v>1407</v>
      </c>
      <c r="G85" s="0">
        <v>1</v>
      </c>
      <c r="H85" s="0" t="s">
        <v>1630</v>
      </c>
      <c r="I85" s="0" t="s">
        <v>1631</v>
      </c>
    </row>
    <row r="86">
      <c r="A86" s="0" t="s">
        <v>703</v>
      </c>
      <c r="B86" s="0" t="s">
        <v>1556</v>
      </c>
      <c r="C86" s="0" t="s">
        <v>199</v>
      </c>
      <c r="D86" s="0">
        <v>1</v>
      </c>
      <c r="E86" s="0" t="s">
        <v>1632</v>
      </c>
      <c r="F86" s="0" t="s">
        <v>1407</v>
      </c>
      <c r="G86" s="0">
        <v>1</v>
      </c>
      <c r="H86" s="0" t="s">
        <v>1633</v>
      </c>
      <c r="I86" s="0" t="s">
        <v>1634</v>
      </c>
    </row>
    <row r="87">
      <c r="A87" s="0" t="s">
        <v>324</v>
      </c>
      <c r="B87" s="0" t="s">
        <v>1556</v>
      </c>
      <c r="C87" s="0" t="s">
        <v>199</v>
      </c>
      <c r="D87" s="0">
        <v>1</v>
      </c>
      <c r="E87" s="0" t="s">
        <v>1635</v>
      </c>
      <c r="F87" s="0" t="s">
        <v>1407</v>
      </c>
      <c r="G87" s="0">
        <v>1</v>
      </c>
      <c r="H87" s="0" t="s">
        <v>1636</v>
      </c>
      <c r="I87" s="0" t="s">
        <v>1637</v>
      </c>
    </row>
    <row r="88">
      <c r="A88" s="0" t="s">
        <v>420</v>
      </c>
      <c r="B88" s="0" t="s">
        <v>1556</v>
      </c>
      <c r="C88" s="0" t="s">
        <v>199</v>
      </c>
      <c r="D88" s="0">
        <v>1</v>
      </c>
      <c r="E88" s="0" t="s">
        <v>1638</v>
      </c>
      <c r="F88" s="0" t="s">
        <v>1407</v>
      </c>
      <c r="G88" s="0">
        <v>1</v>
      </c>
      <c r="H88" s="0" t="s">
        <v>1639</v>
      </c>
      <c r="I88" s="0" t="s">
        <v>1640</v>
      </c>
    </row>
    <row r="89">
      <c r="A89" s="0" t="s">
        <v>690</v>
      </c>
      <c r="B89" s="0" t="s">
        <v>1556</v>
      </c>
      <c r="C89" s="0" t="s">
        <v>199</v>
      </c>
      <c r="D89" s="0">
        <v>1</v>
      </c>
      <c r="E89" s="0" t="s">
        <v>1641</v>
      </c>
      <c r="F89" s="0" t="s">
        <v>1407</v>
      </c>
      <c r="G89" s="0">
        <v>1</v>
      </c>
      <c r="H89" s="0" t="s">
        <v>1642</v>
      </c>
      <c r="I89" s="0" t="s">
        <v>1643</v>
      </c>
    </row>
    <row r="90">
      <c r="A90" s="0" t="s">
        <v>218</v>
      </c>
      <c r="B90" s="0" t="s">
        <v>1556</v>
      </c>
      <c r="C90" s="0" t="s">
        <v>199</v>
      </c>
      <c r="D90" s="0">
        <v>1</v>
      </c>
      <c r="E90" s="0" t="s">
        <v>1644</v>
      </c>
      <c r="F90" s="0" t="s">
        <v>1407</v>
      </c>
      <c r="G90" s="0">
        <v>1</v>
      </c>
      <c r="H90" s="0" t="s">
        <v>1645</v>
      </c>
      <c r="I90" s="0" t="s">
        <v>1646</v>
      </c>
    </row>
    <row r="91">
      <c r="A91" s="0" t="s">
        <v>222</v>
      </c>
      <c r="B91" s="0" t="s">
        <v>1556</v>
      </c>
      <c r="C91" s="0" t="s">
        <v>199</v>
      </c>
      <c r="D91" s="0">
        <v>1</v>
      </c>
      <c r="E91" s="0" t="s">
        <v>1647</v>
      </c>
      <c r="F91" s="0" t="s">
        <v>1407</v>
      </c>
      <c r="G91" s="0">
        <v>1</v>
      </c>
      <c r="H91" s="0" t="s">
        <v>1648</v>
      </c>
      <c r="I91" s="0" t="s">
        <v>1649</v>
      </c>
    </row>
    <row r="92">
      <c r="A92" s="0" t="s">
        <v>770</v>
      </c>
      <c r="B92" s="0" t="s">
        <v>1556</v>
      </c>
      <c r="C92" s="0" t="s">
        <v>199</v>
      </c>
      <c r="D92" s="0">
        <v>1</v>
      </c>
      <c r="E92" s="0" t="s">
        <v>1650</v>
      </c>
      <c r="F92" s="0" t="s">
        <v>1407</v>
      </c>
      <c r="G92" s="0">
        <v>2</v>
      </c>
      <c r="H92" s="0" t="s">
        <v>1651</v>
      </c>
      <c r="I92" s="0" t="s">
        <v>1652</v>
      </c>
    </row>
    <row r="93">
      <c r="A93" s="0" t="s">
        <v>226</v>
      </c>
      <c r="B93" s="0" t="s">
        <v>1556</v>
      </c>
      <c r="C93" s="0" t="s">
        <v>199</v>
      </c>
      <c r="D93" s="0">
        <v>1</v>
      </c>
      <c r="E93" s="0" t="s">
        <v>1653</v>
      </c>
      <c r="F93" s="0" t="s">
        <v>1407</v>
      </c>
      <c r="G93" s="0">
        <v>1</v>
      </c>
      <c r="H93" s="0" t="s">
        <v>1654</v>
      </c>
      <c r="I93" s="0" t="s">
        <v>1655</v>
      </c>
    </row>
    <row r="94">
      <c r="A94" s="0" t="s">
        <v>584</v>
      </c>
      <c r="B94" s="0" t="s">
        <v>1556</v>
      </c>
      <c r="C94" s="0" t="s">
        <v>199</v>
      </c>
      <c r="D94" s="0">
        <v>1</v>
      </c>
      <c r="E94" s="0" t="s">
        <v>1656</v>
      </c>
      <c r="F94" s="0" t="s">
        <v>1407</v>
      </c>
      <c r="G94" s="0">
        <v>1</v>
      </c>
      <c r="H94" s="0" t="s">
        <v>1657</v>
      </c>
      <c r="I94" s="0" t="s">
        <v>1658</v>
      </c>
    </row>
    <row r="95">
      <c r="A95" s="0" t="s">
        <v>612</v>
      </c>
      <c r="B95" s="0" t="s">
        <v>1556</v>
      </c>
      <c r="C95" s="0" t="s">
        <v>199</v>
      </c>
      <c r="D95" s="0">
        <v>1</v>
      </c>
      <c r="E95" s="0" t="s">
        <v>1659</v>
      </c>
      <c r="F95" s="0" t="s">
        <v>1407</v>
      </c>
      <c r="G95" s="0">
        <v>1</v>
      </c>
      <c r="H95" s="0" t="s">
        <v>1660</v>
      </c>
      <c r="I95" s="0" t="s">
        <v>1661</v>
      </c>
    </row>
    <row r="96">
      <c r="A96" s="0" t="s">
        <v>424</v>
      </c>
      <c r="B96" s="0" t="s">
        <v>1556</v>
      </c>
      <c r="C96" s="0" t="s">
        <v>199</v>
      </c>
      <c r="D96" s="0">
        <v>1</v>
      </c>
      <c r="E96" s="0" t="s">
        <v>1662</v>
      </c>
      <c r="F96" s="0" t="s">
        <v>1407</v>
      </c>
      <c r="G96" s="0">
        <v>1</v>
      </c>
      <c r="H96" s="0" t="s">
        <v>1663</v>
      </c>
      <c r="I96" s="0" t="s">
        <v>1664</v>
      </c>
    </row>
    <row r="97">
      <c r="A97" s="0" t="s">
        <v>328</v>
      </c>
      <c r="B97" s="0" t="s">
        <v>1556</v>
      </c>
      <c r="C97" s="0" t="s">
        <v>199</v>
      </c>
      <c r="D97" s="0">
        <v>1</v>
      </c>
      <c r="E97" s="0" t="s">
        <v>1665</v>
      </c>
      <c r="F97" s="0" t="s">
        <v>1407</v>
      </c>
      <c r="G97" s="0">
        <v>1</v>
      </c>
      <c r="H97" s="0" t="s">
        <v>1666</v>
      </c>
      <c r="I97" s="0" t="s">
        <v>1667</v>
      </c>
    </row>
    <row r="98">
      <c r="A98" s="0" t="s">
        <v>616</v>
      </c>
      <c r="B98" s="0" t="s">
        <v>1556</v>
      </c>
      <c r="C98" s="0" t="s">
        <v>199</v>
      </c>
      <c r="D98" s="0">
        <v>1</v>
      </c>
      <c r="E98" s="0" t="s">
        <v>1668</v>
      </c>
      <c r="F98" s="0" t="s">
        <v>1407</v>
      </c>
      <c r="G98" s="0">
        <v>1</v>
      </c>
      <c r="H98" s="0" t="s">
        <v>1669</v>
      </c>
      <c r="I98" s="0" t="s">
        <v>1670</v>
      </c>
    </row>
    <row r="99">
      <c r="A99" s="0" t="s">
        <v>332</v>
      </c>
      <c r="B99" s="0" t="s">
        <v>1556</v>
      </c>
      <c r="C99" s="0" t="s">
        <v>199</v>
      </c>
      <c r="D99" s="0">
        <v>1</v>
      </c>
      <c r="E99" s="0" t="s">
        <v>1671</v>
      </c>
      <c r="F99" s="0" t="s">
        <v>1407</v>
      </c>
      <c r="G99" s="0">
        <v>1</v>
      </c>
      <c r="H99" s="0" t="s">
        <v>1672</v>
      </c>
      <c r="I99" s="0" t="s">
        <v>1673</v>
      </c>
    </row>
    <row r="100">
      <c r="A100" s="0" t="s">
        <v>336</v>
      </c>
      <c r="B100" s="0" t="s">
        <v>1556</v>
      </c>
      <c r="C100" s="0" t="s">
        <v>199</v>
      </c>
      <c r="D100" s="0">
        <v>1</v>
      </c>
      <c r="E100" s="0" t="s">
        <v>1674</v>
      </c>
      <c r="F100" s="0" t="s">
        <v>1407</v>
      </c>
      <c r="G100" s="0">
        <v>1</v>
      </c>
      <c r="H100" s="0" t="s">
        <v>1675</v>
      </c>
      <c r="I100" s="0" t="s">
        <v>1676</v>
      </c>
    </row>
    <row r="101">
      <c r="A101" s="0" t="s">
        <v>620</v>
      </c>
      <c r="B101" s="0" t="s">
        <v>1556</v>
      </c>
      <c r="C101" s="0" t="s">
        <v>199</v>
      </c>
      <c r="D101" s="0">
        <v>1</v>
      </c>
      <c r="E101" s="0" t="s">
        <v>1677</v>
      </c>
      <c r="F101" s="0" t="s">
        <v>1407</v>
      </c>
      <c r="G101" s="0">
        <v>1</v>
      </c>
      <c r="H101" s="0" t="s">
        <v>1678</v>
      </c>
      <c r="I101" s="0" t="s">
        <v>1679</v>
      </c>
    </row>
    <row r="102">
      <c r="A102" s="0" t="s">
        <v>340</v>
      </c>
      <c r="B102" s="0" t="s">
        <v>1556</v>
      </c>
      <c r="C102" s="0" t="s">
        <v>199</v>
      </c>
      <c r="D102" s="0">
        <v>1</v>
      </c>
      <c r="E102" s="0" t="s">
        <v>1680</v>
      </c>
      <c r="F102" s="0" t="s">
        <v>1407</v>
      </c>
      <c r="G102" s="0">
        <v>1</v>
      </c>
      <c r="H102" s="0" t="s">
        <v>1681</v>
      </c>
      <c r="I102" s="0" t="s">
        <v>1682</v>
      </c>
    </row>
    <row r="103">
      <c r="A103" s="0" t="s">
        <v>636</v>
      </c>
      <c r="B103" s="0" t="s">
        <v>1556</v>
      </c>
      <c r="C103" s="0" t="s">
        <v>199</v>
      </c>
      <c r="D103" s="0">
        <v>1</v>
      </c>
      <c r="E103" s="0" t="s">
        <v>1683</v>
      </c>
      <c r="F103" s="0" t="s">
        <v>1407</v>
      </c>
      <c r="G103" s="0">
        <v>1</v>
      </c>
      <c r="H103" s="0" t="s">
        <v>1684</v>
      </c>
      <c r="I103" s="0" t="s">
        <v>1685</v>
      </c>
    </row>
    <row r="104">
      <c r="A104" s="0" t="s">
        <v>672</v>
      </c>
      <c r="B104" s="0" t="s">
        <v>1556</v>
      </c>
      <c r="C104" s="0" t="s">
        <v>199</v>
      </c>
      <c r="D104" s="0">
        <v>1</v>
      </c>
      <c r="E104" s="0" t="s">
        <v>1686</v>
      </c>
      <c r="F104" s="0" t="s">
        <v>1407</v>
      </c>
      <c r="G104" s="0">
        <v>2</v>
      </c>
      <c r="H104" s="0" t="s">
        <v>1687</v>
      </c>
      <c r="I104" s="0" t="s">
        <v>1688</v>
      </c>
    </row>
    <row r="105">
      <c r="A105" s="0" t="s">
        <v>646</v>
      </c>
      <c r="B105" s="0" t="s">
        <v>1556</v>
      </c>
      <c r="C105" s="0" t="s">
        <v>199</v>
      </c>
      <c r="D105" s="0">
        <v>1</v>
      </c>
      <c r="E105" s="0" t="s">
        <v>1689</v>
      </c>
      <c r="F105" s="0" t="s">
        <v>1407</v>
      </c>
      <c r="G105" s="0">
        <v>1</v>
      </c>
      <c r="H105" s="0" t="s">
        <v>1690</v>
      </c>
      <c r="I105" s="0" t="s">
        <v>1691</v>
      </c>
    </row>
    <row r="106">
      <c r="A106" s="0" t="s">
        <v>745</v>
      </c>
      <c r="B106" s="0" t="s">
        <v>1556</v>
      </c>
      <c r="C106" s="0" t="s">
        <v>199</v>
      </c>
      <c r="D106" s="0">
        <v>1</v>
      </c>
      <c r="E106" s="0" t="s">
        <v>1692</v>
      </c>
      <c r="F106" s="0" t="s">
        <v>1407</v>
      </c>
      <c r="G106" s="0">
        <v>1</v>
      </c>
      <c r="H106" s="0" t="s">
        <v>1693</v>
      </c>
      <c r="I106" s="0" t="s">
        <v>1694</v>
      </c>
    </row>
    <row r="107">
      <c r="A107" s="0" t="s">
        <v>428</v>
      </c>
      <c r="B107" s="0" t="s">
        <v>1556</v>
      </c>
      <c r="C107" s="0" t="s">
        <v>199</v>
      </c>
      <c r="D107" s="0">
        <v>1</v>
      </c>
      <c r="E107" s="0" t="s">
        <v>1695</v>
      </c>
      <c r="F107" s="0" t="s">
        <v>1407</v>
      </c>
      <c r="G107" s="0">
        <v>1</v>
      </c>
      <c r="H107" s="0" t="s">
        <v>1696</v>
      </c>
      <c r="I107" s="0" t="s">
        <v>1697</v>
      </c>
    </row>
    <row r="108">
      <c r="A108" s="0" t="s">
        <v>588</v>
      </c>
      <c r="B108" s="0" t="s">
        <v>1556</v>
      </c>
      <c r="C108" s="0" t="s">
        <v>199</v>
      </c>
      <c r="D108" s="0">
        <v>1</v>
      </c>
      <c r="E108" s="0" t="s">
        <v>1698</v>
      </c>
      <c r="F108" s="0" t="s">
        <v>1407</v>
      </c>
      <c r="G108" s="0">
        <v>1</v>
      </c>
      <c r="H108" s="0" t="s">
        <v>1699</v>
      </c>
      <c r="I108" s="0" t="s">
        <v>1700</v>
      </c>
    </row>
    <row r="109">
      <c r="A109" s="0" t="s">
        <v>202</v>
      </c>
      <c r="B109" s="0" t="s">
        <v>1556</v>
      </c>
      <c r="C109" s="0" t="s">
        <v>199</v>
      </c>
      <c r="D109" s="0">
        <v>1</v>
      </c>
      <c r="E109" s="0" t="s">
        <v>1701</v>
      </c>
      <c r="F109" s="0" t="s">
        <v>1407</v>
      </c>
      <c r="G109" s="0">
        <v>1</v>
      </c>
      <c r="H109" s="0" t="s">
        <v>1702</v>
      </c>
      <c r="I109" s="0" t="s">
        <v>1703</v>
      </c>
    </row>
    <row r="110">
      <c r="A110" s="0" t="s">
        <v>230</v>
      </c>
      <c r="B110" s="0" t="s">
        <v>1556</v>
      </c>
      <c r="C110" s="0" t="s">
        <v>199</v>
      </c>
      <c r="D110" s="0">
        <v>1</v>
      </c>
      <c r="E110" s="0" t="s">
        <v>1704</v>
      </c>
      <c r="F110" s="0" t="s">
        <v>1407</v>
      </c>
      <c r="G110" s="0">
        <v>1</v>
      </c>
      <c r="H110" s="0" t="s">
        <v>1705</v>
      </c>
      <c r="I110" s="0" t="s">
        <v>1706</v>
      </c>
    </row>
    <row r="111">
      <c r="A111" s="0" t="s">
        <v>234</v>
      </c>
      <c r="B111" s="0" t="s">
        <v>1556</v>
      </c>
      <c r="C111" s="0" t="s">
        <v>199</v>
      </c>
      <c r="D111" s="0">
        <v>1</v>
      </c>
      <c r="E111" s="0" t="s">
        <v>1707</v>
      </c>
      <c r="F111" s="0" t="s">
        <v>1407</v>
      </c>
      <c r="G111" s="0">
        <v>1</v>
      </c>
      <c r="H111" s="0" t="s">
        <v>1708</v>
      </c>
      <c r="I111" s="0" t="s">
        <v>1709</v>
      </c>
    </row>
    <row r="112">
      <c r="A112" s="0" t="s">
        <v>238</v>
      </c>
      <c r="B112" s="0" t="s">
        <v>1556</v>
      </c>
      <c r="C112" s="0" t="s">
        <v>199</v>
      </c>
      <c r="D112" s="0">
        <v>1</v>
      </c>
      <c r="E112" s="0" t="s">
        <v>1710</v>
      </c>
      <c r="F112" s="0" t="s">
        <v>1407</v>
      </c>
      <c r="G112" s="0">
        <v>1</v>
      </c>
      <c r="H112" s="0" t="s">
        <v>1711</v>
      </c>
      <c r="I112" s="0" t="s">
        <v>1712</v>
      </c>
    </row>
    <row r="113">
      <c r="A113" s="0" t="s">
        <v>432</v>
      </c>
      <c r="B113" s="0" t="s">
        <v>1556</v>
      </c>
      <c r="C113" s="0" t="s">
        <v>199</v>
      </c>
      <c r="D113" s="0">
        <v>1</v>
      </c>
      <c r="E113" s="0" t="s">
        <v>1713</v>
      </c>
      <c r="F113" s="0" t="s">
        <v>1407</v>
      </c>
      <c r="G113" s="0">
        <v>1</v>
      </c>
      <c r="H113" s="0" t="s">
        <v>1714</v>
      </c>
      <c r="I113" s="0" t="s">
        <v>1715</v>
      </c>
    </row>
    <row r="114">
      <c r="A114" s="0" t="s">
        <v>441</v>
      </c>
      <c r="B114" s="0" t="s">
        <v>1556</v>
      </c>
      <c r="C114" s="0" t="s">
        <v>199</v>
      </c>
      <c r="D114" s="0">
        <v>1</v>
      </c>
      <c r="E114" s="0" t="s">
        <v>1716</v>
      </c>
      <c r="F114" s="0" t="s">
        <v>1407</v>
      </c>
      <c r="G114" s="0">
        <v>1</v>
      </c>
      <c r="H114" s="0" t="s">
        <v>1717</v>
      </c>
      <c r="I114" s="0" t="s">
        <v>1718</v>
      </c>
    </row>
    <row r="115">
      <c r="A115" s="0" t="s">
        <v>436</v>
      </c>
      <c r="B115" s="0" t="s">
        <v>1556</v>
      </c>
      <c r="C115" s="0" t="s">
        <v>199</v>
      </c>
      <c r="D115" s="0">
        <v>1</v>
      </c>
      <c r="E115" s="0" t="s">
        <v>1719</v>
      </c>
      <c r="F115" s="0" t="s">
        <v>1407</v>
      </c>
      <c r="G115" s="0">
        <v>1</v>
      </c>
      <c r="H115" s="0" t="s">
        <v>1720</v>
      </c>
      <c r="I115" s="0" t="s">
        <v>1721</v>
      </c>
    </row>
    <row r="116">
      <c r="A116" s="0" t="s">
        <v>592</v>
      </c>
      <c r="B116" s="0" t="s">
        <v>1556</v>
      </c>
      <c r="C116" s="0" t="s">
        <v>199</v>
      </c>
      <c r="D116" s="0">
        <v>1</v>
      </c>
      <c r="E116" s="0" t="s">
        <v>1722</v>
      </c>
      <c r="F116" s="0" t="s">
        <v>1407</v>
      </c>
      <c r="G116" s="0">
        <v>1</v>
      </c>
      <c r="H116" s="0" t="s">
        <v>1723</v>
      </c>
      <c r="I116" s="0" t="s">
        <v>1724</v>
      </c>
    </row>
    <row r="117">
      <c r="A117" s="0" t="s">
        <v>242</v>
      </c>
      <c r="B117" s="0" t="s">
        <v>1556</v>
      </c>
      <c r="C117" s="0" t="s">
        <v>199</v>
      </c>
      <c r="D117" s="0">
        <v>1</v>
      </c>
      <c r="E117" s="0" t="s">
        <v>1725</v>
      </c>
      <c r="F117" s="0" t="s">
        <v>1407</v>
      </c>
      <c r="G117" s="0">
        <v>1</v>
      </c>
      <c r="H117" s="0" t="s">
        <v>1726</v>
      </c>
      <c r="I117" s="0" t="s">
        <v>1727</v>
      </c>
    </row>
    <row r="118">
      <c r="A118" s="0" t="s">
        <v>624</v>
      </c>
      <c r="B118" s="0" t="s">
        <v>1556</v>
      </c>
      <c r="C118" s="0" t="s">
        <v>199</v>
      </c>
      <c r="D118" s="0">
        <v>1</v>
      </c>
      <c r="E118" s="0" t="s">
        <v>1728</v>
      </c>
      <c r="F118" s="0" t="s">
        <v>1407</v>
      </c>
      <c r="G118" s="0">
        <v>1</v>
      </c>
      <c r="H118" s="0" t="s">
        <v>1729</v>
      </c>
      <c r="I118" s="0" t="s">
        <v>1730</v>
      </c>
    </row>
    <row r="119">
      <c r="A119" s="0" t="s">
        <v>628</v>
      </c>
      <c r="B119" s="0" t="s">
        <v>1556</v>
      </c>
      <c r="C119" s="0" t="s">
        <v>199</v>
      </c>
      <c r="D119" s="0">
        <v>1</v>
      </c>
      <c r="E119" s="0" t="s">
        <v>1731</v>
      </c>
      <c r="F119" s="0" t="s">
        <v>1407</v>
      </c>
      <c r="G119" s="0">
        <v>1</v>
      </c>
      <c r="H119" s="0" t="s">
        <v>1732</v>
      </c>
      <c r="I119" s="0" t="s">
        <v>1733</v>
      </c>
    </row>
    <row r="120">
      <c r="A120" s="0" t="s">
        <v>632</v>
      </c>
      <c r="B120" s="0" t="s">
        <v>1556</v>
      </c>
      <c r="C120" s="0" t="s">
        <v>199</v>
      </c>
      <c r="D120" s="0">
        <v>1</v>
      </c>
      <c r="E120" s="0" t="s">
        <v>1734</v>
      </c>
      <c r="F120" s="0" t="s">
        <v>1407</v>
      </c>
      <c r="G120" s="0">
        <v>1</v>
      </c>
      <c r="H120" s="0" t="s">
        <v>1735</v>
      </c>
      <c r="I120" s="0" t="s">
        <v>1736</v>
      </c>
    </row>
    <row r="121">
      <c r="A121" s="0" t="s">
        <v>206</v>
      </c>
      <c r="B121" s="0" t="s">
        <v>1556</v>
      </c>
      <c r="C121" s="0" t="s">
        <v>199</v>
      </c>
      <c r="D121" s="0">
        <v>1</v>
      </c>
      <c r="E121" s="0" t="s">
        <v>1737</v>
      </c>
      <c r="F121" s="0" t="s">
        <v>1407</v>
      </c>
      <c r="G121" s="0">
        <v>1</v>
      </c>
      <c r="H121" s="0" t="s">
        <v>1738</v>
      </c>
      <c r="I121" s="0" t="s">
        <v>1739</v>
      </c>
    </row>
    <row r="122">
      <c r="A122" s="0" t="s">
        <v>63</v>
      </c>
      <c r="B122" s="0" t="s">
        <v>1740</v>
      </c>
      <c r="C122" s="0" t="s">
        <v>63</v>
      </c>
      <c r="D122" s="0">
        <v>2</v>
      </c>
      <c r="E122" s="0" t="s">
        <v>34</v>
      </c>
      <c r="F122" s="0" t="s">
        <v>1407</v>
      </c>
      <c r="G122" s="0">
        <v>2</v>
      </c>
      <c r="H122" s="0" t="s">
        <v>1741</v>
      </c>
      <c r="I122" s="0" t="s">
        <v>1742</v>
      </c>
    </row>
    <row r="123">
      <c r="A123" s="0" t="s">
        <v>1743</v>
      </c>
      <c r="B123" s="0" t="s">
        <v>1744</v>
      </c>
      <c r="C123" s="0" t="s">
        <v>1745</v>
      </c>
      <c r="D123" s="0">
        <v>5</v>
      </c>
      <c r="E123" s="0" t="s">
        <v>1746</v>
      </c>
      <c r="F123" s="0" t="s">
        <v>1747</v>
      </c>
      <c r="G123" s="0">
        <v>0</v>
      </c>
      <c r="H123" s="0" t="s">
        <v>1748</v>
      </c>
      <c r="I123" s="0" t="s">
        <v>1749</v>
      </c>
    </row>
    <row r="124">
      <c r="A124" s="0" t="s">
        <v>1750</v>
      </c>
      <c r="B124" s="0" t="s">
        <v>1744</v>
      </c>
      <c r="C124" s="0" t="s">
        <v>1745</v>
      </c>
      <c r="D124" s="0">
        <v>3</v>
      </c>
      <c r="E124" s="0" t="s">
        <v>1751</v>
      </c>
      <c r="F124" s="0" t="s">
        <v>1747</v>
      </c>
      <c r="G124" s="0">
        <v>0</v>
      </c>
      <c r="H124" s="0" t="s">
        <v>1752</v>
      </c>
      <c r="I124" s="0" t="s">
        <v>1753</v>
      </c>
    </row>
    <row r="125">
      <c r="A125" s="0" t="s">
        <v>1754</v>
      </c>
      <c r="B125" s="0" t="s">
        <v>1744</v>
      </c>
      <c r="C125" s="0" t="s">
        <v>1745</v>
      </c>
      <c r="D125" s="0">
        <v>8</v>
      </c>
      <c r="E125" s="0" t="s">
        <v>1755</v>
      </c>
      <c r="F125" s="0" t="s">
        <v>1747</v>
      </c>
      <c r="G125" s="0">
        <v>0</v>
      </c>
      <c r="H125" s="0" t="s">
        <v>1756</v>
      </c>
      <c r="I125" s="0" t="s">
        <v>1757</v>
      </c>
    </row>
  </sheetData>
  <hyperlinks>
    <hyperlink ref="C2" r:id="rId67"/>
    <hyperlink ref="C3" r:id="rId68"/>
    <hyperlink ref="C4" r:id="rId69"/>
    <hyperlink ref="C5" r:id="rId70"/>
    <hyperlink ref="C6" r:id="rId71"/>
    <hyperlink ref="C7" r:id="rId72"/>
    <hyperlink ref="C8" r:id="rId73"/>
    <hyperlink ref="C9" r:id="rId74"/>
    <hyperlink ref="C10" r:id="rId75"/>
    <hyperlink ref="C11" r:id="rId76"/>
    <hyperlink ref="C12" r:id="rId77"/>
    <hyperlink ref="C13" r:id="rId78"/>
    <hyperlink ref="C14" r:id="rId79"/>
    <hyperlink ref="C15" r:id="rId80"/>
    <hyperlink ref="C16" r:id="rId81"/>
    <hyperlink ref="C17" r:id="rId82"/>
    <hyperlink ref="C18" r:id="rId83"/>
    <hyperlink ref="C19" r:id="rId84"/>
    <hyperlink ref="C20" r:id="rId85"/>
    <hyperlink ref="C21" r:id="rId86"/>
    <hyperlink ref="C22" r:id="rId87"/>
    <hyperlink ref="C23" r:id="rId88"/>
    <hyperlink ref="C24" r:id="rId89"/>
  </hyperlinks>
  <headerFooter/>
</worksheet>
</file>

<file path=xl/worksheets/sheet11.xml><?xml version="1.0" encoding="utf-8"?>
<worksheet xmlns:r="http://schemas.openxmlformats.org/officeDocument/2006/relationships" xmlns="http://schemas.openxmlformats.org/spreadsheetml/2006/main">
  <dimension ref="A1:E40"/>
  <sheetViews>
    <sheetView workbookViewId="0" tabSelected="0">
      <pane ySplit="1" topLeftCell="A2" state="frozen" activePane="bottomLeft"/>
      <selection pane="bottomLeft" activeCell="A1" sqref="A1"/>
    </sheetView>
  </sheetViews>
  <sheetFormatPr defaultRowHeight="15"/>
  <cols>
    <col min="1" max="1" width="13.8572645187378" customWidth="1"/>
    <col min="2" max="2" width="9.140625" customWidth="1"/>
    <col min="3" max="3" width="16.2901134490967" customWidth="1"/>
    <col min="4" max="4" width="9.140625" customWidth="1"/>
    <col min="5" max="5" width="9.140625" customWidth="1"/>
  </cols>
  <sheetData>
    <row r="1">
      <c r="A1" s="0" t="s">
        <v>1758</v>
      </c>
      <c r="B1" s="0" t="s">
        <v>1759</v>
      </c>
      <c r="C1" s="0" t="s">
        <v>1760</v>
      </c>
      <c r="D1" s="0" t="s">
        <v>1761</v>
      </c>
      <c r="E1" s="0" t="s">
        <v>1762</v>
      </c>
    </row>
    <row r="2">
      <c r="A2" s="0" t="s">
        <v>1763</v>
      </c>
      <c r="B2" s="0" t="s">
        <v>446</v>
      </c>
      <c r="C2" s="0" t="s">
        <v>278</v>
      </c>
      <c r="D2" s="0">
        <v>4</v>
      </c>
      <c r="E2" s="0" t="s">
        <v>1407</v>
      </c>
    </row>
    <row r="3">
      <c r="A3" s="0" t="s">
        <v>1763</v>
      </c>
      <c r="B3" s="0" t="s">
        <v>446</v>
      </c>
      <c r="C3" s="0" t="s">
        <v>541</v>
      </c>
      <c r="D3" s="0">
        <v>4</v>
      </c>
      <c r="E3" s="0" t="s">
        <v>1407</v>
      </c>
    </row>
    <row r="4">
      <c r="A4" s="0" t="s">
        <v>1763</v>
      </c>
      <c r="B4" s="0" t="s">
        <v>446</v>
      </c>
      <c r="C4" s="0" t="s">
        <v>480</v>
      </c>
      <c r="D4" s="0">
        <v>2</v>
      </c>
      <c r="E4" s="0" t="s">
        <v>1407</v>
      </c>
    </row>
    <row r="5">
      <c r="A5" s="0" t="s">
        <v>1763</v>
      </c>
      <c r="B5" s="0" t="s">
        <v>446</v>
      </c>
      <c r="C5" s="0" t="s">
        <v>554</v>
      </c>
      <c r="D5" s="0">
        <v>2</v>
      </c>
      <c r="E5" s="0" t="s">
        <v>1407</v>
      </c>
    </row>
    <row r="6">
      <c r="A6" s="0" t="s">
        <v>1763</v>
      </c>
      <c r="B6" s="0" t="s">
        <v>446</v>
      </c>
      <c r="C6" s="0" t="s">
        <v>587</v>
      </c>
      <c r="D6" s="0">
        <v>1</v>
      </c>
      <c r="E6" s="0" t="s">
        <v>1407</v>
      </c>
    </row>
    <row r="7">
      <c r="A7" s="0" t="s">
        <v>1763</v>
      </c>
      <c r="B7" s="0" t="s">
        <v>446</v>
      </c>
      <c r="C7" s="0" t="s">
        <v>532</v>
      </c>
      <c r="D7" s="0">
        <v>2</v>
      </c>
      <c r="E7" s="0" t="s">
        <v>1407</v>
      </c>
    </row>
    <row r="8">
      <c r="A8" s="0" t="s">
        <v>1763</v>
      </c>
      <c r="B8" s="0" t="s">
        <v>446</v>
      </c>
      <c r="C8" s="0" t="s">
        <v>557</v>
      </c>
      <c r="D8" s="0">
        <v>1</v>
      </c>
      <c r="E8" s="0" t="s">
        <v>1407</v>
      </c>
    </row>
    <row r="9">
      <c r="A9" s="0" t="s">
        <v>1764</v>
      </c>
      <c r="B9" s="0" t="s">
        <v>446</v>
      </c>
      <c r="C9" s="0" t="s">
        <v>278</v>
      </c>
      <c r="D9" s="0">
        <v>1</v>
      </c>
      <c r="E9" s="0" t="s">
        <v>1407</v>
      </c>
    </row>
    <row r="10">
      <c r="A10" s="0" t="s">
        <v>1764</v>
      </c>
      <c r="B10" s="0" t="s">
        <v>446</v>
      </c>
      <c r="C10" s="0" t="s">
        <v>640</v>
      </c>
      <c r="D10" s="0">
        <v>1</v>
      </c>
      <c r="E10" s="0" t="s">
        <v>1407</v>
      </c>
    </row>
    <row r="11">
      <c r="A11" s="0" t="s">
        <v>1764</v>
      </c>
      <c r="B11" s="0" t="s">
        <v>446</v>
      </c>
      <c r="C11" s="0" t="s">
        <v>499</v>
      </c>
      <c r="D11" s="0">
        <v>1</v>
      </c>
      <c r="E11" s="0" t="s">
        <v>1407</v>
      </c>
    </row>
    <row r="12">
      <c r="A12" s="0" t="s">
        <v>1765</v>
      </c>
      <c r="B12" s="0" t="s">
        <v>393</v>
      </c>
      <c r="C12" s="0" t="s">
        <v>541</v>
      </c>
      <c r="D12" s="0">
        <v>1</v>
      </c>
      <c r="E12" s="0" t="s">
        <v>1407</v>
      </c>
    </row>
    <row r="13">
      <c r="A13" s="0" t="s">
        <v>1765</v>
      </c>
      <c r="B13" s="0" t="s">
        <v>393</v>
      </c>
      <c r="C13" s="0" t="s">
        <v>278</v>
      </c>
      <c r="D13" s="0">
        <v>1</v>
      </c>
      <c r="E13" s="0" t="s">
        <v>1407</v>
      </c>
    </row>
    <row r="14">
      <c r="A14" s="0" t="s">
        <v>1766</v>
      </c>
      <c r="B14" s="0" t="s">
        <v>49</v>
      </c>
      <c r="C14" s="0" t="s">
        <v>278</v>
      </c>
      <c r="D14" s="0">
        <v>4</v>
      </c>
      <c r="E14" s="0" t="s">
        <v>1407</v>
      </c>
    </row>
    <row r="15">
      <c r="A15" s="0" t="s">
        <v>1766</v>
      </c>
      <c r="B15" s="0" t="s">
        <v>49</v>
      </c>
      <c r="C15" s="0" t="s">
        <v>170</v>
      </c>
      <c r="D15" s="0">
        <v>5</v>
      </c>
      <c r="E15" s="0" t="s">
        <v>1407</v>
      </c>
    </row>
    <row r="16">
      <c r="A16" s="0" t="s">
        <v>1766</v>
      </c>
      <c r="B16" s="0" t="s">
        <v>49</v>
      </c>
      <c r="C16" s="0" t="s">
        <v>80</v>
      </c>
      <c r="D16" s="0">
        <v>4</v>
      </c>
      <c r="E16" s="0" t="s">
        <v>1407</v>
      </c>
    </row>
    <row r="17">
      <c r="A17" s="0" t="s">
        <v>1766</v>
      </c>
      <c r="B17" s="0" t="s">
        <v>49</v>
      </c>
      <c r="C17" s="0" t="s">
        <v>31</v>
      </c>
      <c r="D17" s="0">
        <v>2</v>
      </c>
      <c r="E17" s="0" t="s">
        <v>1407</v>
      </c>
    </row>
    <row r="18">
      <c r="A18" s="0" t="s">
        <v>1767</v>
      </c>
      <c r="B18" s="0" t="s">
        <v>49</v>
      </c>
      <c r="C18" s="0" t="s">
        <v>640</v>
      </c>
      <c r="D18" s="0">
        <v>1</v>
      </c>
      <c r="E18" s="0" t="s">
        <v>1407</v>
      </c>
    </row>
    <row r="19">
      <c r="A19" s="0" t="s">
        <v>1767</v>
      </c>
      <c r="B19" s="0" t="s">
        <v>49</v>
      </c>
      <c r="C19" s="0" t="s">
        <v>278</v>
      </c>
      <c r="D19" s="0">
        <v>1</v>
      </c>
      <c r="E19" s="0" t="s">
        <v>1407</v>
      </c>
    </row>
    <row r="20">
      <c r="A20" s="0" t="s">
        <v>1768</v>
      </c>
      <c r="B20" s="0" t="s">
        <v>393</v>
      </c>
      <c r="C20" s="0" t="s">
        <v>80</v>
      </c>
      <c r="D20" s="0">
        <v>1</v>
      </c>
      <c r="E20" s="0" t="s">
        <v>1407</v>
      </c>
    </row>
    <row r="21">
      <c r="A21" s="0" t="s">
        <v>1768</v>
      </c>
      <c r="B21" s="0" t="s">
        <v>393</v>
      </c>
      <c r="C21" s="0" t="s">
        <v>170</v>
      </c>
      <c r="D21" s="0">
        <v>1</v>
      </c>
      <c r="E21" s="0" t="s">
        <v>1407</v>
      </c>
    </row>
    <row r="22">
      <c r="A22" s="0" t="s">
        <v>1768</v>
      </c>
      <c r="B22" s="0" t="s">
        <v>393</v>
      </c>
      <c r="C22" s="0" t="s">
        <v>278</v>
      </c>
      <c r="D22" s="0">
        <v>1</v>
      </c>
      <c r="E22" s="0" t="s">
        <v>1407</v>
      </c>
    </row>
    <row r="23">
      <c r="A23" s="0" t="s">
        <v>1769</v>
      </c>
      <c r="B23" s="0" t="s">
        <v>257</v>
      </c>
      <c r="C23" s="0" t="s">
        <v>277</v>
      </c>
      <c r="D23" s="0">
        <v>3</v>
      </c>
      <c r="E23" s="0" t="s">
        <v>1407</v>
      </c>
    </row>
    <row r="24">
      <c r="A24" s="0" t="s">
        <v>1769</v>
      </c>
      <c r="B24" s="0" t="s">
        <v>257</v>
      </c>
      <c r="C24" s="0" t="s">
        <v>288</v>
      </c>
      <c r="D24" s="0">
        <v>3</v>
      </c>
      <c r="E24" s="0" t="s">
        <v>1407</v>
      </c>
    </row>
    <row r="25">
      <c r="A25" s="0" t="s">
        <v>1769</v>
      </c>
      <c r="B25" s="0" t="s">
        <v>257</v>
      </c>
      <c r="C25" s="0" t="s">
        <v>254</v>
      </c>
      <c r="D25" s="0">
        <v>4</v>
      </c>
      <c r="E25" s="0" t="s">
        <v>1407</v>
      </c>
    </row>
    <row r="26">
      <c r="A26" s="0" t="s">
        <v>1769</v>
      </c>
      <c r="B26" s="0" t="s">
        <v>257</v>
      </c>
      <c r="C26" s="0" t="s">
        <v>268</v>
      </c>
      <c r="D26" s="0">
        <v>3</v>
      </c>
      <c r="E26" s="0" t="s">
        <v>1407</v>
      </c>
    </row>
    <row r="27">
      <c r="A27" s="0" t="s">
        <v>1769</v>
      </c>
      <c r="B27" s="0" t="s">
        <v>257</v>
      </c>
      <c r="C27" s="0" t="s">
        <v>319</v>
      </c>
      <c r="D27" s="0">
        <v>1</v>
      </c>
      <c r="E27" s="0" t="s">
        <v>1407</v>
      </c>
    </row>
    <row r="28">
      <c r="A28" s="0" t="s">
        <v>1769</v>
      </c>
      <c r="B28" s="0" t="s">
        <v>257</v>
      </c>
      <c r="C28" s="0" t="s">
        <v>331</v>
      </c>
      <c r="D28" s="0">
        <v>1</v>
      </c>
      <c r="E28" s="0" t="s">
        <v>1407</v>
      </c>
    </row>
    <row r="29">
      <c r="A29" s="0" t="s">
        <v>1769</v>
      </c>
      <c r="B29" s="0" t="s">
        <v>257</v>
      </c>
      <c r="C29" s="0" t="s">
        <v>271</v>
      </c>
      <c r="D29" s="0">
        <v>1</v>
      </c>
      <c r="E29" s="0" t="s">
        <v>1407</v>
      </c>
    </row>
    <row r="30">
      <c r="A30" s="0" t="s">
        <v>1770</v>
      </c>
      <c r="B30" s="0" t="s">
        <v>257</v>
      </c>
      <c r="C30" s="0" t="s">
        <v>277</v>
      </c>
      <c r="D30" s="0">
        <v>1</v>
      </c>
      <c r="E30" s="0" t="s">
        <v>1407</v>
      </c>
    </row>
    <row r="31">
      <c r="A31" s="0" t="s">
        <v>1770</v>
      </c>
      <c r="B31" s="0" t="s">
        <v>257</v>
      </c>
      <c r="C31" s="0" t="s">
        <v>640</v>
      </c>
      <c r="D31" s="0">
        <v>2</v>
      </c>
      <c r="E31" s="0" t="s">
        <v>1407</v>
      </c>
    </row>
    <row r="32">
      <c r="A32" s="0" t="s">
        <v>1771</v>
      </c>
      <c r="B32" s="0" t="s">
        <v>363</v>
      </c>
      <c r="C32" s="0" t="s">
        <v>278</v>
      </c>
      <c r="D32" s="0">
        <v>4</v>
      </c>
      <c r="E32" s="0" t="s">
        <v>1407</v>
      </c>
    </row>
    <row r="33">
      <c r="A33" s="0" t="s">
        <v>1771</v>
      </c>
      <c r="B33" s="0" t="s">
        <v>363</v>
      </c>
      <c r="C33" s="0" t="s">
        <v>399</v>
      </c>
      <c r="D33" s="0">
        <v>4</v>
      </c>
      <c r="E33" s="0" t="s">
        <v>1407</v>
      </c>
    </row>
    <row r="34">
      <c r="A34" s="0" t="s">
        <v>1771</v>
      </c>
      <c r="B34" s="0" t="s">
        <v>363</v>
      </c>
      <c r="C34" s="0" t="s">
        <v>387</v>
      </c>
      <c r="D34" s="0">
        <v>3</v>
      </c>
      <c r="E34" s="0" t="s">
        <v>1407</v>
      </c>
    </row>
    <row r="35">
      <c r="A35" s="0" t="s">
        <v>1771</v>
      </c>
      <c r="B35" s="0" t="s">
        <v>363</v>
      </c>
      <c r="C35" s="0" t="s">
        <v>361</v>
      </c>
      <c r="D35" s="0">
        <v>2</v>
      </c>
      <c r="E35" s="0" t="s">
        <v>1407</v>
      </c>
    </row>
    <row r="36">
      <c r="A36" s="0" t="s">
        <v>1771</v>
      </c>
      <c r="B36" s="0" t="s">
        <v>363</v>
      </c>
      <c r="C36" s="0" t="s">
        <v>383</v>
      </c>
      <c r="D36" s="0">
        <v>1</v>
      </c>
      <c r="E36" s="0" t="s">
        <v>1407</v>
      </c>
    </row>
    <row r="37">
      <c r="A37" s="0" t="s">
        <v>1771</v>
      </c>
      <c r="B37" s="0" t="s">
        <v>363</v>
      </c>
      <c r="C37" s="0" t="s">
        <v>435</v>
      </c>
      <c r="D37" s="0">
        <v>1</v>
      </c>
      <c r="E37" s="0" t="s">
        <v>1407</v>
      </c>
    </row>
    <row r="38">
      <c r="A38" s="0" t="s">
        <v>1771</v>
      </c>
      <c r="B38" s="0" t="s">
        <v>363</v>
      </c>
      <c r="C38" s="0" t="s">
        <v>374</v>
      </c>
      <c r="D38" s="0">
        <v>2</v>
      </c>
      <c r="E38" s="0" t="s">
        <v>1407</v>
      </c>
    </row>
    <row r="39">
      <c r="A39" s="0" t="s">
        <v>1772</v>
      </c>
      <c r="B39" s="0" t="s">
        <v>363</v>
      </c>
      <c r="C39" s="0" t="s">
        <v>361</v>
      </c>
      <c r="D39" s="0">
        <v>1</v>
      </c>
      <c r="E39" s="0" t="s">
        <v>1407</v>
      </c>
    </row>
    <row r="40">
      <c r="A40" s="0" t="s">
        <v>1772</v>
      </c>
      <c r="B40" s="0" t="s">
        <v>363</v>
      </c>
      <c r="C40" s="0" t="s">
        <v>278</v>
      </c>
      <c r="D40" s="0">
        <v>1</v>
      </c>
      <c r="E40" s="0" t="s">
        <v>1407</v>
      </c>
    </row>
  </sheetData>
  <headerFooter/>
</worksheet>
</file>

<file path=xl/worksheets/sheet12.xml><?xml version="1.0" encoding="utf-8"?>
<worksheet xmlns:r="http://schemas.openxmlformats.org/officeDocument/2006/relationships" xmlns="http://schemas.openxmlformats.org/spreadsheetml/2006/main">
  <dimension ref="A1:I36"/>
  <sheetViews>
    <sheetView workbookViewId="0" tabSelected="0">
      <pane xSplit="2" ySplit="1" topLeftCell="C2" state="frozen" activePane="bottomRight"/>
      <selection pane="topRight" activeCell="C1" sqref="C1"/>
      <selection pane="bottomLeft" activeCell="A2" sqref="A2"/>
      <selection pane="bottomRight" activeCell="A1" sqref="A1"/>
    </sheetView>
  </sheetViews>
  <sheetFormatPr defaultRowHeight="15"/>
  <cols>
    <col min="1" max="1" width="10" customWidth="1"/>
    <col min="2" max="2" width="20" customWidth="1"/>
    <col min="3" max="3" width="20" customWidth="1"/>
    <col min="4" max="4" width="78" customWidth="1" style="8"/>
    <col min="5" max="5" width="34" customWidth="1" style="8"/>
    <col min="6" max="6" width="15" customWidth="1"/>
    <col min="7" max="7" width="15" customWidth="1"/>
    <col min="9" max="9" width="70" customWidth="1"/>
  </cols>
  <sheetData>
    <row r="1">
      <c r="A1" s="7" t="s">
        <v>1398</v>
      </c>
      <c r="B1" s="7" t="s">
        <v>1773</v>
      </c>
      <c r="C1" s="7" t="s">
        <v>1774</v>
      </c>
      <c r="D1" s="9" t="s">
        <v>1775</v>
      </c>
      <c r="E1" s="9" t="s">
        <v>1776</v>
      </c>
      <c r="F1" s="7" t="s">
        <v>1777</v>
      </c>
      <c r="G1" s="7" t="s">
        <v>1778</v>
      </c>
      <c r="I1" s="9" t="s">
        <v>1779</v>
      </c>
    </row>
    <row r="2">
      <c r="A2" s="0" t="s">
        <v>259</v>
      </c>
      <c r="B2" s="0" t="s">
        <v>1780</v>
      </c>
      <c r="C2" s="0" t="s">
        <v>1781</v>
      </c>
      <c r="D2" s="8" t="s">
        <v>1782</v>
      </c>
      <c r="E2" s="8" t="s">
        <v>34</v>
      </c>
      <c r="F2" s="0">
        <v>1</v>
      </c>
      <c r="G2" s="0">
        <v>1</v>
      </c>
      <c r="I2" s="10" t="s">
        <v>1783</v>
      </c>
    </row>
    <row r="3">
      <c r="A3" s="0" t="s">
        <v>259</v>
      </c>
      <c r="B3" s="0" t="s">
        <v>1784</v>
      </c>
      <c r="C3" s="0" t="s">
        <v>1785</v>
      </c>
      <c r="D3" s="8" t="s">
        <v>1786</v>
      </c>
      <c r="E3" s="8" t="s">
        <v>1787</v>
      </c>
      <c r="F3" s="0">
        <v>1</v>
      </c>
      <c r="G3" s="0">
        <v>1</v>
      </c>
      <c r="I3" s="10" t="s">
        <v>1788</v>
      </c>
    </row>
    <row r="4">
      <c r="A4" s="0" t="s">
        <v>259</v>
      </c>
      <c r="B4" s="0" t="s">
        <v>798</v>
      </c>
      <c r="C4" s="0" t="s">
        <v>1789</v>
      </c>
      <c r="D4" s="8" t="s">
        <v>1790</v>
      </c>
      <c r="E4" s="8" t="s">
        <v>1791</v>
      </c>
      <c r="F4" s="0">
        <v>1</v>
      </c>
      <c r="G4" s="0">
        <v>1</v>
      </c>
      <c r="I4" s="10" t="s">
        <v>1792</v>
      </c>
    </row>
    <row r="5">
      <c r="A5" s="0" t="s">
        <v>259</v>
      </c>
      <c r="B5" s="0" t="s">
        <v>1793</v>
      </c>
      <c r="C5" s="0" t="s">
        <v>1794</v>
      </c>
      <c r="D5" s="8" t="s">
        <v>1795</v>
      </c>
      <c r="E5" s="8" t="s">
        <v>1796</v>
      </c>
      <c r="F5" s="0">
        <v>1</v>
      </c>
      <c r="G5" s="0">
        <v>1</v>
      </c>
    </row>
    <row r="6">
      <c r="A6" s="0" t="s">
        <v>259</v>
      </c>
      <c r="B6" s="0" t="s">
        <v>80</v>
      </c>
      <c r="C6" s="0" t="s">
        <v>1797</v>
      </c>
      <c r="D6" s="8" t="s">
        <v>1798</v>
      </c>
      <c r="E6" s="8" t="s">
        <v>34</v>
      </c>
      <c r="F6" s="0">
        <v>1</v>
      </c>
      <c r="G6" s="0">
        <v>1</v>
      </c>
    </row>
    <row r="7">
      <c r="A7" s="0" t="s">
        <v>259</v>
      </c>
      <c r="B7" s="0" t="s">
        <v>31</v>
      </c>
      <c r="C7" s="0" t="s">
        <v>1799</v>
      </c>
      <c r="D7" s="8" t="s">
        <v>1800</v>
      </c>
      <c r="E7" s="8" t="s">
        <v>34</v>
      </c>
      <c r="F7" s="0">
        <v>1</v>
      </c>
      <c r="G7" s="0">
        <v>3</v>
      </c>
    </row>
    <row r="8">
      <c r="A8" s="0" t="s">
        <v>259</v>
      </c>
      <c r="B8" s="0" t="s">
        <v>72</v>
      </c>
      <c r="C8" s="0" t="s">
        <v>1801</v>
      </c>
      <c r="D8" s="8" t="s">
        <v>1802</v>
      </c>
      <c r="E8" s="8" t="s">
        <v>34</v>
      </c>
      <c r="F8" s="0">
        <v>1</v>
      </c>
      <c r="G8" s="0">
        <v>1</v>
      </c>
    </row>
    <row r="9">
      <c r="A9" s="0" t="s">
        <v>259</v>
      </c>
      <c r="B9" s="0" t="s">
        <v>1803</v>
      </c>
      <c r="C9" s="0" t="s">
        <v>1804</v>
      </c>
      <c r="D9" s="8" t="s">
        <v>1805</v>
      </c>
      <c r="E9" s="8" t="s">
        <v>1806</v>
      </c>
      <c r="F9" s="0">
        <v>1</v>
      </c>
      <c r="G9" s="0">
        <v>1</v>
      </c>
    </row>
    <row r="10">
      <c r="A10" s="0" t="s">
        <v>259</v>
      </c>
      <c r="B10" s="0" t="s">
        <v>1807</v>
      </c>
      <c r="C10" s="0" t="s">
        <v>1808</v>
      </c>
      <c r="D10" s="8" t="s">
        <v>1809</v>
      </c>
      <c r="E10" s="8" t="s">
        <v>34</v>
      </c>
      <c r="F10" s="0">
        <v>1</v>
      </c>
      <c r="G10" s="0">
        <v>1</v>
      </c>
    </row>
    <row r="11">
      <c r="A11" s="0" t="s">
        <v>259</v>
      </c>
      <c r="B11" s="0" t="s">
        <v>361</v>
      </c>
      <c r="C11" s="0" t="s">
        <v>1810</v>
      </c>
      <c r="D11" s="8" t="s">
        <v>1811</v>
      </c>
      <c r="E11" s="8" t="s">
        <v>34</v>
      </c>
      <c r="F11" s="0">
        <v>1</v>
      </c>
      <c r="G11" s="0">
        <v>1</v>
      </c>
    </row>
    <row r="12">
      <c r="A12" s="0" t="s">
        <v>259</v>
      </c>
      <c r="B12" s="0" t="s">
        <v>255</v>
      </c>
      <c r="C12" s="0" t="s">
        <v>1812</v>
      </c>
      <c r="D12" s="8" t="s">
        <v>1813</v>
      </c>
      <c r="E12" s="8" t="s">
        <v>34</v>
      </c>
      <c r="F12" s="0">
        <v>1</v>
      </c>
      <c r="G12" s="0">
        <v>1</v>
      </c>
    </row>
    <row r="13">
      <c r="A13" s="0" t="s">
        <v>259</v>
      </c>
      <c r="B13" s="0" t="s">
        <v>63</v>
      </c>
      <c r="C13" s="0" t="s">
        <v>1814</v>
      </c>
      <c r="D13" s="8" t="s">
        <v>1815</v>
      </c>
      <c r="E13" s="8" t="s">
        <v>34</v>
      </c>
      <c r="F13" s="0">
        <v>1</v>
      </c>
      <c r="G13" s="0">
        <v>1</v>
      </c>
    </row>
    <row r="14">
      <c r="A14" s="0" t="s">
        <v>259</v>
      </c>
      <c r="B14" s="0" t="s">
        <v>1816</v>
      </c>
      <c r="C14" s="0" t="s">
        <v>1817</v>
      </c>
      <c r="D14" s="8" t="s">
        <v>1818</v>
      </c>
      <c r="E14" s="8" t="s">
        <v>34</v>
      </c>
      <c r="F14" s="0">
        <v>1</v>
      </c>
      <c r="G14" s="0">
        <v>1</v>
      </c>
    </row>
    <row r="15">
      <c r="A15" s="0" t="s">
        <v>259</v>
      </c>
      <c r="B15" s="0" t="s">
        <v>370</v>
      </c>
      <c r="C15" s="0" t="s">
        <v>1819</v>
      </c>
      <c r="D15" s="8" t="s">
        <v>1820</v>
      </c>
      <c r="E15" s="8" t="s">
        <v>34</v>
      </c>
      <c r="F15" s="0">
        <v>1</v>
      </c>
      <c r="G15" s="0">
        <v>1</v>
      </c>
    </row>
    <row r="16">
      <c r="A16" s="0" t="s">
        <v>259</v>
      </c>
      <c r="B16" s="0" t="s">
        <v>178</v>
      </c>
      <c r="C16" s="0" t="s">
        <v>1821</v>
      </c>
      <c r="D16" s="8" t="s">
        <v>1822</v>
      </c>
      <c r="E16" s="8" t="s">
        <v>34</v>
      </c>
      <c r="F16" s="0">
        <v>1</v>
      </c>
      <c r="G16" s="0">
        <v>3</v>
      </c>
    </row>
    <row r="17">
      <c r="A17" s="0" t="s">
        <v>259</v>
      </c>
      <c r="B17" s="0" t="s">
        <v>1823</v>
      </c>
      <c r="C17" s="0" t="s">
        <v>1824</v>
      </c>
      <c r="D17" s="8" t="s">
        <v>1825</v>
      </c>
      <c r="E17" s="8" t="s">
        <v>34</v>
      </c>
      <c r="F17" s="0">
        <v>1</v>
      </c>
      <c r="G17" s="0">
        <v>1</v>
      </c>
    </row>
    <row r="18">
      <c r="A18" s="0" t="s">
        <v>259</v>
      </c>
      <c r="B18" s="0" t="s">
        <v>1826</v>
      </c>
      <c r="C18" s="0" t="s">
        <v>1827</v>
      </c>
      <c r="D18" s="8" t="s">
        <v>1828</v>
      </c>
      <c r="E18" s="8" t="s">
        <v>34</v>
      </c>
      <c r="F18" s="0">
        <v>1</v>
      </c>
      <c r="G18" s="0">
        <v>1</v>
      </c>
    </row>
    <row r="19">
      <c r="A19" s="0" t="s">
        <v>259</v>
      </c>
      <c r="B19" s="0" t="s">
        <v>1829</v>
      </c>
      <c r="C19" s="0" t="s">
        <v>1830</v>
      </c>
      <c r="D19" s="8" t="s">
        <v>1831</v>
      </c>
      <c r="E19" s="8" t="s">
        <v>34</v>
      </c>
      <c r="F19" s="0">
        <v>1</v>
      </c>
      <c r="G19" s="0">
        <v>1</v>
      </c>
    </row>
    <row r="20">
      <c r="A20" s="0" t="s">
        <v>259</v>
      </c>
      <c r="B20" s="0" t="s">
        <v>1832</v>
      </c>
      <c r="C20" s="0" t="s">
        <v>1833</v>
      </c>
      <c r="D20" s="8" t="s">
        <v>1834</v>
      </c>
      <c r="E20" s="8" t="s">
        <v>34</v>
      </c>
      <c r="F20" s="0">
        <v>1</v>
      </c>
      <c r="G20" s="0">
        <v>1</v>
      </c>
    </row>
    <row r="21">
      <c r="A21" s="0" t="s">
        <v>259</v>
      </c>
      <c r="B21" s="0" t="s">
        <v>1835</v>
      </c>
      <c r="C21" s="0" t="s">
        <v>1836</v>
      </c>
      <c r="D21" s="8" t="s">
        <v>1837</v>
      </c>
      <c r="E21" s="8" t="s">
        <v>34</v>
      </c>
      <c r="F21" s="0">
        <v>1</v>
      </c>
      <c r="G21" s="0">
        <v>1</v>
      </c>
    </row>
    <row r="22">
      <c r="A22" s="0" t="s">
        <v>259</v>
      </c>
      <c r="B22" s="0" t="s">
        <v>1838</v>
      </c>
      <c r="C22" s="0" t="s">
        <v>1839</v>
      </c>
      <c r="D22" s="8" t="s">
        <v>1840</v>
      </c>
      <c r="E22" s="8" t="s">
        <v>34</v>
      </c>
      <c r="F22" s="0">
        <v>1</v>
      </c>
      <c r="G22" s="0">
        <v>1</v>
      </c>
    </row>
    <row r="23">
      <c r="A23" s="0" t="s">
        <v>259</v>
      </c>
      <c r="B23" s="0" t="s">
        <v>1841</v>
      </c>
      <c r="C23" s="0" t="s">
        <v>1842</v>
      </c>
      <c r="D23" s="8" t="s">
        <v>1843</v>
      </c>
      <c r="E23" s="8" t="s">
        <v>34</v>
      </c>
      <c r="F23" s="0">
        <v>1</v>
      </c>
      <c r="G23" s="0">
        <v>1</v>
      </c>
    </row>
    <row r="24">
      <c r="A24" s="0" t="s">
        <v>259</v>
      </c>
      <c r="B24" s="0" t="s">
        <v>1844</v>
      </c>
      <c r="C24" s="0" t="s">
        <v>1845</v>
      </c>
      <c r="D24" s="8" t="s">
        <v>1846</v>
      </c>
      <c r="E24" s="8" t="s">
        <v>34</v>
      </c>
      <c r="F24" s="0">
        <v>1</v>
      </c>
      <c r="G24" s="0">
        <v>1</v>
      </c>
    </row>
    <row r="25">
      <c r="A25" s="0" t="s">
        <v>259</v>
      </c>
      <c r="B25" s="0" t="s">
        <v>1847</v>
      </c>
      <c r="C25" s="0" t="s">
        <v>1848</v>
      </c>
      <c r="D25" s="8" t="s">
        <v>1849</v>
      </c>
      <c r="E25" s="8" t="s">
        <v>34</v>
      </c>
      <c r="F25" s="0">
        <v>1</v>
      </c>
      <c r="G25" s="0">
        <v>1</v>
      </c>
    </row>
    <row r="26">
      <c r="A26" s="0" t="s">
        <v>259</v>
      </c>
      <c r="B26" s="0" t="s">
        <v>1850</v>
      </c>
      <c r="C26" s="0" t="s">
        <v>1851</v>
      </c>
      <c r="D26" s="8" t="s">
        <v>1852</v>
      </c>
      <c r="E26" s="8" t="s">
        <v>34</v>
      </c>
      <c r="F26" s="0">
        <v>1</v>
      </c>
      <c r="G26" s="0">
        <v>1</v>
      </c>
    </row>
    <row r="27">
      <c r="A27" s="0" t="s">
        <v>259</v>
      </c>
      <c r="B27" s="0" t="s">
        <v>1853</v>
      </c>
      <c r="C27" s="0" t="s">
        <v>1854</v>
      </c>
      <c r="D27" s="8" t="s">
        <v>1855</v>
      </c>
      <c r="E27" s="8" t="s">
        <v>34</v>
      </c>
      <c r="F27" s="0">
        <v>1</v>
      </c>
      <c r="G27" s="0">
        <v>1</v>
      </c>
    </row>
    <row r="28">
      <c r="A28" s="0" t="s">
        <v>259</v>
      </c>
      <c r="B28" s="0" t="s">
        <v>1856</v>
      </c>
      <c r="C28" s="0" t="s">
        <v>1857</v>
      </c>
      <c r="D28" s="8" t="s">
        <v>1858</v>
      </c>
      <c r="E28" s="8" t="s">
        <v>34</v>
      </c>
      <c r="F28" s="0">
        <v>1</v>
      </c>
      <c r="G28" s="0">
        <v>1</v>
      </c>
    </row>
    <row r="29">
      <c r="A29" s="0" t="s">
        <v>259</v>
      </c>
      <c r="B29" s="0" t="s">
        <v>1859</v>
      </c>
      <c r="C29" s="0" t="s">
        <v>1860</v>
      </c>
      <c r="D29" s="8" t="s">
        <v>1861</v>
      </c>
      <c r="E29" s="8" t="s">
        <v>34</v>
      </c>
      <c r="F29" s="0">
        <v>1</v>
      </c>
      <c r="G29" s="0">
        <v>1</v>
      </c>
    </row>
    <row r="30">
      <c r="A30" s="0" t="s">
        <v>259</v>
      </c>
      <c r="B30" s="0" t="s">
        <v>1862</v>
      </c>
      <c r="C30" s="0" t="s">
        <v>1863</v>
      </c>
      <c r="D30" s="8" t="s">
        <v>1864</v>
      </c>
      <c r="E30" s="8" t="s">
        <v>34</v>
      </c>
      <c r="F30" s="0">
        <v>1</v>
      </c>
      <c r="G30" s="0">
        <v>1</v>
      </c>
    </row>
    <row r="31">
      <c r="A31" s="0" t="s">
        <v>259</v>
      </c>
      <c r="B31" s="0" t="s">
        <v>1865</v>
      </c>
      <c r="C31" s="0" t="s">
        <v>1866</v>
      </c>
      <c r="D31" s="8" t="s">
        <v>1867</v>
      </c>
      <c r="E31" s="8" t="s">
        <v>34</v>
      </c>
      <c r="F31" s="0">
        <v>1</v>
      </c>
      <c r="G31" s="0">
        <v>1</v>
      </c>
    </row>
    <row r="32">
      <c r="A32" s="0" t="s">
        <v>1868</v>
      </c>
      <c r="B32" s="0" t="s">
        <v>659</v>
      </c>
      <c r="C32" s="0" t="s">
        <v>1869</v>
      </c>
      <c r="D32" s="8" t="s">
        <v>1870</v>
      </c>
      <c r="E32" s="8" t="s">
        <v>34</v>
      </c>
      <c r="F32" s="0">
        <v>1</v>
      </c>
      <c r="G32" s="0">
        <v>1</v>
      </c>
    </row>
    <row r="33">
      <c r="A33" s="0" t="s">
        <v>1868</v>
      </c>
      <c r="B33" s="0" t="s">
        <v>1871</v>
      </c>
      <c r="C33" s="0" t="s">
        <v>1872</v>
      </c>
      <c r="D33" s="8" t="s">
        <v>1873</v>
      </c>
      <c r="E33" s="8" t="s">
        <v>34</v>
      </c>
      <c r="F33" s="0">
        <v>1</v>
      </c>
      <c r="G33" s="0">
        <v>1</v>
      </c>
    </row>
    <row r="34">
      <c r="A34" s="0" t="s">
        <v>1868</v>
      </c>
      <c r="B34" s="0" t="s">
        <v>1874</v>
      </c>
      <c r="C34" s="0" t="s">
        <v>1875</v>
      </c>
      <c r="D34" s="8" t="s">
        <v>1876</v>
      </c>
      <c r="E34" s="8" t="s">
        <v>34</v>
      </c>
      <c r="F34" s="0">
        <v>1</v>
      </c>
      <c r="G34" s="0">
        <v>1</v>
      </c>
    </row>
    <row r="35">
      <c r="A35" s="0" t="s">
        <v>1868</v>
      </c>
      <c r="B35" s="0" t="s">
        <v>1877</v>
      </c>
      <c r="C35" s="0" t="s">
        <v>1878</v>
      </c>
      <c r="D35" s="8" t="s">
        <v>1879</v>
      </c>
      <c r="E35" s="8" t="s">
        <v>34</v>
      </c>
      <c r="F35" s="0">
        <v>1</v>
      </c>
      <c r="G35" s="0">
        <v>1</v>
      </c>
    </row>
    <row r="36">
      <c r="A36" s="0" t="s">
        <v>1868</v>
      </c>
      <c r="B36" s="0" t="s">
        <v>1880</v>
      </c>
      <c r="C36" s="0" t="s">
        <v>34</v>
      </c>
      <c r="D36" s="8" t="s">
        <v>34</v>
      </c>
      <c r="E36" s="8" t="s">
        <v>34</v>
      </c>
      <c r="F36" s="0">
        <v>1</v>
      </c>
      <c r="G36" s="0">
        <v>1</v>
      </c>
    </row>
  </sheetData>
  <autoFilter ref="A1:G36"/>
  <conditionalFormatting sqref="D2:D36">
    <cfRule priority="1" type="expression" dxfId="1">
      <formula>AND(LEN(D2)&gt;0,ISERROR(FIND("{",D2)))</formula>
    </cfRule>
  </conditionalFormatting>
  <headerFooter/>
</worksheet>
</file>

<file path=xl/worksheets/sheet13.xml><?xml version="1.0" encoding="utf-8"?>
<worksheet xmlns:r="http://schemas.openxmlformats.org/officeDocument/2006/relationships" xmlns="http://schemas.openxmlformats.org/spreadsheetml/2006/main">
  <dimension ref="A1:AL306"/>
  <sheetViews>
    <sheetView workbookViewId="0" tabSelected="0">
      <pane xSplit="2" ySplit="1" topLeftCell="C2" state="frozen" activePane="bottomRight"/>
      <selection pane="topRight" activeCell="C1" sqref="C1"/>
      <selection pane="bottomLeft" activeCell="A2" sqref="A2"/>
      <selection pane="bottomRight" activeCell="A1" sqref="A1"/>
    </sheetView>
  </sheetViews>
  <sheetFormatPr defaultRowHeight="15"/>
  <cols>
    <col min="1" max="1" width="23.7093830108643" customWidth="1"/>
    <col min="2" max="2" width="24.6853885650635" customWidth="1"/>
    <col min="3" max="3" width="13.643443107605" customWidth="1"/>
    <col min="4" max="4" width="9.140625" customWidth="1"/>
    <col min="5" max="5" width="11.6996202468872" customWidth="1"/>
    <col min="6" max="6" width="12.1518144607544" customWidth="1"/>
    <col min="7" max="7" width="11.8234100341797" customWidth="1"/>
    <col min="8" max="8" width="9.140625" customWidth="1"/>
    <col min="9" max="9" width="9.140625" customWidth="1"/>
    <col min="10" max="10" width="9.140625" customWidth="1"/>
    <col min="11" max="11" width="9.140625" customWidth="1"/>
    <col min="12" max="12" width="11.0417881011963" customWidth="1"/>
    <col min="13" max="13" width="9.140625" customWidth="1"/>
    <col min="14" max="14" width="12.2050142288208" customWidth="1"/>
    <col min="15" max="15" width="9.140625" customWidth="1"/>
    <col min="16" max="16" width="9.140625" customWidth="1"/>
    <col min="17" max="17" width="9.140625" customWidth="1"/>
    <col min="18" max="18" width="9.140625" customWidth="1"/>
    <col min="19" max="19" width="9.140625" customWidth="1"/>
    <col min="20" max="20" width="51.5326614379883" customWidth="1"/>
    <col min="21" max="21" width="21.9036731719971" customWidth="1"/>
    <col min="22" max="22" width="12.2735595703125" customWidth="1"/>
    <col min="23" max="23" width="9.140625" customWidth="1"/>
    <col min="24" max="24" width="13.8746566772461" customWidth="1"/>
    <col min="25" max="25" width="9.45296764373779" customWidth="1"/>
    <col min="26" max="26" width="9.140625" customWidth="1"/>
    <col min="27" max="27" width="9.140625" customWidth="1"/>
    <col min="28" max="28" width="37.1115379333496" customWidth="1"/>
    <col min="29" max="29" width="12.5661554336548" customWidth="1"/>
    <col min="30" max="30" width="14.8455448150635" customWidth="1"/>
    <col min="31" max="31" width="9.140625" customWidth="1"/>
    <col min="32" max="32" width="13.6598129272461" customWidth="1"/>
    <col min="33" max="33" width="9.89493274688721" customWidth="1"/>
    <col min="34" max="34" width="9.2411937713623" customWidth="1"/>
    <col min="35" max="35" width="9.80490303039551" customWidth="1"/>
    <col min="36" max="36" width="9.140625" customWidth="1"/>
    <col min="37" max="37" width="9.140625" customWidth="1"/>
    <col min="38" max="38" width="9.15218639373779" customWidth="1"/>
  </cols>
  <sheetData>
    <row r="1">
      <c r="A1" s="7" t="s">
        <v>10</v>
      </c>
      <c r="B1" s="7" t="s">
        <v>0</v>
      </c>
      <c r="C1" s="7" t="s">
        <v>11</v>
      </c>
      <c r="D1" s="7" t="s">
        <v>1</v>
      </c>
      <c r="E1" s="7" t="s">
        <v>2</v>
      </c>
      <c r="F1" s="7" t="s">
        <v>879</v>
      </c>
      <c r="G1" s="7" t="s">
        <v>1881</v>
      </c>
      <c r="H1" s="7" t="s">
        <v>1882</v>
      </c>
      <c r="I1" s="7" t="s">
        <v>1484</v>
      </c>
      <c r="J1" s="7" t="s">
        <v>133</v>
      </c>
      <c r="K1" s="7" t="s">
        <v>80</v>
      </c>
      <c r="L1" s="7" t="s">
        <v>1883</v>
      </c>
      <c r="M1" s="7" t="s">
        <v>72</v>
      </c>
      <c r="N1" s="7" t="s">
        <v>1884</v>
      </c>
      <c r="O1" s="7" t="s">
        <v>1780</v>
      </c>
      <c r="P1" s="7" t="s">
        <v>255</v>
      </c>
      <c r="Q1" s="7" t="s">
        <v>1508</v>
      </c>
      <c r="R1" s="7" t="s">
        <v>278</v>
      </c>
      <c r="S1" s="7" t="s">
        <v>1885</v>
      </c>
      <c r="T1" s="7" t="s">
        <v>1886</v>
      </c>
      <c r="U1" s="7" t="s">
        <v>1887</v>
      </c>
      <c r="V1" s="7" t="s">
        <v>1888</v>
      </c>
      <c r="W1" s="7" t="s">
        <v>1889</v>
      </c>
      <c r="X1" s="7" t="s">
        <v>1890</v>
      </c>
      <c r="Y1" s="7" t="s">
        <v>1891</v>
      </c>
      <c r="Z1" s="7" t="s">
        <v>1892</v>
      </c>
      <c r="AA1" s="7" t="s">
        <v>1893</v>
      </c>
      <c r="AB1" s="7" t="s">
        <v>1894</v>
      </c>
      <c r="AC1" s="7" t="s">
        <v>1895</v>
      </c>
      <c r="AD1" s="7" t="s">
        <v>1896</v>
      </c>
      <c r="AE1" s="7" t="s">
        <v>1897</v>
      </c>
      <c r="AF1" s="7" t="s">
        <v>1898</v>
      </c>
      <c r="AG1" s="7" t="s">
        <v>1899</v>
      </c>
      <c r="AH1" s="7" t="s">
        <v>1900</v>
      </c>
      <c r="AI1" s="7" t="s">
        <v>1901</v>
      </c>
      <c r="AJ1" s="7" t="s">
        <v>1902</v>
      </c>
      <c r="AK1" s="7" t="s">
        <v>1903</v>
      </c>
      <c r="AL1" s="7" t="s">
        <v>1904</v>
      </c>
    </row>
    <row r="2">
      <c r="A2" s="0" t="s">
        <v>31</v>
      </c>
      <c r="B2" s="0" t="s">
        <v>31</v>
      </c>
      <c r="C2" s="0" t="s">
        <v>37</v>
      </c>
      <c r="D2" s="0">
        <v>1</v>
      </c>
      <c r="E2" s="0" t="s">
        <v>32</v>
      </c>
      <c r="F2" s="0" t="s">
        <v>49</v>
      </c>
      <c r="G2" s="0">
        <v>1</v>
      </c>
      <c r="H2" s="0">
        <v>1</v>
      </c>
      <c r="I2" s="0">
        <v>0</v>
      </c>
      <c r="J2" s="0">
        <v>0</v>
      </c>
      <c r="K2" s="0">
        <v>0</v>
      </c>
      <c r="L2" s="0">
        <v>5</v>
      </c>
      <c r="M2" s="0">
        <v>0</v>
      </c>
      <c r="N2" s="0">
        <v>0</v>
      </c>
      <c r="O2" s="0">
        <v>0</v>
      </c>
      <c r="P2" s="0">
        <v>0</v>
      </c>
      <c r="Q2" s="0">
        <v>0</v>
      </c>
      <c r="R2" s="0">
        <v>0</v>
      </c>
      <c r="S2" s="0">
        <v>0</v>
      </c>
      <c r="T2" s="0" t="s">
        <v>34</v>
      </c>
      <c r="U2" s="0" t="s">
        <v>34</v>
      </c>
      <c r="V2" s="0" t="s">
        <v>882</v>
      </c>
      <c r="W2" s="11">
        <f>IF($V2="No","",ROUND((I2*w_Damage + N2*w_Poison + P2*w_Weaken*w_Horizon)*MIN(1+(G2-1)*w_OccEnemy,w_MaxEnemies) + (J2*w_Heal + K2*w_Shield + L2*w_Block + M2*w_Parry + O2*w_Strength*w_Horizon + S2*w_Combo)*MIN(1+(H2-1)*w_OccAlly,w_MaxAllies) + Q2*w_Draw + R2*w_Move,2))</f>
      </c>
      <c r="X2" s="11">
        <f>IF(W2="","",ROUND(W2/MAX(D2,1),2))</f>
      </c>
      <c r="Y2" s="11">
        <f>IF($V2="No","",ROUND((curve_Base+curve_Slope*D2)*IFERROR(VLOOKUP(E2,rarity_Mult,2,FALSE),1),2))</f>
      </c>
      <c r="Z2" s="11">
        <f>IF(OR(W2="",Y2=""),"",ROUND(W2-Y2,2))</f>
      </c>
      <c r="AA2" s="0">
        <f>IF(Z2="","",IF($V2="Partial","RIDER",IF(ABS(Z2)&lt;=Y2*tol_Pct,"OK",IF(Z2&gt;0,"OVER","UNDER"))))</f>
      </c>
      <c r="AB2" s="0" t="s">
        <v>34</v>
      </c>
      <c r="AC2" s="0">
        <f>IF(AND($V2&lt;&gt;"No",$E2="Common",NOT(ISNUMBER(SEARCH("Ideas",$F2)))),$W2,NA())</f>
      </c>
      <c r="AD2" s="0">
        <f>IF(AND($V2&lt;&gt;"No",$E2="Uncommon",NOT(ISNUMBER(SEARCH("Ideas",$F2)))),$W2,NA())</f>
      </c>
      <c r="AE2" s="0">
        <f>IF(AND($V2&lt;&gt;"No",$E2="Rare",NOT(ISNUMBER(SEARCH("Ideas",$F2)))),$W2,NA())</f>
      </c>
      <c r="AF2" s="0">
        <f>IF(AND($V2&lt;&gt;"No",$E2="Legendary",NOT(ISNUMBER(SEARCH("Ideas",$F2)))),$W2,NA())</f>
      </c>
      <c r="AG2" s="0">
        <f>IF(AND($V2&lt;&gt;"No",ISNUMBER(SEARCH("Knight",$C2)),NOT(ISNUMBER(SEARCH("Ideas",$F2)))),$X2,NA())</f>
      </c>
      <c r="AH2" s="0">
        <f>IF(AND($V2&lt;&gt;"No",ISNUMBER(SEARCH("Mage",$C2)),NOT(ISNUMBER(SEARCH("Ideas",$F2)))),$X2,NA())</f>
      </c>
      <c r="AI2" s="0">
        <f>IF(AND($V2&lt;&gt;"No",ISNUMBER(SEARCH("Rogue",$C2)),NOT(ISNUMBER(SEARCH("Ideas",$F2)))),$X2,NA())</f>
      </c>
      <c r="AJ2" s="0">
        <f>IF($V2&lt;&gt;"No",$Y2,NA())</f>
      </c>
      <c r="AK2" s="0">
        <f>IF(AND($V2&lt;&gt;"No",ISNUMBER(SEARCH("Ideas",$F2))),$W2,NA())</f>
      </c>
      <c r="AL2" s="0">
        <f>IF(AND($V2&lt;&gt;"No",ISNUMBER(SEARCH("Cleric",$C2)),NOT(ISNUMBER(SEARCH("Ideas",$F2)))),$X2,NA())</f>
      </c>
    </row>
    <row r="3">
      <c r="A3" s="0" t="s">
        <v>45</v>
      </c>
      <c r="B3" s="0" t="s">
        <v>45</v>
      </c>
      <c r="C3" s="0" t="s">
        <v>49</v>
      </c>
      <c r="D3" s="0">
        <v>1</v>
      </c>
      <c r="E3" s="0" t="s">
        <v>32</v>
      </c>
      <c r="F3" s="0" t="s">
        <v>49</v>
      </c>
      <c r="G3" s="0">
        <v>1</v>
      </c>
      <c r="H3" s="0">
        <v>1</v>
      </c>
      <c r="I3" s="0">
        <v>0</v>
      </c>
      <c r="J3" s="0">
        <v>0</v>
      </c>
      <c r="K3" s="0">
        <v>8</v>
      </c>
      <c r="L3" s="0">
        <v>0</v>
      </c>
      <c r="M3" s="0">
        <v>0</v>
      </c>
      <c r="N3" s="0">
        <v>0</v>
      </c>
      <c r="O3" s="0">
        <v>0</v>
      </c>
      <c r="P3" s="0">
        <v>0</v>
      </c>
      <c r="Q3" s="0">
        <v>1</v>
      </c>
      <c r="R3" s="0">
        <v>0</v>
      </c>
      <c r="S3" s="0">
        <v>0</v>
      </c>
      <c r="T3" s="0" t="s">
        <v>34</v>
      </c>
      <c r="U3" s="0" t="s">
        <v>34</v>
      </c>
      <c r="V3" s="0" t="s">
        <v>882</v>
      </c>
      <c r="W3" s="11">
        <f>IF($V3="No","",ROUND((I3*w_Damage + N3*w_Poison + P3*w_Weaken*w_Horizon)*MIN(1+(G3-1)*w_OccEnemy,w_MaxEnemies) + (J3*w_Heal + K3*w_Shield + L3*w_Block + M3*w_Parry + O3*w_Strength*w_Horizon + S3*w_Combo)*MIN(1+(H3-1)*w_OccAlly,w_MaxAllies) + Q3*w_Draw + R3*w_Move,2))</f>
      </c>
      <c r="X3" s="11">
        <f>IF(W3="","",ROUND(W3/MAX(D3,1),2))</f>
      </c>
      <c r="Y3" s="11">
        <f>IF($V3="No","",ROUND((curve_Base+curve_Slope*D3)*IFERROR(VLOOKUP(E3,rarity_Mult,2,FALSE),1),2))</f>
      </c>
      <c r="Z3" s="11">
        <f>IF(OR(W3="",Y3=""),"",ROUND(W3-Y3,2))</f>
      </c>
      <c r="AA3" s="0">
        <f>IF(Z3="","",IF($V3="Partial","RIDER",IF(ABS(Z3)&lt;=Y3*tol_Pct,"OK",IF(Z3&gt;0,"OVER","UNDER"))))</f>
      </c>
      <c r="AB3" s="0" t="s">
        <v>34</v>
      </c>
      <c r="AC3" s="0">
        <f>IF(AND($V3&lt;&gt;"No",$E3="Common",NOT(ISNUMBER(SEARCH("Ideas",$F3)))),$W3,NA())</f>
      </c>
      <c r="AD3" s="0">
        <f>IF(AND($V3&lt;&gt;"No",$E3="Uncommon",NOT(ISNUMBER(SEARCH("Ideas",$F3)))),$W3,NA())</f>
      </c>
      <c r="AE3" s="0">
        <f>IF(AND($V3&lt;&gt;"No",$E3="Rare",NOT(ISNUMBER(SEARCH("Ideas",$F3)))),$W3,NA())</f>
      </c>
      <c r="AF3" s="0">
        <f>IF(AND($V3&lt;&gt;"No",$E3="Legendary",NOT(ISNUMBER(SEARCH("Ideas",$F3)))),$W3,NA())</f>
      </c>
      <c r="AG3" s="0">
        <f>IF(AND($V3&lt;&gt;"No",ISNUMBER(SEARCH("Knight",$C3)),NOT(ISNUMBER(SEARCH("Ideas",$F3)))),$X3,NA())</f>
      </c>
      <c r="AH3" s="0">
        <f>IF(AND($V3&lt;&gt;"No",ISNUMBER(SEARCH("Mage",$C3)),NOT(ISNUMBER(SEARCH("Ideas",$F3)))),$X3,NA())</f>
      </c>
      <c r="AI3" s="0">
        <f>IF(AND($V3&lt;&gt;"No",ISNUMBER(SEARCH("Rogue",$C3)),NOT(ISNUMBER(SEARCH("Ideas",$F3)))),$X3,NA())</f>
      </c>
      <c r="AJ3" s="0">
        <f>IF($V3&lt;&gt;"No",$Y3,NA())</f>
      </c>
      <c r="AK3" s="0">
        <f>IF(AND($V3&lt;&gt;"No",ISNUMBER(SEARCH("Ideas",$F3))),$W3,NA())</f>
      </c>
      <c r="AL3" s="0">
        <f>IF(AND($V3&lt;&gt;"No",ISNUMBER(SEARCH("Cleric",$C3)),NOT(ISNUMBER(SEARCH("Ideas",$F3)))),$X3,NA())</f>
      </c>
    </row>
    <row r="4">
      <c r="A4" s="0" t="s">
        <v>52</v>
      </c>
      <c r="B4" s="0" t="s">
        <v>52</v>
      </c>
      <c r="C4" s="0" t="s">
        <v>49</v>
      </c>
      <c r="D4" s="0">
        <v>1</v>
      </c>
      <c r="E4" s="0" t="s">
        <v>32</v>
      </c>
      <c r="F4" s="0" t="s">
        <v>49</v>
      </c>
      <c r="G4" s="0">
        <v>1</v>
      </c>
      <c r="H4" s="0">
        <v>1</v>
      </c>
      <c r="I4" s="0">
        <v>0</v>
      </c>
      <c r="J4" s="0">
        <v>0</v>
      </c>
      <c r="K4" s="0">
        <v>6</v>
      </c>
      <c r="L4" s="0">
        <v>0</v>
      </c>
      <c r="M4" s="0">
        <v>0</v>
      </c>
      <c r="N4" s="0">
        <v>0</v>
      </c>
      <c r="O4" s="0">
        <v>0</v>
      </c>
      <c r="P4" s="0">
        <v>0</v>
      </c>
      <c r="Q4" s="0">
        <v>1</v>
      </c>
      <c r="R4" s="0">
        <v>0</v>
      </c>
      <c r="S4" s="0">
        <v>0</v>
      </c>
      <c r="T4" s="0" t="s">
        <v>34</v>
      </c>
      <c r="U4" s="0" t="s">
        <v>34</v>
      </c>
      <c r="V4" s="0" t="s">
        <v>882</v>
      </c>
      <c r="W4" s="11">
        <f>IF($V4="No","",ROUND((I4*w_Damage + N4*w_Poison + P4*w_Weaken*w_Horizon)*MIN(1+(G4-1)*w_OccEnemy,w_MaxEnemies) + (J4*w_Heal + K4*w_Shield + L4*w_Block + M4*w_Parry + O4*w_Strength*w_Horizon + S4*w_Combo)*MIN(1+(H4-1)*w_OccAlly,w_MaxAllies) + Q4*w_Draw + R4*w_Move,2))</f>
      </c>
      <c r="X4" s="11">
        <f>IF(W4="","",ROUND(W4/MAX(D4,1),2))</f>
      </c>
      <c r="Y4" s="11">
        <f>IF($V4="No","",ROUND((curve_Base+curve_Slope*D4)*IFERROR(VLOOKUP(E4,rarity_Mult,2,FALSE),1),2))</f>
      </c>
      <c r="Z4" s="11">
        <f>IF(OR(W4="",Y4=""),"",ROUND(W4-Y4,2))</f>
      </c>
      <c r="AA4" s="0">
        <f>IF(Z4="","",IF($V4="Partial","RIDER",IF(ABS(Z4)&lt;=Y4*tol_Pct,"OK",IF(Z4&gt;0,"OVER","UNDER"))))</f>
      </c>
      <c r="AB4" s="0" t="s">
        <v>34</v>
      </c>
      <c r="AC4" s="0">
        <f>IF(AND($V4&lt;&gt;"No",$E4="Common",NOT(ISNUMBER(SEARCH("Ideas",$F4)))),$W4,NA())</f>
      </c>
      <c r="AD4" s="0">
        <f>IF(AND($V4&lt;&gt;"No",$E4="Uncommon",NOT(ISNUMBER(SEARCH("Ideas",$F4)))),$W4,NA())</f>
      </c>
      <c r="AE4" s="0">
        <f>IF(AND($V4&lt;&gt;"No",$E4="Rare",NOT(ISNUMBER(SEARCH("Ideas",$F4)))),$W4,NA())</f>
      </c>
      <c r="AF4" s="0">
        <f>IF(AND($V4&lt;&gt;"No",$E4="Legendary",NOT(ISNUMBER(SEARCH("Ideas",$F4)))),$W4,NA())</f>
      </c>
      <c r="AG4" s="0">
        <f>IF(AND($V4&lt;&gt;"No",ISNUMBER(SEARCH("Knight",$C4)),NOT(ISNUMBER(SEARCH("Ideas",$F4)))),$X4,NA())</f>
      </c>
      <c r="AH4" s="0">
        <f>IF(AND($V4&lt;&gt;"No",ISNUMBER(SEARCH("Mage",$C4)),NOT(ISNUMBER(SEARCH("Ideas",$F4)))),$X4,NA())</f>
      </c>
      <c r="AI4" s="0">
        <f>IF(AND($V4&lt;&gt;"No",ISNUMBER(SEARCH("Rogue",$C4)),NOT(ISNUMBER(SEARCH("Ideas",$F4)))),$X4,NA())</f>
      </c>
      <c r="AJ4" s="0">
        <f>IF($V4&lt;&gt;"No",$Y4,NA())</f>
      </c>
      <c r="AK4" s="0">
        <f>IF(AND($V4&lt;&gt;"No",ISNUMBER(SEARCH("Ideas",$F4))),$W4,NA())</f>
      </c>
      <c r="AL4" s="0">
        <f>IF(AND($V4&lt;&gt;"No",ISNUMBER(SEARCH("Cleric",$C4)),NOT(ISNUMBER(SEARCH("Ideas",$F4)))),$X4,NA())</f>
      </c>
    </row>
    <row r="5">
      <c r="A5" s="0" t="s">
        <v>57</v>
      </c>
      <c r="B5" s="0" t="s">
        <v>57</v>
      </c>
      <c r="C5" s="0" t="s">
        <v>49</v>
      </c>
      <c r="D5" s="0">
        <v>1</v>
      </c>
      <c r="E5" s="0" t="s">
        <v>32</v>
      </c>
      <c r="F5" s="0" t="s">
        <v>49</v>
      </c>
      <c r="G5" s="0">
        <v>1</v>
      </c>
      <c r="H5" s="0">
        <v>1</v>
      </c>
      <c r="I5" s="0">
        <v>0</v>
      </c>
      <c r="J5" s="0">
        <v>0</v>
      </c>
      <c r="K5" s="0">
        <v>6</v>
      </c>
      <c r="L5" s="0">
        <v>0</v>
      </c>
      <c r="M5" s="0">
        <v>0</v>
      </c>
      <c r="N5" s="0">
        <v>0</v>
      </c>
      <c r="O5" s="0">
        <v>0</v>
      </c>
      <c r="P5" s="0">
        <v>0</v>
      </c>
      <c r="Q5" s="0">
        <v>0</v>
      </c>
      <c r="R5" s="0">
        <v>0</v>
      </c>
      <c r="S5" s="0">
        <v>0</v>
      </c>
      <c r="T5" s="0" t="s">
        <v>34</v>
      </c>
      <c r="U5" s="0" t="s">
        <v>34</v>
      </c>
      <c r="V5" s="0" t="s">
        <v>882</v>
      </c>
      <c r="W5" s="11">
        <f>IF($V5="No","",ROUND((I5*w_Damage + N5*w_Poison + P5*w_Weaken*w_Horizon)*MIN(1+(G5-1)*w_OccEnemy,w_MaxEnemies) + (J5*w_Heal + K5*w_Shield + L5*w_Block + M5*w_Parry + O5*w_Strength*w_Horizon + S5*w_Combo)*MIN(1+(H5-1)*w_OccAlly,w_MaxAllies) + Q5*w_Draw + R5*w_Move,2))</f>
      </c>
      <c r="X5" s="11">
        <f>IF(W5="","",ROUND(W5/MAX(D5,1),2))</f>
      </c>
      <c r="Y5" s="11">
        <f>IF($V5="No","",ROUND((curve_Base+curve_Slope*D5)*IFERROR(VLOOKUP(E5,rarity_Mult,2,FALSE),1),2))</f>
      </c>
      <c r="Z5" s="11">
        <f>IF(OR(W5="",Y5=""),"",ROUND(W5-Y5,2))</f>
      </c>
      <c r="AA5" s="0">
        <f>IF(Z5="","",IF($V5="Partial","RIDER",IF(ABS(Z5)&lt;=Y5*tol_Pct,"OK",IF(Z5&gt;0,"OVER","UNDER"))))</f>
      </c>
      <c r="AB5" s="0" t="s">
        <v>34</v>
      </c>
      <c r="AC5" s="0">
        <f>IF(AND($V5&lt;&gt;"No",$E5="Common",NOT(ISNUMBER(SEARCH("Ideas",$F5)))),$W5,NA())</f>
      </c>
      <c r="AD5" s="0">
        <f>IF(AND($V5&lt;&gt;"No",$E5="Uncommon",NOT(ISNUMBER(SEARCH("Ideas",$F5)))),$W5,NA())</f>
      </c>
      <c r="AE5" s="0">
        <f>IF(AND($V5&lt;&gt;"No",$E5="Rare",NOT(ISNUMBER(SEARCH("Ideas",$F5)))),$W5,NA())</f>
      </c>
      <c r="AF5" s="0">
        <f>IF(AND($V5&lt;&gt;"No",$E5="Legendary",NOT(ISNUMBER(SEARCH("Ideas",$F5)))),$W5,NA())</f>
      </c>
      <c r="AG5" s="0">
        <f>IF(AND($V5&lt;&gt;"No",ISNUMBER(SEARCH("Knight",$C5)),NOT(ISNUMBER(SEARCH("Ideas",$F5)))),$X5,NA())</f>
      </c>
      <c r="AH5" s="0">
        <f>IF(AND($V5&lt;&gt;"No",ISNUMBER(SEARCH("Mage",$C5)),NOT(ISNUMBER(SEARCH("Ideas",$F5)))),$X5,NA())</f>
      </c>
      <c r="AI5" s="0">
        <f>IF(AND($V5&lt;&gt;"No",ISNUMBER(SEARCH("Rogue",$C5)),NOT(ISNUMBER(SEARCH("Ideas",$F5)))),$X5,NA())</f>
      </c>
      <c r="AJ5" s="0">
        <f>IF($V5&lt;&gt;"No",$Y5,NA())</f>
      </c>
      <c r="AK5" s="0">
        <f>IF(AND($V5&lt;&gt;"No",ISNUMBER(SEARCH("Ideas",$F5))),$W5,NA())</f>
      </c>
      <c r="AL5" s="0">
        <f>IF(AND($V5&lt;&gt;"No",ISNUMBER(SEARCH("Cleric",$C5)),NOT(ISNUMBER(SEARCH("Ideas",$F5)))),$X5,NA())</f>
      </c>
    </row>
    <row r="6">
      <c r="A6" s="0" t="s">
        <v>61</v>
      </c>
      <c r="B6" s="0" t="s">
        <v>61</v>
      </c>
      <c r="C6" s="0" t="s">
        <v>49</v>
      </c>
      <c r="D6" s="0">
        <v>1</v>
      </c>
      <c r="E6" s="0" t="s">
        <v>62</v>
      </c>
      <c r="F6" s="0" t="s">
        <v>49</v>
      </c>
      <c r="G6" s="0">
        <v>24</v>
      </c>
      <c r="H6" s="0">
        <v>1</v>
      </c>
      <c r="I6" s="0">
        <v>0</v>
      </c>
      <c r="J6" s="0">
        <v>0</v>
      </c>
      <c r="K6" s="0">
        <v>6</v>
      </c>
      <c r="L6" s="0">
        <v>0</v>
      </c>
      <c r="M6" s="0">
        <v>0</v>
      </c>
      <c r="N6" s="0">
        <v>0</v>
      </c>
      <c r="O6" s="0">
        <v>0</v>
      </c>
      <c r="P6" s="0">
        <v>0</v>
      </c>
      <c r="Q6" s="0">
        <v>1</v>
      </c>
      <c r="R6" s="0">
        <v>0</v>
      </c>
      <c r="S6" s="0">
        <v>0</v>
      </c>
      <c r="T6" s="0" t="s">
        <v>34</v>
      </c>
      <c r="U6" s="0" t="s">
        <v>63</v>
      </c>
      <c r="V6" s="0" t="s">
        <v>1905</v>
      </c>
      <c r="W6" s="11">
        <f>IF($V6="No","",ROUND((I6*w_Damage + N6*w_Poison + P6*w_Weaken*w_Horizon)*MIN(1+(G6-1)*w_OccEnemy,w_MaxEnemies) + (J6*w_Heal + K6*w_Shield + L6*w_Block + M6*w_Parry + O6*w_Strength*w_Horizon + S6*w_Combo)*MIN(1+(H6-1)*w_OccAlly,w_MaxAllies) + Q6*w_Draw + R6*w_Move,2))</f>
      </c>
      <c r="X6" s="11">
        <f>IF(W6="","",ROUND(W6/MAX(D6,1),2))</f>
      </c>
      <c r="Y6" s="11">
        <f>IF($V6="No","",ROUND((curve_Base+curve_Slope*D6)*IFERROR(VLOOKUP(E6,rarity_Mult,2,FALSE),1),2))</f>
      </c>
      <c r="Z6" s="11">
        <f>IF(OR(W6="",Y6=""),"",ROUND(W6-Y6,2))</f>
      </c>
      <c r="AA6" s="0">
        <f>IF(Z6="","",IF($V6="Partial","RIDER",IF(ABS(Z6)&lt;=Y6*tol_Pct,"OK",IF(Z6&gt;0,"OVER","UNDER"))))</f>
      </c>
      <c r="AB6" s="0" t="s">
        <v>34</v>
      </c>
      <c r="AC6" s="0">
        <f>IF(AND($V6&lt;&gt;"No",$E6="Common",NOT(ISNUMBER(SEARCH("Ideas",$F6)))),$W6,NA())</f>
      </c>
      <c r="AD6" s="0">
        <f>IF(AND($V6&lt;&gt;"No",$E6="Uncommon",NOT(ISNUMBER(SEARCH("Ideas",$F6)))),$W6,NA())</f>
      </c>
      <c r="AE6" s="0">
        <f>IF(AND($V6&lt;&gt;"No",$E6="Rare",NOT(ISNUMBER(SEARCH("Ideas",$F6)))),$W6,NA())</f>
      </c>
      <c r="AF6" s="0">
        <f>IF(AND($V6&lt;&gt;"No",$E6="Legendary",NOT(ISNUMBER(SEARCH("Ideas",$F6)))),$W6,NA())</f>
      </c>
      <c r="AG6" s="0">
        <f>IF(AND($V6&lt;&gt;"No",ISNUMBER(SEARCH("Knight",$C6)),NOT(ISNUMBER(SEARCH("Ideas",$F6)))),$X6,NA())</f>
      </c>
      <c r="AH6" s="0">
        <f>IF(AND($V6&lt;&gt;"No",ISNUMBER(SEARCH("Mage",$C6)),NOT(ISNUMBER(SEARCH("Ideas",$F6)))),$X6,NA())</f>
      </c>
      <c r="AI6" s="0">
        <f>IF(AND($V6&lt;&gt;"No",ISNUMBER(SEARCH("Rogue",$C6)),NOT(ISNUMBER(SEARCH("Ideas",$F6)))),$X6,NA())</f>
      </c>
      <c r="AJ6" s="0">
        <f>IF($V6&lt;&gt;"No",$Y6,NA())</f>
      </c>
      <c r="AK6" s="0">
        <f>IF(AND($V6&lt;&gt;"No",ISNUMBER(SEARCH("Ideas",$F6))),$W6,NA())</f>
      </c>
      <c r="AL6" s="0">
        <f>IF(AND($V6&lt;&gt;"No",ISNUMBER(SEARCH("Cleric",$C6)),NOT(ISNUMBER(SEARCH("Ideas",$F6)))),$X6,NA())</f>
      </c>
    </row>
    <row r="7">
      <c r="A7" s="0" t="s">
        <v>69</v>
      </c>
      <c r="B7" s="0" t="s">
        <v>69</v>
      </c>
      <c r="C7" s="0" t="s">
        <v>49</v>
      </c>
      <c r="D7" s="0">
        <v>1</v>
      </c>
      <c r="E7" s="0" t="s">
        <v>32</v>
      </c>
      <c r="F7" s="0" t="s">
        <v>49</v>
      </c>
      <c r="G7" s="0">
        <v>1</v>
      </c>
      <c r="H7" s="0">
        <v>1</v>
      </c>
      <c r="I7" s="0">
        <v>0</v>
      </c>
      <c r="J7" s="0">
        <v>0</v>
      </c>
      <c r="K7" s="0">
        <v>6</v>
      </c>
      <c r="L7" s="0">
        <v>0</v>
      </c>
      <c r="M7" s="0">
        <v>0</v>
      </c>
      <c r="N7" s="0">
        <v>0</v>
      </c>
      <c r="O7" s="0">
        <v>0</v>
      </c>
      <c r="P7" s="0">
        <v>0</v>
      </c>
      <c r="Q7" s="0">
        <v>0</v>
      </c>
      <c r="R7" s="0">
        <v>0</v>
      </c>
      <c r="S7" s="0">
        <v>0</v>
      </c>
      <c r="T7" s="0" t="s">
        <v>34</v>
      </c>
      <c r="U7" s="0" t="s">
        <v>34</v>
      </c>
      <c r="V7" s="0" t="s">
        <v>882</v>
      </c>
      <c r="W7" s="11">
        <f>IF($V7="No","",ROUND((I7*w_Damage + N7*w_Poison + P7*w_Weaken*w_Horizon)*MIN(1+(G7-1)*w_OccEnemy,w_MaxEnemies) + (J7*w_Heal + K7*w_Shield + L7*w_Block + M7*w_Parry + O7*w_Strength*w_Horizon + S7*w_Combo)*MIN(1+(H7-1)*w_OccAlly,w_MaxAllies) + Q7*w_Draw + R7*w_Move,2))</f>
      </c>
      <c r="X7" s="11">
        <f>IF(W7="","",ROUND(W7/MAX(D7,1),2))</f>
      </c>
      <c r="Y7" s="11">
        <f>IF($V7="No","",ROUND((curve_Base+curve_Slope*D7)*IFERROR(VLOOKUP(E7,rarity_Mult,2,FALSE),1),2))</f>
      </c>
      <c r="Z7" s="11">
        <f>IF(OR(W7="",Y7=""),"",ROUND(W7-Y7,2))</f>
      </c>
      <c r="AA7" s="0">
        <f>IF(Z7="","",IF($V7="Partial","RIDER",IF(ABS(Z7)&lt;=Y7*tol_Pct,"OK",IF(Z7&gt;0,"OVER","UNDER"))))</f>
      </c>
      <c r="AB7" s="0" t="s">
        <v>34</v>
      </c>
      <c r="AC7" s="0">
        <f>IF(AND($V7&lt;&gt;"No",$E7="Common",NOT(ISNUMBER(SEARCH("Ideas",$F7)))),$W7,NA())</f>
      </c>
      <c r="AD7" s="0">
        <f>IF(AND($V7&lt;&gt;"No",$E7="Uncommon",NOT(ISNUMBER(SEARCH("Ideas",$F7)))),$W7,NA())</f>
      </c>
      <c r="AE7" s="0">
        <f>IF(AND($V7&lt;&gt;"No",$E7="Rare",NOT(ISNUMBER(SEARCH("Ideas",$F7)))),$W7,NA())</f>
      </c>
      <c r="AF7" s="0">
        <f>IF(AND($V7&lt;&gt;"No",$E7="Legendary",NOT(ISNUMBER(SEARCH("Ideas",$F7)))),$W7,NA())</f>
      </c>
      <c r="AG7" s="0">
        <f>IF(AND($V7&lt;&gt;"No",ISNUMBER(SEARCH("Knight",$C7)),NOT(ISNUMBER(SEARCH("Ideas",$F7)))),$X7,NA())</f>
      </c>
      <c r="AH7" s="0">
        <f>IF(AND($V7&lt;&gt;"No",ISNUMBER(SEARCH("Mage",$C7)),NOT(ISNUMBER(SEARCH("Ideas",$F7)))),$X7,NA())</f>
      </c>
      <c r="AI7" s="0">
        <f>IF(AND($V7&lt;&gt;"No",ISNUMBER(SEARCH("Rogue",$C7)),NOT(ISNUMBER(SEARCH("Ideas",$F7)))),$X7,NA())</f>
      </c>
      <c r="AJ7" s="0">
        <f>IF($V7&lt;&gt;"No",$Y7,NA())</f>
      </c>
      <c r="AK7" s="0">
        <f>IF(AND($V7&lt;&gt;"No",ISNUMBER(SEARCH("Ideas",$F7))),$W7,NA())</f>
      </c>
      <c r="AL7" s="0">
        <f>IF(AND($V7&lt;&gt;"No",ISNUMBER(SEARCH("Cleric",$C7)),NOT(ISNUMBER(SEARCH("Ideas",$F7)))),$X7,NA())</f>
      </c>
    </row>
    <row r="8">
      <c r="A8" s="0" t="s">
        <v>72</v>
      </c>
      <c r="B8" s="0" t="s">
        <v>72</v>
      </c>
      <c r="C8" s="0" t="s">
        <v>49</v>
      </c>
      <c r="D8" s="0">
        <v>1</v>
      </c>
      <c r="E8" s="0" t="s">
        <v>32</v>
      </c>
      <c r="F8" s="0" t="s">
        <v>49</v>
      </c>
      <c r="G8" s="0">
        <v>1</v>
      </c>
      <c r="H8" s="0">
        <v>1</v>
      </c>
      <c r="I8" s="0">
        <v>0</v>
      </c>
      <c r="J8" s="0">
        <v>0</v>
      </c>
      <c r="K8" s="0">
        <v>0</v>
      </c>
      <c r="L8" s="0">
        <v>0</v>
      </c>
      <c r="M8" s="0">
        <v>1</v>
      </c>
      <c r="N8" s="0">
        <v>0</v>
      </c>
      <c r="O8" s="0">
        <v>0</v>
      </c>
      <c r="P8" s="0">
        <v>0</v>
      </c>
      <c r="Q8" s="0">
        <v>0</v>
      </c>
      <c r="R8" s="0">
        <v>0</v>
      </c>
      <c r="S8" s="0">
        <v>0</v>
      </c>
      <c r="T8" s="0" t="s">
        <v>34</v>
      </c>
      <c r="U8" s="0" t="s">
        <v>34</v>
      </c>
      <c r="V8" s="0" t="s">
        <v>882</v>
      </c>
      <c r="W8" s="11">
        <f>IF($V8="No","",ROUND((I8*w_Damage + N8*w_Poison + P8*w_Weaken*w_Horizon)*MIN(1+(G8-1)*w_OccEnemy,w_MaxEnemies) + (J8*w_Heal + K8*w_Shield + L8*w_Block + M8*w_Parry + O8*w_Strength*w_Horizon + S8*w_Combo)*MIN(1+(H8-1)*w_OccAlly,w_MaxAllies) + Q8*w_Draw + R8*w_Move,2))</f>
      </c>
      <c r="X8" s="11">
        <f>IF(W8="","",ROUND(W8/MAX(D8,1),2))</f>
      </c>
      <c r="Y8" s="11">
        <f>IF($V8="No","",ROUND((curve_Base+curve_Slope*D8)*IFERROR(VLOOKUP(E8,rarity_Mult,2,FALSE),1),2))</f>
      </c>
      <c r="Z8" s="11">
        <f>IF(OR(W8="",Y8=""),"",ROUND(W8-Y8,2))</f>
      </c>
      <c r="AA8" s="0">
        <f>IF(Z8="","",IF($V8="Partial","RIDER",IF(ABS(Z8)&lt;=Y8*tol_Pct,"OK",IF(Z8&gt;0,"OVER","UNDER"))))</f>
      </c>
      <c r="AB8" s="0" t="s">
        <v>34</v>
      </c>
      <c r="AC8" s="0">
        <f>IF(AND($V8&lt;&gt;"No",$E8="Common",NOT(ISNUMBER(SEARCH("Ideas",$F8)))),$W8,NA())</f>
      </c>
      <c r="AD8" s="0">
        <f>IF(AND($V8&lt;&gt;"No",$E8="Uncommon",NOT(ISNUMBER(SEARCH("Ideas",$F8)))),$W8,NA())</f>
      </c>
      <c r="AE8" s="0">
        <f>IF(AND($V8&lt;&gt;"No",$E8="Rare",NOT(ISNUMBER(SEARCH("Ideas",$F8)))),$W8,NA())</f>
      </c>
      <c r="AF8" s="0">
        <f>IF(AND($V8&lt;&gt;"No",$E8="Legendary",NOT(ISNUMBER(SEARCH("Ideas",$F8)))),$W8,NA())</f>
      </c>
      <c r="AG8" s="0">
        <f>IF(AND($V8&lt;&gt;"No",ISNUMBER(SEARCH("Knight",$C8)),NOT(ISNUMBER(SEARCH("Ideas",$F8)))),$X8,NA())</f>
      </c>
      <c r="AH8" s="0">
        <f>IF(AND($V8&lt;&gt;"No",ISNUMBER(SEARCH("Mage",$C8)),NOT(ISNUMBER(SEARCH("Ideas",$F8)))),$X8,NA())</f>
      </c>
      <c r="AI8" s="0">
        <f>IF(AND($V8&lt;&gt;"No",ISNUMBER(SEARCH("Rogue",$C8)),NOT(ISNUMBER(SEARCH("Ideas",$F8)))),$X8,NA())</f>
      </c>
      <c r="AJ8" s="0">
        <f>IF($V8&lt;&gt;"No",$Y8,NA())</f>
      </c>
      <c r="AK8" s="0">
        <f>IF(AND($V8&lt;&gt;"No",ISNUMBER(SEARCH("Ideas",$F8))),$W8,NA())</f>
      </c>
      <c r="AL8" s="0">
        <f>IF(AND($V8&lt;&gt;"No",ISNUMBER(SEARCH("Cleric",$C8)),NOT(ISNUMBER(SEARCH("Ideas",$F8)))),$X8,NA())</f>
      </c>
    </row>
    <row r="9">
      <c r="A9" s="0" t="s">
        <v>76</v>
      </c>
      <c r="B9" s="0" t="s">
        <v>76</v>
      </c>
      <c r="C9" s="0" t="s">
        <v>49</v>
      </c>
      <c r="D9" s="0">
        <v>1</v>
      </c>
      <c r="E9" s="0" t="s">
        <v>32</v>
      </c>
      <c r="F9" s="0" t="s">
        <v>49</v>
      </c>
      <c r="G9" s="0">
        <v>1</v>
      </c>
      <c r="H9" s="0">
        <v>9</v>
      </c>
      <c r="I9" s="0">
        <v>0</v>
      </c>
      <c r="J9" s="0">
        <v>0</v>
      </c>
      <c r="K9" s="0">
        <v>0</v>
      </c>
      <c r="L9" s="0">
        <v>5</v>
      </c>
      <c r="M9" s="0">
        <v>0</v>
      </c>
      <c r="N9" s="0">
        <v>0</v>
      </c>
      <c r="O9" s="0">
        <v>0</v>
      </c>
      <c r="P9" s="0">
        <v>0</v>
      </c>
      <c r="Q9" s="0">
        <v>0</v>
      </c>
      <c r="R9" s="0">
        <v>0</v>
      </c>
      <c r="S9" s="0">
        <v>0</v>
      </c>
      <c r="T9" s="0" t="s">
        <v>34</v>
      </c>
      <c r="U9" s="0" t="s">
        <v>34</v>
      </c>
      <c r="V9" s="0" t="s">
        <v>882</v>
      </c>
      <c r="W9" s="11">
        <f>IF($V9="No","",ROUND((I9*w_Damage + N9*w_Poison + P9*w_Weaken*w_Horizon)*MIN(1+(G9-1)*w_OccEnemy,w_MaxEnemies) + (J9*w_Heal + K9*w_Shield + L9*w_Block + M9*w_Parry + O9*w_Strength*w_Horizon + S9*w_Combo)*MIN(1+(H9-1)*w_OccAlly,w_MaxAllies) + Q9*w_Draw + R9*w_Move,2))</f>
      </c>
      <c r="X9" s="11">
        <f>IF(W9="","",ROUND(W9/MAX(D9,1),2))</f>
      </c>
      <c r="Y9" s="11">
        <f>IF($V9="No","",ROUND((curve_Base+curve_Slope*D9)*IFERROR(VLOOKUP(E9,rarity_Mult,2,FALSE),1),2))</f>
      </c>
      <c r="Z9" s="11">
        <f>IF(OR(W9="",Y9=""),"",ROUND(W9-Y9,2))</f>
      </c>
      <c r="AA9" s="0">
        <f>IF(Z9="","",IF($V9="Partial","RIDER",IF(ABS(Z9)&lt;=Y9*tol_Pct,"OK",IF(Z9&gt;0,"OVER","UNDER"))))</f>
      </c>
      <c r="AB9" s="0" t="s">
        <v>34</v>
      </c>
      <c r="AC9" s="0">
        <f>IF(AND($V9&lt;&gt;"No",$E9="Common",NOT(ISNUMBER(SEARCH("Ideas",$F9)))),$W9,NA())</f>
      </c>
      <c r="AD9" s="0">
        <f>IF(AND($V9&lt;&gt;"No",$E9="Uncommon",NOT(ISNUMBER(SEARCH("Ideas",$F9)))),$W9,NA())</f>
      </c>
      <c r="AE9" s="0">
        <f>IF(AND($V9&lt;&gt;"No",$E9="Rare",NOT(ISNUMBER(SEARCH("Ideas",$F9)))),$W9,NA())</f>
      </c>
      <c r="AF9" s="0">
        <f>IF(AND($V9&lt;&gt;"No",$E9="Legendary",NOT(ISNUMBER(SEARCH("Ideas",$F9)))),$W9,NA())</f>
      </c>
      <c r="AG9" s="0">
        <f>IF(AND($V9&lt;&gt;"No",ISNUMBER(SEARCH("Knight",$C9)),NOT(ISNUMBER(SEARCH("Ideas",$F9)))),$X9,NA())</f>
      </c>
      <c r="AH9" s="0">
        <f>IF(AND($V9&lt;&gt;"No",ISNUMBER(SEARCH("Mage",$C9)),NOT(ISNUMBER(SEARCH("Ideas",$F9)))),$X9,NA())</f>
      </c>
      <c r="AI9" s="0">
        <f>IF(AND($V9&lt;&gt;"No",ISNUMBER(SEARCH("Rogue",$C9)),NOT(ISNUMBER(SEARCH("Ideas",$F9)))),$X9,NA())</f>
      </c>
      <c r="AJ9" s="0">
        <f>IF($V9&lt;&gt;"No",$Y9,NA())</f>
      </c>
      <c r="AK9" s="0">
        <f>IF(AND($V9&lt;&gt;"No",ISNUMBER(SEARCH("Ideas",$F9))),$W9,NA())</f>
      </c>
      <c r="AL9" s="0">
        <f>IF(AND($V9&lt;&gt;"No",ISNUMBER(SEARCH("Cleric",$C9)),NOT(ISNUMBER(SEARCH("Ideas",$F9)))),$X9,NA())</f>
      </c>
    </row>
    <row r="10">
      <c r="A10" s="0" t="s">
        <v>80</v>
      </c>
      <c r="B10" s="0" t="s">
        <v>80</v>
      </c>
      <c r="C10" s="0" t="s">
        <v>49</v>
      </c>
      <c r="D10" s="0">
        <v>1</v>
      </c>
      <c r="E10" s="0" t="s">
        <v>81</v>
      </c>
      <c r="F10" s="0" t="s">
        <v>49</v>
      </c>
      <c r="G10" s="0">
        <v>1</v>
      </c>
      <c r="H10" s="0">
        <v>1</v>
      </c>
      <c r="I10" s="0">
        <v>0</v>
      </c>
      <c r="J10" s="0">
        <v>0</v>
      </c>
      <c r="K10" s="0">
        <v>7</v>
      </c>
      <c r="L10" s="0">
        <v>0</v>
      </c>
      <c r="M10" s="0">
        <v>0</v>
      </c>
      <c r="N10" s="0">
        <v>0</v>
      </c>
      <c r="O10" s="0">
        <v>0</v>
      </c>
      <c r="P10" s="0">
        <v>0</v>
      </c>
      <c r="Q10" s="0">
        <v>0</v>
      </c>
      <c r="R10" s="0">
        <v>0</v>
      </c>
      <c r="S10" s="0">
        <v>0</v>
      </c>
      <c r="T10" s="0" t="s">
        <v>34</v>
      </c>
      <c r="U10" s="0" t="s">
        <v>34</v>
      </c>
      <c r="V10" s="0" t="s">
        <v>882</v>
      </c>
      <c r="W10" s="11">
        <f>IF($V10="No","",ROUND((I10*w_Damage + N10*w_Poison + P10*w_Weaken*w_Horizon)*MIN(1+(G10-1)*w_OccEnemy,w_MaxEnemies) + (J10*w_Heal + K10*w_Shield + L10*w_Block + M10*w_Parry + O10*w_Strength*w_Horizon + S10*w_Combo)*MIN(1+(H10-1)*w_OccAlly,w_MaxAllies) + Q10*w_Draw + R10*w_Move,2))</f>
      </c>
      <c r="X10" s="11">
        <f>IF(W10="","",ROUND(W10/MAX(D10,1),2))</f>
      </c>
      <c r="Y10" s="11">
        <f>IF($V10="No","",ROUND((curve_Base+curve_Slope*D10)*IFERROR(VLOOKUP(E10,rarity_Mult,2,FALSE),1),2))</f>
      </c>
      <c r="Z10" s="11">
        <f>IF(OR(W10="",Y10=""),"",ROUND(W10-Y10,2))</f>
      </c>
      <c r="AA10" s="0">
        <f>IF(Z10="","",IF($V10="Partial","RIDER",IF(ABS(Z10)&lt;=Y10*tol_Pct,"OK",IF(Z10&gt;0,"OVER","UNDER"))))</f>
      </c>
      <c r="AB10" s="0" t="s">
        <v>34</v>
      </c>
      <c r="AC10" s="0">
        <f>IF(AND($V10&lt;&gt;"No",$E10="Common",NOT(ISNUMBER(SEARCH("Ideas",$F10)))),$W10,NA())</f>
      </c>
      <c r="AD10" s="0">
        <f>IF(AND($V10&lt;&gt;"No",$E10="Uncommon",NOT(ISNUMBER(SEARCH("Ideas",$F10)))),$W10,NA())</f>
      </c>
      <c r="AE10" s="0">
        <f>IF(AND($V10&lt;&gt;"No",$E10="Rare",NOT(ISNUMBER(SEARCH("Ideas",$F10)))),$W10,NA())</f>
      </c>
      <c r="AF10" s="0">
        <f>IF(AND($V10&lt;&gt;"No",$E10="Legendary",NOT(ISNUMBER(SEARCH("Ideas",$F10)))),$W10,NA())</f>
      </c>
      <c r="AG10" s="0">
        <f>IF(AND($V10&lt;&gt;"No",ISNUMBER(SEARCH("Knight",$C10)),NOT(ISNUMBER(SEARCH("Ideas",$F10)))),$X10,NA())</f>
      </c>
      <c r="AH10" s="0">
        <f>IF(AND($V10&lt;&gt;"No",ISNUMBER(SEARCH("Mage",$C10)),NOT(ISNUMBER(SEARCH("Ideas",$F10)))),$X10,NA())</f>
      </c>
      <c r="AI10" s="0">
        <f>IF(AND($V10&lt;&gt;"No",ISNUMBER(SEARCH("Rogue",$C10)),NOT(ISNUMBER(SEARCH("Ideas",$F10)))),$X10,NA())</f>
      </c>
      <c r="AJ10" s="0">
        <f>IF($V10&lt;&gt;"No",$Y10,NA())</f>
      </c>
      <c r="AK10" s="0">
        <f>IF(AND($V10&lt;&gt;"No",ISNUMBER(SEARCH("Ideas",$F10))),$W10,NA())</f>
      </c>
      <c r="AL10" s="0">
        <f>IF(AND($V10&lt;&gt;"No",ISNUMBER(SEARCH("Cleric",$C10)),NOT(ISNUMBER(SEARCH("Ideas",$F10)))),$X10,NA())</f>
      </c>
    </row>
    <row r="11">
      <c r="A11" s="0" t="s">
        <v>85</v>
      </c>
      <c r="B11" s="0" t="s">
        <v>85</v>
      </c>
      <c r="C11" s="0" t="s">
        <v>49</v>
      </c>
      <c r="D11" s="0">
        <v>1</v>
      </c>
      <c r="E11" s="0" t="s">
        <v>62</v>
      </c>
      <c r="F11" s="0" t="s">
        <v>49</v>
      </c>
      <c r="G11" s="0">
        <v>1</v>
      </c>
      <c r="H11" s="0">
        <v>13</v>
      </c>
      <c r="I11" s="0">
        <v>0</v>
      </c>
      <c r="J11" s="0">
        <v>0</v>
      </c>
      <c r="K11" s="0">
        <v>6</v>
      </c>
      <c r="L11" s="0">
        <v>0</v>
      </c>
      <c r="M11" s="0">
        <v>0</v>
      </c>
      <c r="N11" s="0">
        <v>0</v>
      </c>
      <c r="O11" s="0">
        <v>0</v>
      </c>
      <c r="P11" s="0">
        <v>0</v>
      </c>
      <c r="Q11" s="0">
        <v>0</v>
      </c>
      <c r="R11" s="0">
        <v>0</v>
      </c>
      <c r="S11" s="0">
        <v>0</v>
      </c>
      <c r="T11" s="0" t="s">
        <v>34</v>
      </c>
      <c r="U11" s="0" t="s">
        <v>34</v>
      </c>
      <c r="V11" s="0" t="s">
        <v>882</v>
      </c>
      <c r="W11" s="11">
        <f>IF($V11="No","",ROUND((I11*w_Damage + N11*w_Poison + P11*w_Weaken*w_Horizon)*MIN(1+(G11-1)*w_OccEnemy,w_MaxEnemies) + (J11*w_Heal + K11*w_Shield + L11*w_Block + M11*w_Parry + O11*w_Strength*w_Horizon + S11*w_Combo)*MIN(1+(H11-1)*w_OccAlly,w_MaxAllies) + Q11*w_Draw + R11*w_Move,2))</f>
      </c>
      <c r="X11" s="11">
        <f>IF(W11="","",ROUND(W11/MAX(D11,1),2))</f>
      </c>
      <c r="Y11" s="11">
        <f>IF($V11="No","",ROUND((curve_Base+curve_Slope*D11)*IFERROR(VLOOKUP(E11,rarity_Mult,2,FALSE),1),2))</f>
      </c>
      <c r="Z11" s="11">
        <f>IF(OR(W11="",Y11=""),"",ROUND(W11-Y11,2))</f>
      </c>
      <c r="AA11" s="0">
        <f>IF(Z11="","",IF($V11="Partial","RIDER",IF(ABS(Z11)&lt;=Y11*tol_Pct,"OK",IF(Z11&gt;0,"OVER","UNDER"))))</f>
      </c>
      <c r="AB11" s="0" t="s">
        <v>34</v>
      </c>
      <c r="AC11" s="0">
        <f>IF(AND($V11&lt;&gt;"No",$E11="Common",NOT(ISNUMBER(SEARCH("Ideas",$F11)))),$W11,NA())</f>
      </c>
      <c r="AD11" s="0">
        <f>IF(AND($V11&lt;&gt;"No",$E11="Uncommon",NOT(ISNUMBER(SEARCH("Ideas",$F11)))),$W11,NA())</f>
      </c>
      <c r="AE11" s="0">
        <f>IF(AND($V11&lt;&gt;"No",$E11="Rare",NOT(ISNUMBER(SEARCH("Ideas",$F11)))),$W11,NA())</f>
      </c>
      <c r="AF11" s="0">
        <f>IF(AND($V11&lt;&gt;"No",$E11="Legendary",NOT(ISNUMBER(SEARCH("Ideas",$F11)))),$W11,NA())</f>
      </c>
      <c r="AG11" s="0">
        <f>IF(AND($V11&lt;&gt;"No",ISNUMBER(SEARCH("Knight",$C11)),NOT(ISNUMBER(SEARCH("Ideas",$F11)))),$X11,NA())</f>
      </c>
      <c r="AH11" s="0">
        <f>IF(AND($V11&lt;&gt;"No",ISNUMBER(SEARCH("Mage",$C11)),NOT(ISNUMBER(SEARCH("Ideas",$F11)))),$X11,NA())</f>
      </c>
      <c r="AI11" s="0">
        <f>IF(AND($V11&lt;&gt;"No",ISNUMBER(SEARCH("Rogue",$C11)),NOT(ISNUMBER(SEARCH("Ideas",$F11)))),$X11,NA())</f>
      </c>
      <c r="AJ11" s="0">
        <f>IF($V11&lt;&gt;"No",$Y11,NA())</f>
      </c>
      <c r="AK11" s="0">
        <f>IF(AND($V11&lt;&gt;"No",ISNUMBER(SEARCH("Ideas",$F11))),$W11,NA())</f>
      </c>
      <c r="AL11" s="0">
        <f>IF(AND($V11&lt;&gt;"No",ISNUMBER(SEARCH("Cleric",$C11)),NOT(ISNUMBER(SEARCH("Ideas",$F11)))),$X11,NA())</f>
      </c>
    </row>
    <row r="12">
      <c r="A12" s="0" t="s">
        <v>89</v>
      </c>
      <c r="B12" s="0" t="s">
        <v>89</v>
      </c>
      <c r="C12" s="0" t="s">
        <v>49</v>
      </c>
      <c r="D12" s="0">
        <v>1</v>
      </c>
      <c r="E12" s="0" t="s">
        <v>32</v>
      </c>
      <c r="F12" s="0" t="s">
        <v>49</v>
      </c>
      <c r="G12" s="0">
        <v>1</v>
      </c>
      <c r="H12" s="0">
        <v>9</v>
      </c>
      <c r="I12" s="0">
        <v>0</v>
      </c>
      <c r="J12" s="0">
        <v>0</v>
      </c>
      <c r="K12" s="0">
        <v>8</v>
      </c>
      <c r="L12" s="0">
        <v>0</v>
      </c>
      <c r="M12" s="0">
        <v>0</v>
      </c>
      <c r="N12" s="0">
        <v>0</v>
      </c>
      <c r="O12" s="0">
        <v>0</v>
      </c>
      <c r="P12" s="0">
        <v>0</v>
      </c>
      <c r="Q12" s="0">
        <v>0</v>
      </c>
      <c r="R12" s="0">
        <v>0</v>
      </c>
      <c r="S12" s="0">
        <v>0</v>
      </c>
      <c r="T12" s="0" t="s">
        <v>34</v>
      </c>
      <c r="U12" s="0" t="s">
        <v>34</v>
      </c>
      <c r="V12" s="0" t="s">
        <v>882</v>
      </c>
      <c r="W12" s="11">
        <f>IF($V12="No","",ROUND((I12*w_Damage + N12*w_Poison + P12*w_Weaken*w_Horizon)*MIN(1+(G12-1)*w_OccEnemy,w_MaxEnemies) + (J12*w_Heal + K12*w_Shield + L12*w_Block + M12*w_Parry + O12*w_Strength*w_Horizon + S12*w_Combo)*MIN(1+(H12-1)*w_OccAlly,w_MaxAllies) + Q12*w_Draw + R12*w_Move,2))</f>
      </c>
      <c r="X12" s="11">
        <f>IF(W12="","",ROUND(W12/MAX(D12,1),2))</f>
      </c>
      <c r="Y12" s="11">
        <f>IF($V12="No","",ROUND((curve_Base+curve_Slope*D12)*IFERROR(VLOOKUP(E12,rarity_Mult,2,FALSE),1),2))</f>
      </c>
      <c r="Z12" s="11">
        <f>IF(OR(W12="",Y12=""),"",ROUND(W12-Y12,2))</f>
      </c>
      <c r="AA12" s="0">
        <f>IF(Z12="","",IF($V12="Partial","RIDER",IF(ABS(Z12)&lt;=Y12*tol_Pct,"OK",IF(Z12&gt;0,"OVER","UNDER"))))</f>
      </c>
      <c r="AB12" s="0" t="s">
        <v>34</v>
      </c>
      <c r="AC12" s="0">
        <f>IF(AND($V12&lt;&gt;"No",$E12="Common",NOT(ISNUMBER(SEARCH("Ideas",$F12)))),$W12,NA())</f>
      </c>
      <c r="AD12" s="0">
        <f>IF(AND($V12&lt;&gt;"No",$E12="Uncommon",NOT(ISNUMBER(SEARCH("Ideas",$F12)))),$W12,NA())</f>
      </c>
      <c r="AE12" s="0">
        <f>IF(AND($V12&lt;&gt;"No",$E12="Rare",NOT(ISNUMBER(SEARCH("Ideas",$F12)))),$W12,NA())</f>
      </c>
      <c r="AF12" s="0">
        <f>IF(AND($V12&lt;&gt;"No",$E12="Legendary",NOT(ISNUMBER(SEARCH("Ideas",$F12)))),$W12,NA())</f>
      </c>
      <c r="AG12" s="0">
        <f>IF(AND($V12&lt;&gt;"No",ISNUMBER(SEARCH("Knight",$C12)),NOT(ISNUMBER(SEARCH("Ideas",$F12)))),$X12,NA())</f>
      </c>
      <c r="AH12" s="0">
        <f>IF(AND($V12&lt;&gt;"No",ISNUMBER(SEARCH("Mage",$C12)),NOT(ISNUMBER(SEARCH("Ideas",$F12)))),$X12,NA())</f>
      </c>
      <c r="AI12" s="0">
        <f>IF(AND($V12&lt;&gt;"No",ISNUMBER(SEARCH("Rogue",$C12)),NOT(ISNUMBER(SEARCH("Ideas",$F12)))),$X12,NA())</f>
      </c>
      <c r="AJ12" s="0">
        <f>IF($V12&lt;&gt;"No",$Y12,NA())</f>
      </c>
      <c r="AK12" s="0">
        <f>IF(AND($V12&lt;&gt;"No",ISNUMBER(SEARCH("Ideas",$F12))),$W12,NA())</f>
      </c>
      <c r="AL12" s="0">
        <f>IF(AND($V12&lt;&gt;"No",ISNUMBER(SEARCH("Cleric",$C12)),NOT(ISNUMBER(SEARCH("Ideas",$F12)))),$X12,NA())</f>
      </c>
    </row>
    <row r="13">
      <c r="A13" s="0" t="s">
        <v>92</v>
      </c>
      <c r="B13" s="0" t="s">
        <v>92</v>
      </c>
      <c r="C13" s="0" t="s">
        <v>49</v>
      </c>
      <c r="D13" s="0">
        <v>1</v>
      </c>
      <c r="E13" s="0" t="s">
        <v>32</v>
      </c>
      <c r="F13" s="0" t="s">
        <v>49</v>
      </c>
      <c r="G13" s="0">
        <v>1</v>
      </c>
      <c r="H13" s="0">
        <v>1</v>
      </c>
      <c r="I13" s="0">
        <v>0</v>
      </c>
      <c r="J13" s="0">
        <v>0</v>
      </c>
      <c r="K13" s="0">
        <v>0</v>
      </c>
      <c r="L13" s="0">
        <v>5</v>
      </c>
      <c r="M13" s="0">
        <v>0</v>
      </c>
      <c r="N13" s="0">
        <v>0</v>
      </c>
      <c r="O13" s="0">
        <v>0</v>
      </c>
      <c r="P13" s="0">
        <v>0</v>
      </c>
      <c r="Q13" s="0">
        <v>0</v>
      </c>
      <c r="R13" s="0">
        <v>0</v>
      </c>
      <c r="S13" s="0">
        <v>0</v>
      </c>
      <c r="T13" s="0" t="s">
        <v>34</v>
      </c>
      <c r="U13" s="0" t="s">
        <v>34</v>
      </c>
      <c r="V13" s="0" t="s">
        <v>882</v>
      </c>
      <c r="W13" s="11">
        <f>IF($V13="No","",ROUND((I13*w_Damage + N13*w_Poison + P13*w_Weaken*w_Horizon)*MIN(1+(G13-1)*w_OccEnemy,w_MaxEnemies) + (J13*w_Heal + K13*w_Shield + L13*w_Block + M13*w_Parry + O13*w_Strength*w_Horizon + S13*w_Combo)*MIN(1+(H13-1)*w_OccAlly,w_MaxAllies) + Q13*w_Draw + R13*w_Move,2))</f>
      </c>
      <c r="X13" s="11">
        <f>IF(W13="","",ROUND(W13/MAX(D13,1),2))</f>
      </c>
      <c r="Y13" s="11">
        <f>IF($V13="No","",ROUND((curve_Base+curve_Slope*D13)*IFERROR(VLOOKUP(E13,rarity_Mult,2,FALSE),1),2))</f>
      </c>
      <c r="Z13" s="11">
        <f>IF(OR(W13="",Y13=""),"",ROUND(W13-Y13,2))</f>
      </c>
      <c r="AA13" s="0">
        <f>IF(Z13="","",IF($V13="Partial","RIDER",IF(ABS(Z13)&lt;=Y13*tol_Pct,"OK",IF(Z13&gt;0,"OVER","UNDER"))))</f>
      </c>
      <c r="AB13" s="0" t="s">
        <v>34</v>
      </c>
      <c r="AC13" s="0">
        <f>IF(AND($V13&lt;&gt;"No",$E13="Common",NOT(ISNUMBER(SEARCH("Ideas",$F13)))),$W13,NA())</f>
      </c>
      <c r="AD13" s="0">
        <f>IF(AND($V13&lt;&gt;"No",$E13="Uncommon",NOT(ISNUMBER(SEARCH("Ideas",$F13)))),$W13,NA())</f>
      </c>
      <c r="AE13" s="0">
        <f>IF(AND($V13&lt;&gt;"No",$E13="Rare",NOT(ISNUMBER(SEARCH("Ideas",$F13)))),$W13,NA())</f>
      </c>
      <c r="AF13" s="0">
        <f>IF(AND($V13&lt;&gt;"No",$E13="Legendary",NOT(ISNUMBER(SEARCH("Ideas",$F13)))),$W13,NA())</f>
      </c>
      <c r="AG13" s="0">
        <f>IF(AND($V13&lt;&gt;"No",ISNUMBER(SEARCH("Knight",$C13)),NOT(ISNUMBER(SEARCH("Ideas",$F13)))),$X13,NA())</f>
      </c>
      <c r="AH13" s="0">
        <f>IF(AND($V13&lt;&gt;"No",ISNUMBER(SEARCH("Mage",$C13)),NOT(ISNUMBER(SEARCH("Ideas",$F13)))),$X13,NA())</f>
      </c>
      <c r="AI13" s="0">
        <f>IF(AND($V13&lt;&gt;"No",ISNUMBER(SEARCH("Rogue",$C13)),NOT(ISNUMBER(SEARCH("Ideas",$F13)))),$X13,NA())</f>
      </c>
      <c r="AJ13" s="0">
        <f>IF($V13&lt;&gt;"No",$Y13,NA())</f>
      </c>
      <c r="AK13" s="0">
        <f>IF(AND($V13&lt;&gt;"No",ISNUMBER(SEARCH("Ideas",$F13))),$W13,NA())</f>
      </c>
      <c r="AL13" s="0">
        <f>IF(AND($V13&lt;&gt;"No",ISNUMBER(SEARCH("Cleric",$C13)),NOT(ISNUMBER(SEARCH("Ideas",$F13)))),$X13,NA())</f>
      </c>
    </row>
    <row r="14">
      <c r="A14" s="0" t="s">
        <v>96</v>
      </c>
      <c r="B14" s="0" t="s">
        <v>96</v>
      </c>
      <c r="C14" s="0" t="s">
        <v>49</v>
      </c>
      <c r="D14" s="0">
        <v>1</v>
      </c>
      <c r="E14" s="0" t="s">
        <v>32</v>
      </c>
      <c r="F14" s="0" t="s">
        <v>49</v>
      </c>
      <c r="G14" s="0">
        <v>1</v>
      </c>
      <c r="H14" s="0">
        <v>1</v>
      </c>
      <c r="I14" s="0">
        <v>0</v>
      </c>
      <c r="J14" s="0">
        <v>0</v>
      </c>
      <c r="K14" s="0">
        <v>5</v>
      </c>
      <c r="L14" s="0">
        <v>0</v>
      </c>
      <c r="M14" s="0">
        <v>0</v>
      </c>
      <c r="N14" s="0">
        <v>0</v>
      </c>
      <c r="O14" s="0">
        <v>0</v>
      </c>
      <c r="P14" s="0">
        <v>0</v>
      </c>
      <c r="Q14" s="0">
        <v>1</v>
      </c>
      <c r="R14" s="0">
        <v>0</v>
      </c>
      <c r="S14" s="0">
        <v>0</v>
      </c>
      <c r="T14" s="0" t="s">
        <v>34</v>
      </c>
      <c r="U14" s="0" t="s">
        <v>34</v>
      </c>
      <c r="V14" s="0" t="s">
        <v>882</v>
      </c>
      <c r="W14" s="11">
        <f>IF($V14="No","",ROUND((I14*w_Damage + N14*w_Poison + P14*w_Weaken*w_Horizon)*MIN(1+(G14-1)*w_OccEnemy,w_MaxEnemies) + (J14*w_Heal + K14*w_Shield + L14*w_Block + M14*w_Parry + O14*w_Strength*w_Horizon + S14*w_Combo)*MIN(1+(H14-1)*w_OccAlly,w_MaxAllies) + Q14*w_Draw + R14*w_Move,2))</f>
      </c>
      <c r="X14" s="11">
        <f>IF(W14="","",ROUND(W14/MAX(D14,1),2))</f>
      </c>
      <c r="Y14" s="11">
        <f>IF($V14="No","",ROUND((curve_Base+curve_Slope*D14)*IFERROR(VLOOKUP(E14,rarity_Mult,2,FALSE),1),2))</f>
      </c>
      <c r="Z14" s="11">
        <f>IF(OR(W14="",Y14=""),"",ROUND(W14-Y14,2))</f>
      </c>
      <c r="AA14" s="0">
        <f>IF(Z14="","",IF($V14="Partial","RIDER",IF(ABS(Z14)&lt;=Y14*tol_Pct,"OK",IF(Z14&gt;0,"OVER","UNDER"))))</f>
      </c>
      <c r="AB14" s="0" t="s">
        <v>34</v>
      </c>
      <c r="AC14" s="0">
        <f>IF(AND($V14&lt;&gt;"No",$E14="Common",NOT(ISNUMBER(SEARCH("Ideas",$F14)))),$W14,NA())</f>
      </c>
      <c r="AD14" s="0">
        <f>IF(AND($V14&lt;&gt;"No",$E14="Uncommon",NOT(ISNUMBER(SEARCH("Ideas",$F14)))),$W14,NA())</f>
      </c>
      <c r="AE14" s="0">
        <f>IF(AND($V14&lt;&gt;"No",$E14="Rare",NOT(ISNUMBER(SEARCH("Ideas",$F14)))),$W14,NA())</f>
      </c>
      <c r="AF14" s="0">
        <f>IF(AND($V14&lt;&gt;"No",$E14="Legendary",NOT(ISNUMBER(SEARCH("Ideas",$F14)))),$W14,NA())</f>
      </c>
      <c r="AG14" s="0">
        <f>IF(AND($V14&lt;&gt;"No",ISNUMBER(SEARCH("Knight",$C14)),NOT(ISNUMBER(SEARCH("Ideas",$F14)))),$X14,NA())</f>
      </c>
      <c r="AH14" s="0">
        <f>IF(AND($V14&lt;&gt;"No",ISNUMBER(SEARCH("Mage",$C14)),NOT(ISNUMBER(SEARCH("Ideas",$F14)))),$X14,NA())</f>
      </c>
      <c r="AI14" s="0">
        <f>IF(AND($V14&lt;&gt;"No",ISNUMBER(SEARCH("Rogue",$C14)),NOT(ISNUMBER(SEARCH("Ideas",$F14)))),$X14,NA())</f>
      </c>
      <c r="AJ14" s="0">
        <f>IF($V14&lt;&gt;"No",$Y14,NA())</f>
      </c>
      <c r="AK14" s="0">
        <f>IF(AND($V14&lt;&gt;"No",ISNUMBER(SEARCH("Ideas",$F14))),$W14,NA())</f>
      </c>
      <c r="AL14" s="0">
        <f>IF(AND($V14&lt;&gt;"No",ISNUMBER(SEARCH("Cleric",$C14)),NOT(ISNUMBER(SEARCH("Ideas",$F14)))),$X14,NA())</f>
      </c>
    </row>
    <row r="15">
      <c r="A15" s="0" t="s">
        <v>63</v>
      </c>
      <c r="B15" s="0" t="s">
        <v>63</v>
      </c>
      <c r="C15" s="0" t="s">
        <v>49</v>
      </c>
      <c r="D15" s="0">
        <v>1</v>
      </c>
      <c r="E15" s="0" t="s">
        <v>32</v>
      </c>
      <c r="F15" s="0" t="s">
        <v>49</v>
      </c>
      <c r="G15" s="0">
        <v>1</v>
      </c>
      <c r="H15" s="0">
        <v>1</v>
      </c>
      <c r="I15" s="0">
        <v>0</v>
      </c>
      <c r="J15" s="0">
        <v>0</v>
      </c>
      <c r="K15" s="0">
        <v>0</v>
      </c>
      <c r="L15" s="0">
        <v>0</v>
      </c>
      <c r="M15" s="0">
        <v>0</v>
      </c>
      <c r="N15" s="0">
        <v>0</v>
      </c>
      <c r="O15" s="0">
        <v>0</v>
      </c>
      <c r="P15" s="0">
        <v>0</v>
      </c>
      <c r="Q15" s="0">
        <v>0</v>
      </c>
      <c r="R15" s="0">
        <v>0</v>
      </c>
      <c r="S15" s="0">
        <v>0</v>
      </c>
      <c r="T15" s="0" t="s">
        <v>34</v>
      </c>
      <c r="U15" s="0" t="s">
        <v>63</v>
      </c>
      <c r="V15" s="0" t="s">
        <v>1407</v>
      </c>
      <c r="W15" s="11">
        <f>IF($V15="No","",ROUND((I15*w_Damage + N15*w_Poison + P15*w_Weaken*w_Horizon)*MIN(1+(G15-1)*w_OccEnemy,w_MaxEnemies) + (J15*w_Heal + K15*w_Shield + L15*w_Block + M15*w_Parry + O15*w_Strength*w_Horizon + S15*w_Combo)*MIN(1+(H15-1)*w_OccAlly,w_MaxAllies) + Q15*w_Draw + R15*w_Move,2))</f>
      </c>
      <c r="X15" s="11">
        <f>IF(W15="","",ROUND(W15/MAX(D15,1),2))</f>
      </c>
      <c r="Y15" s="11">
        <f>IF($V15="No","",ROUND((curve_Base+curve_Slope*D15)*IFERROR(VLOOKUP(E15,rarity_Mult,2,FALSE),1),2))</f>
      </c>
      <c r="Z15" s="11">
        <f>IF(OR(W15="",Y15=""),"",ROUND(W15-Y15,2))</f>
      </c>
      <c r="AA15" s="0">
        <f>IF(Z15="","",IF($V15="Partial","RIDER",IF(ABS(Z15)&lt;=Y15*tol_Pct,"OK",IF(Z15&gt;0,"OVER","UNDER"))))</f>
      </c>
      <c r="AB15" s="0" t="s">
        <v>34</v>
      </c>
      <c r="AC15" s="0">
        <f>IF(AND($V15&lt;&gt;"No",$E15="Common",NOT(ISNUMBER(SEARCH("Ideas",$F15)))),$W15,NA())</f>
      </c>
      <c r="AD15" s="0">
        <f>IF(AND($V15&lt;&gt;"No",$E15="Uncommon",NOT(ISNUMBER(SEARCH("Ideas",$F15)))),$W15,NA())</f>
      </c>
      <c r="AE15" s="0">
        <f>IF(AND($V15&lt;&gt;"No",$E15="Rare",NOT(ISNUMBER(SEARCH("Ideas",$F15)))),$W15,NA())</f>
      </c>
      <c r="AF15" s="0">
        <f>IF(AND($V15&lt;&gt;"No",$E15="Legendary",NOT(ISNUMBER(SEARCH("Ideas",$F15)))),$W15,NA())</f>
      </c>
      <c r="AG15" s="0">
        <f>IF(AND($V15&lt;&gt;"No",ISNUMBER(SEARCH("Knight",$C15)),NOT(ISNUMBER(SEARCH("Ideas",$F15)))),$X15,NA())</f>
      </c>
      <c r="AH15" s="0">
        <f>IF(AND($V15&lt;&gt;"No",ISNUMBER(SEARCH("Mage",$C15)),NOT(ISNUMBER(SEARCH("Ideas",$F15)))),$X15,NA())</f>
      </c>
      <c r="AI15" s="0">
        <f>IF(AND($V15&lt;&gt;"No",ISNUMBER(SEARCH("Rogue",$C15)),NOT(ISNUMBER(SEARCH("Ideas",$F15)))),$X15,NA())</f>
      </c>
      <c r="AJ15" s="0">
        <f>IF($V15&lt;&gt;"No",$Y15,NA())</f>
      </c>
      <c r="AK15" s="0">
        <f>IF(AND($V15&lt;&gt;"No",ISNUMBER(SEARCH("Ideas",$F15))),$W15,NA())</f>
      </c>
      <c r="AL15" s="0">
        <f>IF(AND($V15&lt;&gt;"No",ISNUMBER(SEARCH("Cleric",$C15)),NOT(ISNUMBER(SEARCH("Ideas",$F15)))),$X15,NA())</f>
      </c>
    </row>
    <row r="16">
      <c r="A16" s="0" t="s">
        <v>104</v>
      </c>
      <c r="B16" s="0" t="s">
        <v>104</v>
      </c>
      <c r="C16" s="0" t="s">
        <v>49</v>
      </c>
      <c r="D16" s="0">
        <v>1</v>
      </c>
      <c r="E16" s="0" t="s">
        <v>32</v>
      </c>
      <c r="F16" s="0" t="s">
        <v>49</v>
      </c>
      <c r="G16" s="0">
        <v>1</v>
      </c>
      <c r="H16" s="0">
        <v>1</v>
      </c>
      <c r="I16" s="0">
        <v>0</v>
      </c>
      <c r="J16" s="0">
        <v>0</v>
      </c>
      <c r="K16" s="0">
        <v>0</v>
      </c>
      <c r="L16" s="0">
        <v>5</v>
      </c>
      <c r="M16" s="0">
        <v>0</v>
      </c>
      <c r="N16" s="0">
        <v>0</v>
      </c>
      <c r="O16" s="0">
        <v>0</v>
      </c>
      <c r="P16" s="0">
        <v>0</v>
      </c>
      <c r="Q16" s="0">
        <v>1</v>
      </c>
      <c r="R16" s="0">
        <v>0</v>
      </c>
      <c r="S16" s="0">
        <v>0</v>
      </c>
      <c r="T16" s="0" t="s">
        <v>34</v>
      </c>
      <c r="U16" s="0" t="s">
        <v>34</v>
      </c>
      <c r="V16" s="0" t="s">
        <v>882</v>
      </c>
      <c r="W16" s="11">
        <f>IF($V16="No","",ROUND((I16*w_Damage + N16*w_Poison + P16*w_Weaken*w_Horizon)*MIN(1+(G16-1)*w_OccEnemy,w_MaxEnemies) + (J16*w_Heal + K16*w_Shield + L16*w_Block + M16*w_Parry + O16*w_Strength*w_Horizon + S16*w_Combo)*MIN(1+(H16-1)*w_OccAlly,w_MaxAllies) + Q16*w_Draw + R16*w_Move,2))</f>
      </c>
      <c r="X16" s="11">
        <f>IF(W16="","",ROUND(W16/MAX(D16,1),2))</f>
      </c>
      <c r="Y16" s="11">
        <f>IF($V16="No","",ROUND((curve_Base+curve_Slope*D16)*IFERROR(VLOOKUP(E16,rarity_Mult,2,FALSE),1),2))</f>
      </c>
      <c r="Z16" s="11">
        <f>IF(OR(W16="",Y16=""),"",ROUND(W16-Y16,2))</f>
      </c>
      <c r="AA16" s="0">
        <f>IF(Z16="","",IF($V16="Partial","RIDER",IF(ABS(Z16)&lt;=Y16*tol_Pct,"OK",IF(Z16&gt;0,"OVER","UNDER"))))</f>
      </c>
      <c r="AB16" s="0" t="s">
        <v>34</v>
      </c>
      <c r="AC16" s="0">
        <f>IF(AND($V16&lt;&gt;"No",$E16="Common",NOT(ISNUMBER(SEARCH("Ideas",$F16)))),$W16,NA())</f>
      </c>
      <c r="AD16" s="0">
        <f>IF(AND($V16&lt;&gt;"No",$E16="Uncommon",NOT(ISNUMBER(SEARCH("Ideas",$F16)))),$W16,NA())</f>
      </c>
      <c r="AE16" s="0">
        <f>IF(AND($V16&lt;&gt;"No",$E16="Rare",NOT(ISNUMBER(SEARCH("Ideas",$F16)))),$W16,NA())</f>
      </c>
      <c r="AF16" s="0">
        <f>IF(AND($V16&lt;&gt;"No",$E16="Legendary",NOT(ISNUMBER(SEARCH("Ideas",$F16)))),$W16,NA())</f>
      </c>
      <c r="AG16" s="0">
        <f>IF(AND($V16&lt;&gt;"No",ISNUMBER(SEARCH("Knight",$C16)),NOT(ISNUMBER(SEARCH("Ideas",$F16)))),$X16,NA())</f>
      </c>
      <c r="AH16" s="0">
        <f>IF(AND($V16&lt;&gt;"No",ISNUMBER(SEARCH("Mage",$C16)),NOT(ISNUMBER(SEARCH("Ideas",$F16)))),$X16,NA())</f>
      </c>
      <c r="AI16" s="0">
        <f>IF(AND($V16&lt;&gt;"No",ISNUMBER(SEARCH("Rogue",$C16)),NOT(ISNUMBER(SEARCH("Ideas",$F16)))),$X16,NA())</f>
      </c>
      <c r="AJ16" s="0">
        <f>IF($V16&lt;&gt;"No",$Y16,NA())</f>
      </c>
      <c r="AK16" s="0">
        <f>IF(AND($V16&lt;&gt;"No",ISNUMBER(SEARCH("Ideas",$F16))),$W16,NA())</f>
      </c>
      <c r="AL16" s="0">
        <f>IF(AND($V16&lt;&gt;"No",ISNUMBER(SEARCH("Cleric",$C16)),NOT(ISNUMBER(SEARCH("Ideas",$F16)))),$X16,NA())</f>
      </c>
    </row>
    <row r="17">
      <c r="A17" s="0" t="s">
        <v>107</v>
      </c>
      <c r="B17" s="0" t="s">
        <v>107</v>
      </c>
      <c r="C17" s="0" t="s">
        <v>49</v>
      </c>
      <c r="D17" s="0">
        <v>1</v>
      </c>
      <c r="E17" s="0" t="s">
        <v>32</v>
      </c>
      <c r="F17" s="0" t="s">
        <v>49</v>
      </c>
      <c r="G17" s="0">
        <v>1</v>
      </c>
      <c r="H17" s="0">
        <v>1</v>
      </c>
      <c r="I17" s="0">
        <v>0</v>
      </c>
      <c r="J17" s="0">
        <v>0</v>
      </c>
      <c r="K17" s="0">
        <v>11</v>
      </c>
      <c r="L17" s="0">
        <v>0</v>
      </c>
      <c r="M17" s="0">
        <v>0</v>
      </c>
      <c r="N17" s="0">
        <v>0</v>
      </c>
      <c r="O17" s="0">
        <v>0</v>
      </c>
      <c r="P17" s="0">
        <v>0</v>
      </c>
      <c r="Q17" s="0">
        <v>0</v>
      </c>
      <c r="R17" s="0">
        <v>0</v>
      </c>
      <c r="S17" s="0">
        <v>0</v>
      </c>
      <c r="T17" s="0" t="s">
        <v>34</v>
      </c>
      <c r="U17" s="0" t="s">
        <v>34</v>
      </c>
      <c r="V17" s="0" t="s">
        <v>882</v>
      </c>
      <c r="W17" s="11">
        <f>IF($V17="No","",ROUND((I17*w_Damage + N17*w_Poison + P17*w_Weaken*w_Horizon)*MIN(1+(G17-1)*w_OccEnemy,w_MaxEnemies) + (J17*w_Heal + K17*w_Shield + L17*w_Block + M17*w_Parry + O17*w_Strength*w_Horizon + S17*w_Combo)*MIN(1+(H17-1)*w_OccAlly,w_MaxAllies) + Q17*w_Draw + R17*w_Move,2))</f>
      </c>
      <c r="X17" s="11">
        <f>IF(W17="","",ROUND(W17/MAX(D17,1),2))</f>
      </c>
      <c r="Y17" s="11">
        <f>IF($V17="No","",ROUND((curve_Base+curve_Slope*D17)*IFERROR(VLOOKUP(E17,rarity_Mult,2,FALSE),1),2))</f>
      </c>
      <c r="Z17" s="11">
        <f>IF(OR(W17="",Y17=""),"",ROUND(W17-Y17,2))</f>
      </c>
      <c r="AA17" s="0">
        <f>IF(Z17="","",IF($V17="Partial","RIDER",IF(ABS(Z17)&lt;=Y17*tol_Pct,"OK",IF(Z17&gt;0,"OVER","UNDER"))))</f>
      </c>
      <c r="AB17" s="0" t="s">
        <v>34</v>
      </c>
      <c r="AC17" s="0">
        <f>IF(AND($V17&lt;&gt;"No",$E17="Common",NOT(ISNUMBER(SEARCH("Ideas",$F17)))),$W17,NA())</f>
      </c>
      <c r="AD17" s="0">
        <f>IF(AND($V17&lt;&gt;"No",$E17="Uncommon",NOT(ISNUMBER(SEARCH("Ideas",$F17)))),$W17,NA())</f>
      </c>
      <c r="AE17" s="0">
        <f>IF(AND($V17&lt;&gt;"No",$E17="Rare",NOT(ISNUMBER(SEARCH("Ideas",$F17)))),$W17,NA())</f>
      </c>
      <c r="AF17" s="0">
        <f>IF(AND($V17&lt;&gt;"No",$E17="Legendary",NOT(ISNUMBER(SEARCH("Ideas",$F17)))),$W17,NA())</f>
      </c>
      <c r="AG17" s="0">
        <f>IF(AND($V17&lt;&gt;"No",ISNUMBER(SEARCH("Knight",$C17)),NOT(ISNUMBER(SEARCH("Ideas",$F17)))),$X17,NA())</f>
      </c>
      <c r="AH17" s="0">
        <f>IF(AND($V17&lt;&gt;"No",ISNUMBER(SEARCH("Mage",$C17)),NOT(ISNUMBER(SEARCH("Ideas",$F17)))),$X17,NA())</f>
      </c>
      <c r="AI17" s="0">
        <f>IF(AND($V17&lt;&gt;"No",ISNUMBER(SEARCH("Rogue",$C17)),NOT(ISNUMBER(SEARCH("Ideas",$F17)))),$X17,NA())</f>
      </c>
      <c r="AJ17" s="0">
        <f>IF($V17&lt;&gt;"No",$Y17,NA())</f>
      </c>
      <c r="AK17" s="0">
        <f>IF(AND($V17&lt;&gt;"No",ISNUMBER(SEARCH("Ideas",$F17))),$W17,NA())</f>
      </c>
      <c r="AL17" s="0">
        <f>IF(AND($V17&lt;&gt;"No",ISNUMBER(SEARCH("Cleric",$C17)),NOT(ISNUMBER(SEARCH("Ideas",$F17)))),$X17,NA())</f>
      </c>
    </row>
    <row r="18">
      <c r="A18" s="0" t="s">
        <v>111</v>
      </c>
      <c r="B18" s="0" t="s">
        <v>111</v>
      </c>
      <c r="C18" s="0" t="s">
        <v>49</v>
      </c>
      <c r="D18" s="0">
        <v>2</v>
      </c>
      <c r="E18" s="0" t="s">
        <v>32</v>
      </c>
      <c r="F18" s="0" t="s">
        <v>49</v>
      </c>
      <c r="G18" s="0">
        <v>1</v>
      </c>
      <c r="H18" s="0">
        <v>13</v>
      </c>
      <c r="I18" s="0">
        <v>0</v>
      </c>
      <c r="J18" s="0">
        <v>0</v>
      </c>
      <c r="K18" s="0">
        <v>5</v>
      </c>
      <c r="L18" s="0">
        <v>0</v>
      </c>
      <c r="M18" s="0">
        <v>0</v>
      </c>
      <c r="N18" s="0">
        <v>0</v>
      </c>
      <c r="O18" s="0">
        <v>0</v>
      </c>
      <c r="P18" s="0">
        <v>0</v>
      </c>
      <c r="Q18" s="0">
        <v>0</v>
      </c>
      <c r="R18" s="0">
        <v>0</v>
      </c>
      <c r="S18" s="0">
        <v>0</v>
      </c>
      <c r="T18" s="0" t="s">
        <v>34</v>
      </c>
      <c r="U18" s="0" t="s">
        <v>34</v>
      </c>
      <c r="V18" s="0" t="s">
        <v>882</v>
      </c>
      <c r="W18" s="11">
        <f>IF($V18="No","",ROUND((I18*w_Damage + N18*w_Poison + P18*w_Weaken*w_Horizon)*MIN(1+(G18-1)*w_OccEnemy,w_MaxEnemies) + (J18*w_Heal + K18*w_Shield + L18*w_Block + M18*w_Parry + O18*w_Strength*w_Horizon + S18*w_Combo)*MIN(1+(H18-1)*w_OccAlly,w_MaxAllies) + Q18*w_Draw + R18*w_Move,2))</f>
      </c>
      <c r="X18" s="11">
        <f>IF(W18="","",ROUND(W18/MAX(D18,1),2))</f>
      </c>
      <c r="Y18" s="11">
        <f>IF($V18="No","",ROUND((curve_Base+curve_Slope*D18)*IFERROR(VLOOKUP(E18,rarity_Mult,2,FALSE),1),2))</f>
      </c>
      <c r="Z18" s="11">
        <f>IF(OR(W18="",Y18=""),"",ROUND(W18-Y18,2))</f>
      </c>
      <c r="AA18" s="0">
        <f>IF(Z18="","",IF($V18="Partial","RIDER",IF(ABS(Z18)&lt;=Y18*tol_Pct,"OK",IF(Z18&gt;0,"OVER","UNDER"))))</f>
      </c>
      <c r="AB18" s="0" t="s">
        <v>34</v>
      </c>
      <c r="AC18" s="0">
        <f>IF(AND($V18&lt;&gt;"No",$E18="Common",NOT(ISNUMBER(SEARCH("Ideas",$F18)))),$W18,NA())</f>
      </c>
      <c r="AD18" s="0">
        <f>IF(AND($V18&lt;&gt;"No",$E18="Uncommon",NOT(ISNUMBER(SEARCH("Ideas",$F18)))),$W18,NA())</f>
      </c>
      <c r="AE18" s="0">
        <f>IF(AND($V18&lt;&gt;"No",$E18="Rare",NOT(ISNUMBER(SEARCH("Ideas",$F18)))),$W18,NA())</f>
      </c>
      <c r="AF18" s="0">
        <f>IF(AND($V18&lt;&gt;"No",$E18="Legendary",NOT(ISNUMBER(SEARCH("Ideas",$F18)))),$W18,NA())</f>
      </c>
      <c r="AG18" s="0">
        <f>IF(AND($V18&lt;&gt;"No",ISNUMBER(SEARCH("Knight",$C18)),NOT(ISNUMBER(SEARCH("Ideas",$F18)))),$X18,NA())</f>
      </c>
      <c r="AH18" s="0">
        <f>IF(AND($V18&lt;&gt;"No",ISNUMBER(SEARCH("Mage",$C18)),NOT(ISNUMBER(SEARCH("Ideas",$F18)))),$X18,NA())</f>
      </c>
      <c r="AI18" s="0">
        <f>IF(AND($V18&lt;&gt;"No",ISNUMBER(SEARCH("Rogue",$C18)),NOT(ISNUMBER(SEARCH("Ideas",$F18)))),$X18,NA())</f>
      </c>
      <c r="AJ18" s="0">
        <f>IF($V18&lt;&gt;"No",$Y18,NA())</f>
      </c>
      <c r="AK18" s="0">
        <f>IF(AND($V18&lt;&gt;"No",ISNUMBER(SEARCH("Ideas",$F18))),$W18,NA())</f>
      </c>
      <c r="AL18" s="0">
        <f>IF(AND($V18&lt;&gt;"No",ISNUMBER(SEARCH("Cleric",$C18)),NOT(ISNUMBER(SEARCH("Ideas",$F18)))),$X18,NA())</f>
      </c>
    </row>
    <row r="19">
      <c r="A19" s="0" t="s">
        <v>114</v>
      </c>
      <c r="B19" s="0" t="s">
        <v>114</v>
      </c>
      <c r="C19" s="0" t="s">
        <v>49</v>
      </c>
      <c r="D19" s="0">
        <v>2</v>
      </c>
      <c r="E19" s="0" t="s">
        <v>62</v>
      </c>
      <c r="F19" s="0" t="s">
        <v>49</v>
      </c>
      <c r="G19" s="0">
        <v>1</v>
      </c>
      <c r="H19" s="0">
        <v>9</v>
      </c>
      <c r="I19" s="0">
        <v>0</v>
      </c>
      <c r="J19" s="0">
        <v>0</v>
      </c>
      <c r="K19" s="0">
        <v>12</v>
      </c>
      <c r="L19" s="0">
        <v>0</v>
      </c>
      <c r="M19" s="0">
        <v>0</v>
      </c>
      <c r="N19" s="0">
        <v>0</v>
      </c>
      <c r="O19" s="0">
        <v>0</v>
      </c>
      <c r="P19" s="0">
        <v>0</v>
      </c>
      <c r="Q19" s="0">
        <v>1</v>
      </c>
      <c r="R19" s="0">
        <v>0</v>
      </c>
      <c r="S19" s="0">
        <v>0</v>
      </c>
      <c r="T19" s="0" t="s">
        <v>34</v>
      </c>
      <c r="U19" s="0" t="s">
        <v>34</v>
      </c>
      <c r="V19" s="0" t="s">
        <v>882</v>
      </c>
      <c r="W19" s="11">
        <f>IF($V19="No","",ROUND((I19*w_Damage + N19*w_Poison + P19*w_Weaken*w_Horizon)*MIN(1+(G19-1)*w_OccEnemy,w_MaxEnemies) + (J19*w_Heal + K19*w_Shield + L19*w_Block + M19*w_Parry + O19*w_Strength*w_Horizon + S19*w_Combo)*MIN(1+(H19-1)*w_OccAlly,w_MaxAllies) + Q19*w_Draw + R19*w_Move,2))</f>
      </c>
      <c r="X19" s="11">
        <f>IF(W19="","",ROUND(W19/MAX(D19,1),2))</f>
      </c>
      <c r="Y19" s="11">
        <f>IF($V19="No","",ROUND((curve_Base+curve_Slope*D19)*IFERROR(VLOOKUP(E19,rarity_Mult,2,FALSE),1),2))</f>
      </c>
      <c r="Z19" s="11">
        <f>IF(OR(W19="",Y19=""),"",ROUND(W19-Y19,2))</f>
      </c>
      <c r="AA19" s="0">
        <f>IF(Z19="","",IF($V19="Partial","RIDER",IF(ABS(Z19)&lt;=Y19*tol_Pct,"OK",IF(Z19&gt;0,"OVER","UNDER"))))</f>
      </c>
      <c r="AB19" s="0" t="s">
        <v>34</v>
      </c>
      <c r="AC19" s="0">
        <f>IF(AND($V19&lt;&gt;"No",$E19="Common",NOT(ISNUMBER(SEARCH("Ideas",$F19)))),$W19,NA())</f>
      </c>
      <c r="AD19" s="0">
        <f>IF(AND($V19&lt;&gt;"No",$E19="Uncommon",NOT(ISNUMBER(SEARCH("Ideas",$F19)))),$W19,NA())</f>
      </c>
      <c r="AE19" s="0">
        <f>IF(AND($V19&lt;&gt;"No",$E19="Rare",NOT(ISNUMBER(SEARCH("Ideas",$F19)))),$W19,NA())</f>
      </c>
      <c r="AF19" s="0">
        <f>IF(AND($V19&lt;&gt;"No",$E19="Legendary",NOT(ISNUMBER(SEARCH("Ideas",$F19)))),$W19,NA())</f>
      </c>
      <c r="AG19" s="0">
        <f>IF(AND($V19&lt;&gt;"No",ISNUMBER(SEARCH("Knight",$C19)),NOT(ISNUMBER(SEARCH("Ideas",$F19)))),$X19,NA())</f>
      </c>
      <c r="AH19" s="0">
        <f>IF(AND($V19&lt;&gt;"No",ISNUMBER(SEARCH("Mage",$C19)),NOT(ISNUMBER(SEARCH("Ideas",$F19)))),$X19,NA())</f>
      </c>
      <c r="AI19" s="0">
        <f>IF(AND($V19&lt;&gt;"No",ISNUMBER(SEARCH("Rogue",$C19)),NOT(ISNUMBER(SEARCH("Ideas",$F19)))),$X19,NA())</f>
      </c>
      <c r="AJ19" s="0">
        <f>IF($V19&lt;&gt;"No",$Y19,NA())</f>
      </c>
      <c r="AK19" s="0">
        <f>IF(AND($V19&lt;&gt;"No",ISNUMBER(SEARCH("Ideas",$F19))),$W19,NA())</f>
      </c>
      <c r="AL19" s="0">
        <f>IF(AND($V19&lt;&gt;"No",ISNUMBER(SEARCH("Cleric",$C19)),NOT(ISNUMBER(SEARCH("Ideas",$F19)))),$X19,NA())</f>
      </c>
    </row>
    <row r="20">
      <c r="A20" s="0" t="s">
        <v>118</v>
      </c>
      <c r="B20" s="0" t="s">
        <v>118</v>
      </c>
      <c r="C20" s="0" t="s">
        <v>49</v>
      </c>
      <c r="D20" s="0">
        <v>2</v>
      </c>
      <c r="E20" s="0" t="s">
        <v>62</v>
      </c>
      <c r="F20" s="0" t="s">
        <v>49</v>
      </c>
      <c r="G20" s="0">
        <v>1</v>
      </c>
      <c r="H20" s="0">
        <v>13</v>
      </c>
      <c r="I20" s="0">
        <v>0</v>
      </c>
      <c r="J20" s="0">
        <v>0</v>
      </c>
      <c r="K20" s="0">
        <v>6</v>
      </c>
      <c r="L20" s="0">
        <v>0</v>
      </c>
      <c r="M20" s="0">
        <v>0</v>
      </c>
      <c r="N20" s="0">
        <v>0</v>
      </c>
      <c r="O20" s="0">
        <v>0</v>
      </c>
      <c r="P20" s="0">
        <v>0</v>
      </c>
      <c r="Q20" s="0">
        <v>1</v>
      </c>
      <c r="R20" s="0">
        <v>0</v>
      </c>
      <c r="S20" s="0">
        <v>0</v>
      </c>
      <c r="T20" s="0" t="s">
        <v>34</v>
      </c>
      <c r="U20" s="0" t="s">
        <v>34</v>
      </c>
      <c r="V20" s="0" t="s">
        <v>882</v>
      </c>
      <c r="W20" s="11">
        <f>IF($V20="No","",ROUND((I20*w_Damage + N20*w_Poison + P20*w_Weaken*w_Horizon)*MIN(1+(G20-1)*w_OccEnemy,w_MaxEnemies) + (J20*w_Heal + K20*w_Shield + L20*w_Block + M20*w_Parry + O20*w_Strength*w_Horizon + S20*w_Combo)*MIN(1+(H20-1)*w_OccAlly,w_MaxAllies) + Q20*w_Draw + R20*w_Move,2))</f>
      </c>
      <c r="X20" s="11">
        <f>IF(W20="","",ROUND(W20/MAX(D20,1),2))</f>
      </c>
      <c r="Y20" s="11">
        <f>IF($V20="No","",ROUND((curve_Base+curve_Slope*D20)*IFERROR(VLOOKUP(E20,rarity_Mult,2,FALSE),1),2))</f>
      </c>
      <c r="Z20" s="11">
        <f>IF(OR(W20="",Y20=""),"",ROUND(W20-Y20,2))</f>
      </c>
      <c r="AA20" s="0">
        <f>IF(Z20="","",IF($V20="Partial","RIDER",IF(ABS(Z20)&lt;=Y20*tol_Pct,"OK",IF(Z20&gt;0,"OVER","UNDER"))))</f>
      </c>
      <c r="AB20" s="0" t="s">
        <v>34</v>
      </c>
      <c r="AC20" s="0">
        <f>IF(AND($V20&lt;&gt;"No",$E20="Common",NOT(ISNUMBER(SEARCH("Ideas",$F20)))),$W20,NA())</f>
      </c>
      <c r="AD20" s="0">
        <f>IF(AND($V20&lt;&gt;"No",$E20="Uncommon",NOT(ISNUMBER(SEARCH("Ideas",$F20)))),$W20,NA())</f>
      </c>
      <c r="AE20" s="0">
        <f>IF(AND($V20&lt;&gt;"No",$E20="Rare",NOT(ISNUMBER(SEARCH("Ideas",$F20)))),$W20,NA())</f>
      </c>
      <c r="AF20" s="0">
        <f>IF(AND($V20&lt;&gt;"No",$E20="Legendary",NOT(ISNUMBER(SEARCH("Ideas",$F20)))),$W20,NA())</f>
      </c>
      <c r="AG20" s="0">
        <f>IF(AND($V20&lt;&gt;"No",ISNUMBER(SEARCH("Knight",$C20)),NOT(ISNUMBER(SEARCH("Ideas",$F20)))),$X20,NA())</f>
      </c>
      <c r="AH20" s="0">
        <f>IF(AND($V20&lt;&gt;"No",ISNUMBER(SEARCH("Mage",$C20)),NOT(ISNUMBER(SEARCH("Ideas",$F20)))),$X20,NA())</f>
      </c>
      <c r="AI20" s="0">
        <f>IF(AND($V20&lt;&gt;"No",ISNUMBER(SEARCH("Rogue",$C20)),NOT(ISNUMBER(SEARCH("Ideas",$F20)))),$X20,NA())</f>
      </c>
      <c r="AJ20" s="0">
        <f>IF($V20&lt;&gt;"No",$Y20,NA())</f>
      </c>
      <c r="AK20" s="0">
        <f>IF(AND($V20&lt;&gt;"No",ISNUMBER(SEARCH("Ideas",$F20))),$W20,NA())</f>
      </c>
      <c r="AL20" s="0">
        <f>IF(AND($V20&lt;&gt;"No",ISNUMBER(SEARCH("Cleric",$C20)),NOT(ISNUMBER(SEARCH("Ideas",$F20)))),$X20,NA())</f>
      </c>
    </row>
    <row r="21">
      <c r="A21" s="0" t="s">
        <v>121</v>
      </c>
      <c r="B21" s="0" t="s">
        <v>121</v>
      </c>
      <c r="C21" s="0" t="s">
        <v>49</v>
      </c>
      <c r="D21" s="0">
        <v>1</v>
      </c>
      <c r="E21" s="0" t="s">
        <v>32</v>
      </c>
      <c r="F21" s="0" t="s">
        <v>49</v>
      </c>
      <c r="G21" s="0">
        <v>1</v>
      </c>
      <c r="H21" s="0">
        <v>1</v>
      </c>
      <c r="I21" s="0">
        <v>0</v>
      </c>
      <c r="J21" s="0">
        <v>0</v>
      </c>
      <c r="K21" s="0">
        <v>0</v>
      </c>
      <c r="L21" s="0">
        <v>0</v>
      </c>
      <c r="M21" s="0">
        <v>0</v>
      </c>
      <c r="N21" s="0">
        <v>0</v>
      </c>
      <c r="O21" s="0">
        <v>3</v>
      </c>
      <c r="P21" s="0">
        <v>0</v>
      </c>
      <c r="Q21" s="0">
        <v>0</v>
      </c>
      <c r="R21" s="0">
        <v>0</v>
      </c>
      <c r="S21" s="0">
        <v>0</v>
      </c>
      <c r="T21" s="0" t="s">
        <v>34</v>
      </c>
      <c r="U21" s="0" t="s">
        <v>34</v>
      </c>
      <c r="V21" s="0" t="s">
        <v>882</v>
      </c>
      <c r="W21" s="11">
        <f>IF($V21="No","",ROUND((I21*w_Damage + N21*w_Poison + P21*w_Weaken*w_Horizon)*MIN(1+(G21-1)*w_OccEnemy,w_MaxEnemies) + (J21*w_Heal + K21*w_Shield + L21*w_Block + M21*w_Parry + O21*w_Strength*w_Horizon + S21*w_Combo)*MIN(1+(H21-1)*w_OccAlly,w_MaxAllies) + Q21*w_Draw + R21*w_Move,2))</f>
      </c>
      <c r="X21" s="11">
        <f>IF(W21="","",ROUND(W21/MAX(D21,1),2))</f>
      </c>
      <c r="Y21" s="11">
        <f>IF($V21="No","",ROUND((curve_Base+curve_Slope*D21)*IFERROR(VLOOKUP(E21,rarity_Mult,2,FALSE),1),2))</f>
      </c>
      <c r="Z21" s="11">
        <f>IF(OR(W21="",Y21=""),"",ROUND(W21-Y21,2))</f>
      </c>
      <c r="AA21" s="0">
        <f>IF(Z21="","",IF($V21="Partial","RIDER",IF(ABS(Z21)&lt;=Y21*tol_Pct,"OK",IF(Z21&gt;0,"OVER","UNDER"))))</f>
      </c>
      <c r="AB21" s="0" t="s">
        <v>34</v>
      </c>
      <c r="AC21" s="0">
        <f>IF(AND($V21&lt;&gt;"No",$E21="Common",NOT(ISNUMBER(SEARCH("Ideas",$F21)))),$W21,NA())</f>
      </c>
      <c r="AD21" s="0">
        <f>IF(AND($V21&lt;&gt;"No",$E21="Uncommon",NOT(ISNUMBER(SEARCH("Ideas",$F21)))),$W21,NA())</f>
      </c>
      <c r="AE21" s="0">
        <f>IF(AND($V21&lt;&gt;"No",$E21="Rare",NOT(ISNUMBER(SEARCH("Ideas",$F21)))),$W21,NA())</f>
      </c>
      <c r="AF21" s="0">
        <f>IF(AND($V21&lt;&gt;"No",$E21="Legendary",NOT(ISNUMBER(SEARCH("Ideas",$F21)))),$W21,NA())</f>
      </c>
      <c r="AG21" s="0">
        <f>IF(AND($V21&lt;&gt;"No",ISNUMBER(SEARCH("Knight",$C21)),NOT(ISNUMBER(SEARCH("Ideas",$F21)))),$X21,NA())</f>
      </c>
      <c r="AH21" s="0">
        <f>IF(AND($V21&lt;&gt;"No",ISNUMBER(SEARCH("Mage",$C21)),NOT(ISNUMBER(SEARCH("Ideas",$F21)))),$X21,NA())</f>
      </c>
      <c r="AI21" s="0">
        <f>IF(AND($V21&lt;&gt;"No",ISNUMBER(SEARCH("Rogue",$C21)),NOT(ISNUMBER(SEARCH("Ideas",$F21)))),$X21,NA())</f>
      </c>
      <c r="AJ21" s="0">
        <f>IF($V21&lt;&gt;"No",$Y21,NA())</f>
      </c>
      <c r="AK21" s="0">
        <f>IF(AND($V21&lt;&gt;"No",ISNUMBER(SEARCH("Ideas",$F21))),$W21,NA())</f>
      </c>
      <c r="AL21" s="0">
        <f>IF(AND($V21&lt;&gt;"No",ISNUMBER(SEARCH("Cleric",$C21)),NOT(ISNUMBER(SEARCH("Ideas",$F21)))),$X21,NA())</f>
      </c>
    </row>
    <row r="22">
      <c r="A22" s="0" t="s">
        <v>126</v>
      </c>
      <c r="B22" s="0" t="s">
        <v>126</v>
      </c>
      <c r="C22" s="0" t="s">
        <v>49</v>
      </c>
      <c r="D22" s="0">
        <v>2</v>
      </c>
      <c r="E22" s="0" t="s">
        <v>32</v>
      </c>
      <c r="F22" s="0" t="s">
        <v>49</v>
      </c>
      <c r="G22" s="0">
        <v>1</v>
      </c>
      <c r="H22" s="0">
        <v>1</v>
      </c>
      <c r="I22" s="0">
        <v>0</v>
      </c>
      <c r="J22" s="0">
        <v>0</v>
      </c>
      <c r="K22" s="0">
        <v>0</v>
      </c>
      <c r="L22" s="0">
        <v>0</v>
      </c>
      <c r="M22" s="0">
        <v>0</v>
      </c>
      <c r="N22" s="0">
        <v>0</v>
      </c>
      <c r="O22" s="0">
        <v>0</v>
      </c>
      <c r="P22" s="0">
        <v>0</v>
      </c>
      <c r="Q22" s="0">
        <v>0</v>
      </c>
      <c r="R22" s="0">
        <v>0</v>
      </c>
      <c r="S22" s="0">
        <v>1</v>
      </c>
      <c r="T22" s="0" t="s">
        <v>34</v>
      </c>
      <c r="U22" s="0" t="s">
        <v>34</v>
      </c>
      <c r="V22" s="0" t="s">
        <v>882</v>
      </c>
      <c r="W22" s="11">
        <f>IF($V22="No","",ROUND((I22*w_Damage + N22*w_Poison + P22*w_Weaken*w_Horizon)*MIN(1+(G22-1)*w_OccEnemy,w_MaxEnemies) + (J22*w_Heal + K22*w_Shield + L22*w_Block + M22*w_Parry + O22*w_Strength*w_Horizon + S22*w_Combo)*MIN(1+(H22-1)*w_OccAlly,w_MaxAllies) + Q22*w_Draw + R22*w_Move,2))</f>
      </c>
      <c r="X22" s="11">
        <f>IF(W22="","",ROUND(W22/MAX(D22,1),2))</f>
      </c>
      <c r="Y22" s="11">
        <f>IF($V22="No","",ROUND((curve_Base+curve_Slope*D22)*IFERROR(VLOOKUP(E22,rarity_Mult,2,FALSE),1),2))</f>
      </c>
      <c r="Z22" s="11">
        <f>IF(OR(W22="",Y22=""),"",ROUND(W22-Y22,2))</f>
      </c>
      <c r="AA22" s="0">
        <f>IF(Z22="","",IF($V22="Partial","RIDER",IF(ABS(Z22)&lt;=Y22*tol_Pct,"OK",IF(Z22&gt;0,"OVER","UNDER"))))</f>
      </c>
      <c r="AB22" s="0" t="s">
        <v>34</v>
      </c>
      <c r="AC22" s="0">
        <f>IF(AND($V22&lt;&gt;"No",$E22="Common",NOT(ISNUMBER(SEARCH("Ideas",$F22)))),$W22,NA())</f>
      </c>
      <c r="AD22" s="0">
        <f>IF(AND($V22&lt;&gt;"No",$E22="Uncommon",NOT(ISNUMBER(SEARCH("Ideas",$F22)))),$W22,NA())</f>
      </c>
      <c r="AE22" s="0">
        <f>IF(AND($V22&lt;&gt;"No",$E22="Rare",NOT(ISNUMBER(SEARCH("Ideas",$F22)))),$W22,NA())</f>
      </c>
      <c r="AF22" s="0">
        <f>IF(AND($V22&lt;&gt;"No",$E22="Legendary",NOT(ISNUMBER(SEARCH("Ideas",$F22)))),$W22,NA())</f>
      </c>
      <c r="AG22" s="0">
        <f>IF(AND($V22&lt;&gt;"No",ISNUMBER(SEARCH("Knight",$C22)),NOT(ISNUMBER(SEARCH("Ideas",$F22)))),$X22,NA())</f>
      </c>
      <c r="AH22" s="0">
        <f>IF(AND($V22&lt;&gt;"No",ISNUMBER(SEARCH("Mage",$C22)),NOT(ISNUMBER(SEARCH("Ideas",$F22)))),$X22,NA())</f>
      </c>
      <c r="AI22" s="0">
        <f>IF(AND($V22&lt;&gt;"No",ISNUMBER(SEARCH("Rogue",$C22)),NOT(ISNUMBER(SEARCH("Ideas",$F22)))),$X22,NA())</f>
      </c>
      <c r="AJ22" s="0">
        <f>IF($V22&lt;&gt;"No",$Y22,NA())</f>
      </c>
      <c r="AK22" s="0">
        <f>IF(AND($V22&lt;&gt;"No",ISNUMBER(SEARCH("Ideas",$F22))),$W22,NA())</f>
      </c>
      <c r="AL22" s="0">
        <f>IF(AND($V22&lt;&gt;"No",ISNUMBER(SEARCH("Cleric",$C22)),NOT(ISNUMBER(SEARCH("Ideas",$F22)))),$X22,NA())</f>
      </c>
    </row>
    <row r="23">
      <c r="A23" s="0" t="s">
        <v>130</v>
      </c>
      <c r="B23" s="0" t="s">
        <v>130</v>
      </c>
      <c r="C23" s="0" t="s">
        <v>49</v>
      </c>
      <c r="D23" s="0">
        <v>1</v>
      </c>
      <c r="E23" s="0" t="s">
        <v>32</v>
      </c>
      <c r="F23" s="0" t="s">
        <v>49</v>
      </c>
      <c r="G23" s="0">
        <v>1</v>
      </c>
      <c r="H23" s="0">
        <v>1</v>
      </c>
      <c r="I23" s="0">
        <v>0</v>
      </c>
      <c r="J23" s="0">
        <v>5</v>
      </c>
      <c r="K23" s="0">
        <v>0</v>
      </c>
      <c r="L23" s="0">
        <v>0</v>
      </c>
      <c r="M23" s="0">
        <v>0</v>
      </c>
      <c r="N23" s="0">
        <v>0</v>
      </c>
      <c r="O23" s="0">
        <v>0</v>
      </c>
      <c r="P23" s="0">
        <v>0</v>
      </c>
      <c r="Q23" s="0">
        <v>0</v>
      </c>
      <c r="R23" s="0">
        <v>0</v>
      </c>
      <c r="S23" s="0">
        <v>0</v>
      </c>
      <c r="T23" s="0" t="s">
        <v>34</v>
      </c>
      <c r="U23" s="0" t="s">
        <v>34</v>
      </c>
      <c r="V23" s="0" t="s">
        <v>882</v>
      </c>
      <c r="W23" s="11">
        <f>IF($V23="No","",ROUND((I23*w_Damage + N23*w_Poison + P23*w_Weaken*w_Horizon)*MIN(1+(G23-1)*w_OccEnemy,w_MaxEnemies) + (J23*w_Heal + K23*w_Shield + L23*w_Block + M23*w_Parry + O23*w_Strength*w_Horizon + S23*w_Combo)*MIN(1+(H23-1)*w_OccAlly,w_MaxAllies) + Q23*w_Draw + R23*w_Move,2))</f>
      </c>
      <c r="X23" s="11">
        <f>IF(W23="","",ROUND(W23/MAX(D23,1),2))</f>
      </c>
      <c r="Y23" s="11">
        <f>IF($V23="No","",ROUND((curve_Base+curve_Slope*D23)*IFERROR(VLOOKUP(E23,rarity_Mult,2,FALSE),1),2))</f>
      </c>
      <c r="Z23" s="11">
        <f>IF(OR(W23="",Y23=""),"",ROUND(W23-Y23,2))</f>
      </c>
      <c r="AA23" s="0">
        <f>IF(Z23="","",IF($V23="Partial","RIDER",IF(ABS(Z23)&lt;=Y23*tol_Pct,"OK",IF(Z23&gt;0,"OVER","UNDER"))))</f>
      </c>
      <c r="AB23" s="0" t="s">
        <v>34</v>
      </c>
      <c r="AC23" s="0">
        <f>IF(AND($V23&lt;&gt;"No",$E23="Common",NOT(ISNUMBER(SEARCH("Ideas",$F23)))),$W23,NA())</f>
      </c>
      <c r="AD23" s="0">
        <f>IF(AND($V23&lt;&gt;"No",$E23="Uncommon",NOT(ISNUMBER(SEARCH("Ideas",$F23)))),$W23,NA())</f>
      </c>
      <c r="AE23" s="0">
        <f>IF(AND($V23&lt;&gt;"No",$E23="Rare",NOT(ISNUMBER(SEARCH("Ideas",$F23)))),$W23,NA())</f>
      </c>
      <c r="AF23" s="0">
        <f>IF(AND($V23&lt;&gt;"No",$E23="Legendary",NOT(ISNUMBER(SEARCH("Ideas",$F23)))),$W23,NA())</f>
      </c>
      <c r="AG23" s="0">
        <f>IF(AND($V23&lt;&gt;"No",ISNUMBER(SEARCH("Knight",$C23)),NOT(ISNUMBER(SEARCH("Ideas",$F23)))),$X23,NA())</f>
      </c>
      <c r="AH23" s="0">
        <f>IF(AND($V23&lt;&gt;"No",ISNUMBER(SEARCH("Mage",$C23)),NOT(ISNUMBER(SEARCH("Ideas",$F23)))),$X23,NA())</f>
      </c>
      <c r="AI23" s="0">
        <f>IF(AND($V23&lt;&gt;"No",ISNUMBER(SEARCH("Rogue",$C23)),NOT(ISNUMBER(SEARCH("Ideas",$F23)))),$X23,NA())</f>
      </c>
      <c r="AJ23" s="0">
        <f>IF($V23&lt;&gt;"No",$Y23,NA())</f>
      </c>
      <c r="AK23" s="0">
        <f>IF(AND($V23&lt;&gt;"No",ISNUMBER(SEARCH("Ideas",$F23))),$W23,NA())</f>
      </c>
      <c r="AL23" s="0">
        <f>IF(AND($V23&lt;&gt;"No",ISNUMBER(SEARCH("Cleric",$C23)),NOT(ISNUMBER(SEARCH("Ideas",$F23)))),$X23,NA())</f>
      </c>
    </row>
    <row r="24">
      <c r="A24" s="0" t="s">
        <v>135</v>
      </c>
      <c r="B24" s="0" t="s">
        <v>135</v>
      </c>
      <c r="C24" s="0" t="s">
        <v>49</v>
      </c>
      <c r="D24" s="0">
        <v>1</v>
      </c>
      <c r="E24" s="0" t="s">
        <v>32</v>
      </c>
      <c r="F24" s="0" t="s">
        <v>49</v>
      </c>
      <c r="G24" s="0">
        <v>1</v>
      </c>
      <c r="H24" s="0">
        <v>1</v>
      </c>
      <c r="I24" s="0">
        <v>5</v>
      </c>
      <c r="J24" s="0">
        <v>0</v>
      </c>
      <c r="K24" s="0">
        <v>5</v>
      </c>
      <c r="L24" s="0">
        <v>0</v>
      </c>
      <c r="M24" s="0">
        <v>0</v>
      </c>
      <c r="N24" s="0">
        <v>0</v>
      </c>
      <c r="O24" s="0">
        <v>0</v>
      </c>
      <c r="P24" s="0">
        <v>0</v>
      </c>
      <c r="Q24" s="0">
        <v>0</v>
      </c>
      <c r="R24" s="0">
        <v>0</v>
      </c>
      <c r="S24" s="0">
        <v>0</v>
      </c>
      <c r="T24" s="0" t="s">
        <v>34</v>
      </c>
      <c r="U24" s="0" t="s">
        <v>34</v>
      </c>
      <c r="V24" s="0" t="s">
        <v>882</v>
      </c>
      <c r="W24" s="11">
        <f>IF($V24="No","",ROUND((I24*w_Damage + N24*w_Poison + P24*w_Weaken*w_Horizon)*MIN(1+(G24-1)*w_OccEnemy,w_MaxEnemies) + (J24*w_Heal + K24*w_Shield + L24*w_Block + M24*w_Parry + O24*w_Strength*w_Horizon + S24*w_Combo)*MIN(1+(H24-1)*w_OccAlly,w_MaxAllies) + Q24*w_Draw + R24*w_Move,2))</f>
      </c>
      <c r="X24" s="11">
        <f>IF(W24="","",ROUND(W24/MAX(D24,1),2))</f>
      </c>
      <c r="Y24" s="11">
        <f>IF($V24="No","",ROUND((curve_Base+curve_Slope*D24)*IFERROR(VLOOKUP(E24,rarity_Mult,2,FALSE),1),2))</f>
      </c>
      <c r="Z24" s="11">
        <f>IF(OR(W24="",Y24=""),"",ROUND(W24-Y24,2))</f>
      </c>
      <c r="AA24" s="0">
        <f>IF(Z24="","",IF($V24="Partial","RIDER",IF(ABS(Z24)&lt;=Y24*tol_Pct,"OK",IF(Z24&gt;0,"OVER","UNDER"))))</f>
      </c>
      <c r="AB24" s="0" t="s">
        <v>34</v>
      </c>
      <c r="AC24" s="0">
        <f>IF(AND($V24&lt;&gt;"No",$E24="Common",NOT(ISNUMBER(SEARCH("Ideas",$F24)))),$W24,NA())</f>
      </c>
      <c r="AD24" s="0">
        <f>IF(AND($V24&lt;&gt;"No",$E24="Uncommon",NOT(ISNUMBER(SEARCH("Ideas",$F24)))),$W24,NA())</f>
      </c>
      <c r="AE24" s="0">
        <f>IF(AND($V24&lt;&gt;"No",$E24="Rare",NOT(ISNUMBER(SEARCH("Ideas",$F24)))),$W24,NA())</f>
      </c>
      <c r="AF24" s="0">
        <f>IF(AND($V24&lt;&gt;"No",$E24="Legendary",NOT(ISNUMBER(SEARCH("Ideas",$F24)))),$W24,NA())</f>
      </c>
      <c r="AG24" s="0">
        <f>IF(AND($V24&lt;&gt;"No",ISNUMBER(SEARCH("Knight",$C24)),NOT(ISNUMBER(SEARCH("Ideas",$F24)))),$X24,NA())</f>
      </c>
      <c r="AH24" s="0">
        <f>IF(AND($V24&lt;&gt;"No",ISNUMBER(SEARCH("Mage",$C24)),NOT(ISNUMBER(SEARCH("Ideas",$F24)))),$X24,NA())</f>
      </c>
      <c r="AI24" s="0">
        <f>IF(AND($V24&lt;&gt;"No",ISNUMBER(SEARCH("Rogue",$C24)),NOT(ISNUMBER(SEARCH("Ideas",$F24)))),$X24,NA())</f>
      </c>
      <c r="AJ24" s="0">
        <f>IF($V24&lt;&gt;"No",$Y24,NA())</f>
      </c>
      <c r="AK24" s="0">
        <f>IF(AND($V24&lt;&gt;"No",ISNUMBER(SEARCH("Ideas",$F24))),$W24,NA())</f>
      </c>
      <c r="AL24" s="0">
        <f>IF(AND($V24&lt;&gt;"No",ISNUMBER(SEARCH("Cleric",$C24)),NOT(ISNUMBER(SEARCH("Ideas",$F24)))),$X24,NA())</f>
      </c>
    </row>
    <row r="25">
      <c r="A25" s="0" t="s">
        <v>141</v>
      </c>
      <c r="B25" s="0" t="s">
        <v>141</v>
      </c>
      <c r="C25" s="0" t="s">
        <v>49</v>
      </c>
      <c r="D25" s="0">
        <v>1</v>
      </c>
      <c r="E25" s="0" t="s">
        <v>32</v>
      </c>
      <c r="F25" s="0" t="s">
        <v>49</v>
      </c>
      <c r="G25" s="0">
        <v>3</v>
      </c>
      <c r="H25" s="0">
        <v>1</v>
      </c>
      <c r="I25" s="0">
        <v>5</v>
      </c>
      <c r="J25" s="0">
        <v>0</v>
      </c>
      <c r="K25" s="0">
        <v>0</v>
      </c>
      <c r="L25" s="0">
        <v>0</v>
      </c>
      <c r="M25" s="0">
        <v>0</v>
      </c>
      <c r="N25" s="0">
        <v>0</v>
      </c>
      <c r="O25" s="0">
        <v>0</v>
      </c>
      <c r="P25" s="0">
        <v>0</v>
      </c>
      <c r="Q25" s="0">
        <v>0</v>
      </c>
      <c r="R25" s="0">
        <v>0</v>
      </c>
      <c r="S25" s="0">
        <v>0</v>
      </c>
      <c r="T25" s="0" t="s">
        <v>34</v>
      </c>
      <c r="U25" s="0" t="s">
        <v>34</v>
      </c>
      <c r="V25" s="0" t="s">
        <v>882</v>
      </c>
      <c r="W25" s="11">
        <f>IF($V25="No","",ROUND((I25*w_Damage + N25*w_Poison + P25*w_Weaken*w_Horizon)*MIN(1+(G25-1)*w_OccEnemy,w_MaxEnemies) + (J25*w_Heal + K25*w_Shield + L25*w_Block + M25*w_Parry + O25*w_Strength*w_Horizon + S25*w_Combo)*MIN(1+(H25-1)*w_OccAlly,w_MaxAllies) + Q25*w_Draw + R25*w_Move,2))</f>
      </c>
      <c r="X25" s="11">
        <f>IF(W25="","",ROUND(W25/MAX(D25,1),2))</f>
      </c>
      <c r="Y25" s="11">
        <f>IF($V25="No","",ROUND((curve_Base+curve_Slope*D25)*IFERROR(VLOOKUP(E25,rarity_Mult,2,FALSE),1),2))</f>
      </c>
      <c r="Z25" s="11">
        <f>IF(OR(W25="",Y25=""),"",ROUND(W25-Y25,2))</f>
      </c>
      <c r="AA25" s="0">
        <f>IF(Z25="","",IF($V25="Partial","RIDER",IF(ABS(Z25)&lt;=Y25*tol_Pct,"OK",IF(Z25&gt;0,"OVER","UNDER"))))</f>
      </c>
      <c r="AB25" s="0" t="s">
        <v>34</v>
      </c>
      <c r="AC25" s="0">
        <f>IF(AND($V25&lt;&gt;"No",$E25="Common",NOT(ISNUMBER(SEARCH("Ideas",$F25)))),$W25,NA())</f>
      </c>
      <c r="AD25" s="0">
        <f>IF(AND($V25&lt;&gt;"No",$E25="Uncommon",NOT(ISNUMBER(SEARCH("Ideas",$F25)))),$W25,NA())</f>
      </c>
      <c r="AE25" s="0">
        <f>IF(AND($V25&lt;&gt;"No",$E25="Rare",NOT(ISNUMBER(SEARCH("Ideas",$F25)))),$W25,NA())</f>
      </c>
      <c r="AF25" s="0">
        <f>IF(AND($V25&lt;&gt;"No",$E25="Legendary",NOT(ISNUMBER(SEARCH("Ideas",$F25)))),$W25,NA())</f>
      </c>
      <c r="AG25" s="0">
        <f>IF(AND($V25&lt;&gt;"No",ISNUMBER(SEARCH("Knight",$C25)),NOT(ISNUMBER(SEARCH("Ideas",$F25)))),$X25,NA())</f>
      </c>
      <c r="AH25" s="0">
        <f>IF(AND($V25&lt;&gt;"No",ISNUMBER(SEARCH("Mage",$C25)),NOT(ISNUMBER(SEARCH("Ideas",$F25)))),$X25,NA())</f>
      </c>
      <c r="AI25" s="0">
        <f>IF(AND($V25&lt;&gt;"No",ISNUMBER(SEARCH("Rogue",$C25)),NOT(ISNUMBER(SEARCH("Ideas",$F25)))),$X25,NA())</f>
      </c>
      <c r="AJ25" s="0">
        <f>IF($V25&lt;&gt;"No",$Y25,NA())</f>
      </c>
      <c r="AK25" s="0">
        <f>IF(AND($V25&lt;&gt;"No",ISNUMBER(SEARCH("Ideas",$F25))),$W25,NA())</f>
      </c>
      <c r="AL25" s="0">
        <f>IF(AND($V25&lt;&gt;"No",ISNUMBER(SEARCH("Cleric",$C25)),NOT(ISNUMBER(SEARCH("Ideas",$F25)))),$X25,NA())</f>
      </c>
    </row>
    <row r="26">
      <c r="A26" s="0" t="s">
        <v>146</v>
      </c>
      <c r="B26" s="0" t="s">
        <v>146</v>
      </c>
      <c r="C26" s="0" t="s">
        <v>49</v>
      </c>
      <c r="D26" s="0">
        <v>1</v>
      </c>
      <c r="E26" s="0" t="s">
        <v>32</v>
      </c>
      <c r="F26" s="0" t="s">
        <v>49</v>
      </c>
      <c r="G26" s="0">
        <v>1</v>
      </c>
      <c r="H26" s="0">
        <v>8</v>
      </c>
      <c r="I26" s="0">
        <v>9</v>
      </c>
      <c r="J26" s="0">
        <v>0</v>
      </c>
      <c r="K26" s="0">
        <v>5</v>
      </c>
      <c r="L26" s="0">
        <v>0</v>
      </c>
      <c r="M26" s="0">
        <v>0</v>
      </c>
      <c r="N26" s="0">
        <v>0</v>
      </c>
      <c r="O26" s="0">
        <v>0</v>
      </c>
      <c r="P26" s="0">
        <v>0</v>
      </c>
      <c r="Q26" s="0">
        <v>0</v>
      </c>
      <c r="R26" s="0">
        <v>0</v>
      </c>
      <c r="S26" s="0">
        <v>0</v>
      </c>
      <c r="T26" s="0" t="s">
        <v>34</v>
      </c>
      <c r="U26" s="0" t="s">
        <v>34</v>
      </c>
      <c r="V26" s="0" t="s">
        <v>882</v>
      </c>
      <c r="W26" s="11">
        <f>IF($V26="No","",ROUND((I26*w_Damage + N26*w_Poison + P26*w_Weaken*w_Horizon)*MIN(1+(G26-1)*w_OccEnemy,w_MaxEnemies) + (J26*w_Heal + K26*w_Shield + L26*w_Block + M26*w_Parry + O26*w_Strength*w_Horizon + S26*w_Combo)*MIN(1+(H26-1)*w_OccAlly,w_MaxAllies) + Q26*w_Draw + R26*w_Move,2))</f>
      </c>
      <c r="X26" s="11">
        <f>IF(W26="","",ROUND(W26/MAX(D26,1),2))</f>
      </c>
      <c r="Y26" s="11">
        <f>IF($V26="No","",ROUND((curve_Base+curve_Slope*D26)*IFERROR(VLOOKUP(E26,rarity_Mult,2,FALSE),1),2))</f>
      </c>
      <c r="Z26" s="11">
        <f>IF(OR(W26="",Y26=""),"",ROUND(W26-Y26,2))</f>
      </c>
      <c r="AA26" s="0">
        <f>IF(Z26="","",IF($V26="Partial","RIDER",IF(ABS(Z26)&lt;=Y26*tol_Pct,"OK",IF(Z26&gt;0,"OVER","UNDER"))))</f>
      </c>
      <c r="AB26" s="0" t="s">
        <v>34</v>
      </c>
      <c r="AC26" s="0">
        <f>IF(AND($V26&lt;&gt;"No",$E26="Common",NOT(ISNUMBER(SEARCH("Ideas",$F26)))),$W26,NA())</f>
      </c>
      <c r="AD26" s="0">
        <f>IF(AND($V26&lt;&gt;"No",$E26="Uncommon",NOT(ISNUMBER(SEARCH("Ideas",$F26)))),$W26,NA())</f>
      </c>
      <c r="AE26" s="0">
        <f>IF(AND($V26&lt;&gt;"No",$E26="Rare",NOT(ISNUMBER(SEARCH("Ideas",$F26)))),$W26,NA())</f>
      </c>
      <c r="AF26" s="0">
        <f>IF(AND($V26&lt;&gt;"No",$E26="Legendary",NOT(ISNUMBER(SEARCH("Ideas",$F26)))),$W26,NA())</f>
      </c>
      <c r="AG26" s="0">
        <f>IF(AND($V26&lt;&gt;"No",ISNUMBER(SEARCH("Knight",$C26)),NOT(ISNUMBER(SEARCH("Ideas",$F26)))),$X26,NA())</f>
      </c>
      <c r="AH26" s="0">
        <f>IF(AND($V26&lt;&gt;"No",ISNUMBER(SEARCH("Mage",$C26)),NOT(ISNUMBER(SEARCH("Ideas",$F26)))),$X26,NA())</f>
      </c>
      <c r="AI26" s="0">
        <f>IF(AND($V26&lt;&gt;"No",ISNUMBER(SEARCH("Rogue",$C26)),NOT(ISNUMBER(SEARCH("Ideas",$F26)))),$X26,NA())</f>
      </c>
      <c r="AJ26" s="0">
        <f>IF($V26&lt;&gt;"No",$Y26,NA())</f>
      </c>
      <c r="AK26" s="0">
        <f>IF(AND($V26&lt;&gt;"No",ISNUMBER(SEARCH("Ideas",$F26))),$W26,NA())</f>
      </c>
      <c r="AL26" s="0">
        <f>IF(AND($V26&lt;&gt;"No",ISNUMBER(SEARCH("Cleric",$C26)),NOT(ISNUMBER(SEARCH("Ideas",$F26)))),$X26,NA())</f>
      </c>
    </row>
    <row r="27">
      <c r="A27" s="0" t="s">
        <v>151</v>
      </c>
      <c r="B27" s="0" t="s">
        <v>151</v>
      </c>
      <c r="C27" s="0" t="s">
        <v>49</v>
      </c>
      <c r="D27" s="0">
        <v>1</v>
      </c>
      <c r="E27" s="0" t="s">
        <v>32</v>
      </c>
      <c r="F27" s="0" t="s">
        <v>49</v>
      </c>
      <c r="G27" s="0">
        <v>1</v>
      </c>
      <c r="H27" s="0">
        <v>1</v>
      </c>
      <c r="I27" s="0">
        <v>7</v>
      </c>
      <c r="J27" s="0">
        <v>0</v>
      </c>
      <c r="K27" s="0">
        <v>4</v>
      </c>
      <c r="L27" s="0">
        <v>0</v>
      </c>
      <c r="M27" s="0">
        <v>0</v>
      </c>
      <c r="N27" s="0">
        <v>0</v>
      </c>
      <c r="O27" s="0">
        <v>0</v>
      </c>
      <c r="P27" s="0">
        <v>0</v>
      </c>
      <c r="Q27" s="0">
        <v>0</v>
      </c>
      <c r="R27" s="0">
        <v>0</v>
      </c>
      <c r="S27" s="0">
        <v>0</v>
      </c>
      <c r="T27" s="0" t="s">
        <v>34</v>
      </c>
      <c r="U27" s="0" t="s">
        <v>34</v>
      </c>
      <c r="V27" s="0" t="s">
        <v>882</v>
      </c>
      <c r="W27" s="11">
        <f>IF($V27="No","",ROUND((I27*w_Damage + N27*w_Poison + P27*w_Weaken*w_Horizon)*MIN(1+(G27-1)*w_OccEnemy,w_MaxEnemies) + (J27*w_Heal + K27*w_Shield + L27*w_Block + M27*w_Parry + O27*w_Strength*w_Horizon + S27*w_Combo)*MIN(1+(H27-1)*w_OccAlly,w_MaxAllies) + Q27*w_Draw + R27*w_Move,2))</f>
      </c>
      <c r="X27" s="11">
        <f>IF(W27="","",ROUND(W27/MAX(D27,1),2))</f>
      </c>
      <c r="Y27" s="11">
        <f>IF($V27="No","",ROUND((curve_Base+curve_Slope*D27)*IFERROR(VLOOKUP(E27,rarity_Mult,2,FALSE),1),2))</f>
      </c>
      <c r="Z27" s="11">
        <f>IF(OR(W27="",Y27=""),"",ROUND(W27-Y27,2))</f>
      </c>
      <c r="AA27" s="0">
        <f>IF(Z27="","",IF($V27="Partial","RIDER",IF(ABS(Z27)&lt;=Y27*tol_Pct,"OK",IF(Z27&gt;0,"OVER","UNDER"))))</f>
      </c>
      <c r="AB27" s="0" t="s">
        <v>34</v>
      </c>
      <c r="AC27" s="0">
        <f>IF(AND($V27&lt;&gt;"No",$E27="Common",NOT(ISNUMBER(SEARCH("Ideas",$F27)))),$W27,NA())</f>
      </c>
      <c r="AD27" s="0">
        <f>IF(AND($V27&lt;&gt;"No",$E27="Uncommon",NOT(ISNUMBER(SEARCH("Ideas",$F27)))),$W27,NA())</f>
      </c>
      <c r="AE27" s="0">
        <f>IF(AND($V27&lt;&gt;"No",$E27="Rare",NOT(ISNUMBER(SEARCH("Ideas",$F27)))),$W27,NA())</f>
      </c>
      <c r="AF27" s="0">
        <f>IF(AND($V27&lt;&gt;"No",$E27="Legendary",NOT(ISNUMBER(SEARCH("Ideas",$F27)))),$W27,NA())</f>
      </c>
      <c r="AG27" s="0">
        <f>IF(AND($V27&lt;&gt;"No",ISNUMBER(SEARCH("Knight",$C27)),NOT(ISNUMBER(SEARCH("Ideas",$F27)))),$X27,NA())</f>
      </c>
      <c r="AH27" s="0">
        <f>IF(AND($V27&lt;&gt;"No",ISNUMBER(SEARCH("Mage",$C27)),NOT(ISNUMBER(SEARCH("Ideas",$F27)))),$X27,NA())</f>
      </c>
      <c r="AI27" s="0">
        <f>IF(AND($V27&lt;&gt;"No",ISNUMBER(SEARCH("Rogue",$C27)),NOT(ISNUMBER(SEARCH("Ideas",$F27)))),$X27,NA())</f>
      </c>
      <c r="AJ27" s="0">
        <f>IF($V27&lt;&gt;"No",$Y27,NA())</f>
      </c>
      <c r="AK27" s="0">
        <f>IF(AND($V27&lt;&gt;"No",ISNUMBER(SEARCH("Ideas",$F27))),$W27,NA())</f>
      </c>
      <c r="AL27" s="0">
        <f>IF(AND($V27&lt;&gt;"No",ISNUMBER(SEARCH("Cleric",$C27)),NOT(ISNUMBER(SEARCH("Ideas",$F27)))),$X27,NA())</f>
      </c>
    </row>
    <row r="28">
      <c r="A28" s="0" t="s">
        <v>157</v>
      </c>
      <c r="B28" s="0" t="s">
        <v>157</v>
      </c>
      <c r="C28" s="0" t="s">
        <v>49</v>
      </c>
      <c r="D28" s="0">
        <v>1</v>
      </c>
      <c r="E28" s="0" t="s">
        <v>32</v>
      </c>
      <c r="F28" s="0" t="s">
        <v>49</v>
      </c>
      <c r="G28" s="0">
        <v>1</v>
      </c>
      <c r="H28" s="0">
        <v>1</v>
      </c>
      <c r="I28" s="0">
        <v>7</v>
      </c>
      <c r="J28" s="0">
        <v>0</v>
      </c>
      <c r="K28" s="0">
        <v>7</v>
      </c>
      <c r="L28" s="0">
        <v>0</v>
      </c>
      <c r="M28" s="0">
        <v>0</v>
      </c>
      <c r="N28" s="0">
        <v>0</v>
      </c>
      <c r="O28" s="0">
        <v>0</v>
      </c>
      <c r="P28" s="0">
        <v>0</v>
      </c>
      <c r="Q28" s="0">
        <v>0</v>
      </c>
      <c r="R28" s="0">
        <v>0</v>
      </c>
      <c r="S28" s="0">
        <v>0</v>
      </c>
      <c r="T28" s="0" t="s">
        <v>34</v>
      </c>
      <c r="U28" s="0" t="s">
        <v>34</v>
      </c>
      <c r="V28" s="0" t="s">
        <v>882</v>
      </c>
      <c r="W28" s="11">
        <f>IF($V28="No","",ROUND((I28*w_Damage + N28*w_Poison + P28*w_Weaken*w_Horizon)*MIN(1+(G28-1)*w_OccEnemy,w_MaxEnemies) + (J28*w_Heal + K28*w_Shield + L28*w_Block + M28*w_Parry + O28*w_Strength*w_Horizon + S28*w_Combo)*MIN(1+(H28-1)*w_OccAlly,w_MaxAllies) + Q28*w_Draw + R28*w_Move,2))</f>
      </c>
      <c r="X28" s="11">
        <f>IF(W28="","",ROUND(W28/MAX(D28,1),2))</f>
      </c>
      <c r="Y28" s="11">
        <f>IF($V28="No","",ROUND((curve_Base+curve_Slope*D28)*IFERROR(VLOOKUP(E28,rarity_Mult,2,FALSE),1),2))</f>
      </c>
      <c r="Z28" s="11">
        <f>IF(OR(W28="",Y28=""),"",ROUND(W28-Y28,2))</f>
      </c>
      <c r="AA28" s="0">
        <f>IF(Z28="","",IF($V28="Partial","RIDER",IF(ABS(Z28)&lt;=Y28*tol_Pct,"OK",IF(Z28&gt;0,"OVER","UNDER"))))</f>
      </c>
      <c r="AB28" s="0" t="s">
        <v>34</v>
      </c>
      <c r="AC28" s="0">
        <f>IF(AND($V28&lt;&gt;"No",$E28="Common",NOT(ISNUMBER(SEARCH("Ideas",$F28)))),$W28,NA())</f>
      </c>
      <c r="AD28" s="0">
        <f>IF(AND($V28&lt;&gt;"No",$E28="Uncommon",NOT(ISNUMBER(SEARCH("Ideas",$F28)))),$W28,NA())</f>
      </c>
      <c r="AE28" s="0">
        <f>IF(AND($V28&lt;&gt;"No",$E28="Rare",NOT(ISNUMBER(SEARCH("Ideas",$F28)))),$W28,NA())</f>
      </c>
      <c r="AF28" s="0">
        <f>IF(AND($V28&lt;&gt;"No",$E28="Legendary",NOT(ISNUMBER(SEARCH("Ideas",$F28)))),$W28,NA())</f>
      </c>
      <c r="AG28" s="0">
        <f>IF(AND($V28&lt;&gt;"No",ISNUMBER(SEARCH("Knight",$C28)),NOT(ISNUMBER(SEARCH("Ideas",$F28)))),$X28,NA())</f>
      </c>
      <c r="AH28" s="0">
        <f>IF(AND($V28&lt;&gt;"No",ISNUMBER(SEARCH("Mage",$C28)),NOT(ISNUMBER(SEARCH("Ideas",$F28)))),$X28,NA())</f>
      </c>
      <c r="AI28" s="0">
        <f>IF(AND($V28&lt;&gt;"No",ISNUMBER(SEARCH("Rogue",$C28)),NOT(ISNUMBER(SEARCH("Ideas",$F28)))),$X28,NA())</f>
      </c>
      <c r="AJ28" s="0">
        <f>IF($V28&lt;&gt;"No",$Y28,NA())</f>
      </c>
      <c r="AK28" s="0">
        <f>IF(AND($V28&lt;&gt;"No",ISNUMBER(SEARCH("Ideas",$F28))),$W28,NA())</f>
      </c>
      <c r="AL28" s="0">
        <f>IF(AND($V28&lt;&gt;"No",ISNUMBER(SEARCH("Cleric",$C28)),NOT(ISNUMBER(SEARCH("Ideas",$F28)))),$X28,NA())</f>
      </c>
    </row>
    <row r="29">
      <c r="A29" s="0" t="s">
        <v>160</v>
      </c>
      <c r="B29" s="0" t="s">
        <v>160</v>
      </c>
      <c r="C29" s="0" t="s">
        <v>49</v>
      </c>
      <c r="D29" s="0">
        <v>1</v>
      </c>
      <c r="E29" s="0" t="s">
        <v>32</v>
      </c>
      <c r="F29" s="0" t="s">
        <v>49</v>
      </c>
      <c r="G29" s="0">
        <v>1</v>
      </c>
      <c r="H29" s="0">
        <v>1</v>
      </c>
      <c r="I29" s="0">
        <v>6</v>
      </c>
      <c r="J29" s="0">
        <v>0</v>
      </c>
      <c r="K29" s="0">
        <v>3</v>
      </c>
      <c r="L29" s="0">
        <v>0</v>
      </c>
      <c r="M29" s="0">
        <v>0</v>
      </c>
      <c r="N29" s="0">
        <v>0</v>
      </c>
      <c r="O29" s="0">
        <v>0</v>
      </c>
      <c r="P29" s="0">
        <v>0</v>
      </c>
      <c r="Q29" s="0">
        <v>0</v>
      </c>
      <c r="R29" s="0">
        <v>0</v>
      </c>
      <c r="S29" s="0">
        <v>0</v>
      </c>
      <c r="T29" s="0" t="s">
        <v>34</v>
      </c>
      <c r="U29" s="0" t="s">
        <v>34</v>
      </c>
      <c r="V29" s="0" t="s">
        <v>882</v>
      </c>
      <c r="W29" s="11">
        <f>IF($V29="No","",ROUND((I29*w_Damage + N29*w_Poison + P29*w_Weaken*w_Horizon)*MIN(1+(G29-1)*w_OccEnemy,w_MaxEnemies) + (J29*w_Heal + K29*w_Shield + L29*w_Block + M29*w_Parry + O29*w_Strength*w_Horizon + S29*w_Combo)*MIN(1+(H29-1)*w_OccAlly,w_MaxAllies) + Q29*w_Draw + R29*w_Move,2))</f>
      </c>
      <c r="X29" s="11">
        <f>IF(W29="","",ROUND(W29/MAX(D29,1),2))</f>
      </c>
      <c r="Y29" s="11">
        <f>IF($V29="No","",ROUND((curve_Base+curve_Slope*D29)*IFERROR(VLOOKUP(E29,rarity_Mult,2,FALSE),1),2))</f>
      </c>
      <c r="Z29" s="11">
        <f>IF(OR(W29="",Y29=""),"",ROUND(W29-Y29,2))</f>
      </c>
      <c r="AA29" s="0">
        <f>IF(Z29="","",IF($V29="Partial","RIDER",IF(ABS(Z29)&lt;=Y29*tol_Pct,"OK",IF(Z29&gt;0,"OVER","UNDER"))))</f>
      </c>
      <c r="AB29" s="0" t="s">
        <v>34</v>
      </c>
      <c r="AC29" s="0">
        <f>IF(AND($V29&lt;&gt;"No",$E29="Common",NOT(ISNUMBER(SEARCH("Ideas",$F29)))),$W29,NA())</f>
      </c>
      <c r="AD29" s="0">
        <f>IF(AND($V29&lt;&gt;"No",$E29="Uncommon",NOT(ISNUMBER(SEARCH("Ideas",$F29)))),$W29,NA())</f>
      </c>
      <c r="AE29" s="0">
        <f>IF(AND($V29&lt;&gt;"No",$E29="Rare",NOT(ISNUMBER(SEARCH("Ideas",$F29)))),$W29,NA())</f>
      </c>
      <c r="AF29" s="0">
        <f>IF(AND($V29&lt;&gt;"No",$E29="Legendary",NOT(ISNUMBER(SEARCH("Ideas",$F29)))),$W29,NA())</f>
      </c>
      <c r="AG29" s="0">
        <f>IF(AND($V29&lt;&gt;"No",ISNUMBER(SEARCH("Knight",$C29)),NOT(ISNUMBER(SEARCH("Ideas",$F29)))),$X29,NA())</f>
      </c>
      <c r="AH29" s="0">
        <f>IF(AND($V29&lt;&gt;"No",ISNUMBER(SEARCH("Mage",$C29)),NOT(ISNUMBER(SEARCH("Ideas",$F29)))),$X29,NA())</f>
      </c>
      <c r="AI29" s="0">
        <f>IF(AND($V29&lt;&gt;"No",ISNUMBER(SEARCH("Rogue",$C29)),NOT(ISNUMBER(SEARCH("Ideas",$F29)))),$X29,NA())</f>
      </c>
      <c r="AJ29" s="0">
        <f>IF($V29&lt;&gt;"No",$Y29,NA())</f>
      </c>
      <c r="AK29" s="0">
        <f>IF(AND($V29&lt;&gt;"No",ISNUMBER(SEARCH("Ideas",$F29))),$W29,NA())</f>
      </c>
      <c r="AL29" s="0">
        <f>IF(AND($V29&lt;&gt;"No",ISNUMBER(SEARCH("Cleric",$C29)),NOT(ISNUMBER(SEARCH("Ideas",$F29)))),$X29,NA())</f>
      </c>
    </row>
    <row r="30">
      <c r="A30" s="0" t="s">
        <v>166</v>
      </c>
      <c r="B30" s="0" t="s">
        <v>166</v>
      </c>
      <c r="C30" s="0" t="s">
        <v>49</v>
      </c>
      <c r="D30" s="0">
        <v>1</v>
      </c>
      <c r="E30" s="0" t="s">
        <v>32</v>
      </c>
      <c r="F30" s="0" t="s">
        <v>49</v>
      </c>
      <c r="G30" s="0">
        <v>1</v>
      </c>
      <c r="H30" s="0">
        <v>1</v>
      </c>
      <c r="I30" s="0">
        <v>8</v>
      </c>
      <c r="J30" s="0">
        <v>0</v>
      </c>
      <c r="K30" s="0">
        <v>0</v>
      </c>
      <c r="L30" s="0">
        <v>0</v>
      </c>
      <c r="M30" s="0">
        <v>0</v>
      </c>
      <c r="N30" s="0">
        <v>0</v>
      </c>
      <c r="O30" s="0">
        <v>0</v>
      </c>
      <c r="P30" s="0">
        <v>0</v>
      </c>
      <c r="Q30" s="0">
        <v>1</v>
      </c>
      <c r="R30" s="0">
        <v>0</v>
      </c>
      <c r="S30" s="0">
        <v>0</v>
      </c>
      <c r="T30" s="0" t="s">
        <v>34</v>
      </c>
      <c r="U30" s="0" t="s">
        <v>34</v>
      </c>
      <c r="V30" s="0" t="s">
        <v>882</v>
      </c>
      <c r="W30" s="11">
        <f>IF($V30="No","",ROUND((I30*w_Damage + N30*w_Poison + P30*w_Weaken*w_Horizon)*MIN(1+(G30-1)*w_OccEnemy,w_MaxEnemies) + (J30*w_Heal + K30*w_Shield + L30*w_Block + M30*w_Parry + O30*w_Strength*w_Horizon + S30*w_Combo)*MIN(1+(H30-1)*w_OccAlly,w_MaxAllies) + Q30*w_Draw + R30*w_Move,2))</f>
      </c>
      <c r="X30" s="11">
        <f>IF(W30="","",ROUND(W30/MAX(D30,1),2))</f>
      </c>
      <c r="Y30" s="11">
        <f>IF($V30="No","",ROUND((curve_Base+curve_Slope*D30)*IFERROR(VLOOKUP(E30,rarity_Mult,2,FALSE),1),2))</f>
      </c>
      <c r="Z30" s="11">
        <f>IF(OR(W30="",Y30=""),"",ROUND(W30-Y30,2))</f>
      </c>
      <c r="AA30" s="0">
        <f>IF(Z30="","",IF($V30="Partial","RIDER",IF(ABS(Z30)&lt;=Y30*tol_Pct,"OK",IF(Z30&gt;0,"OVER","UNDER"))))</f>
      </c>
      <c r="AB30" s="0" t="s">
        <v>34</v>
      </c>
      <c r="AC30" s="0">
        <f>IF(AND($V30&lt;&gt;"No",$E30="Common",NOT(ISNUMBER(SEARCH("Ideas",$F30)))),$W30,NA())</f>
      </c>
      <c r="AD30" s="0">
        <f>IF(AND($V30&lt;&gt;"No",$E30="Uncommon",NOT(ISNUMBER(SEARCH("Ideas",$F30)))),$W30,NA())</f>
      </c>
      <c r="AE30" s="0">
        <f>IF(AND($V30&lt;&gt;"No",$E30="Rare",NOT(ISNUMBER(SEARCH("Ideas",$F30)))),$W30,NA())</f>
      </c>
      <c r="AF30" s="0">
        <f>IF(AND($V30&lt;&gt;"No",$E30="Legendary",NOT(ISNUMBER(SEARCH("Ideas",$F30)))),$W30,NA())</f>
      </c>
      <c r="AG30" s="0">
        <f>IF(AND($V30&lt;&gt;"No",ISNUMBER(SEARCH("Knight",$C30)),NOT(ISNUMBER(SEARCH("Ideas",$F30)))),$X30,NA())</f>
      </c>
      <c r="AH30" s="0">
        <f>IF(AND($V30&lt;&gt;"No",ISNUMBER(SEARCH("Mage",$C30)),NOT(ISNUMBER(SEARCH("Ideas",$F30)))),$X30,NA())</f>
      </c>
      <c r="AI30" s="0">
        <f>IF(AND($V30&lt;&gt;"No",ISNUMBER(SEARCH("Rogue",$C30)),NOT(ISNUMBER(SEARCH("Ideas",$F30)))),$X30,NA())</f>
      </c>
      <c r="AJ30" s="0">
        <f>IF($V30&lt;&gt;"No",$Y30,NA())</f>
      </c>
      <c r="AK30" s="0">
        <f>IF(AND($V30&lt;&gt;"No",ISNUMBER(SEARCH("Ideas",$F30))),$W30,NA())</f>
      </c>
      <c r="AL30" s="0">
        <f>IF(AND($V30&lt;&gt;"No",ISNUMBER(SEARCH("Cleric",$C30)),NOT(ISNUMBER(SEARCH("Ideas",$F30)))),$X30,NA())</f>
      </c>
    </row>
    <row r="31">
      <c r="A31" s="0" t="s">
        <v>170</v>
      </c>
      <c r="B31" s="0" t="s">
        <v>170</v>
      </c>
      <c r="C31" s="0" t="s">
        <v>49</v>
      </c>
      <c r="D31" s="0">
        <v>1</v>
      </c>
      <c r="E31" s="0" t="s">
        <v>81</v>
      </c>
      <c r="F31" s="0" t="s">
        <v>49</v>
      </c>
      <c r="G31" s="0">
        <v>1</v>
      </c>
      <c r="H31" s="0">
        <v>1</v>
      </c>
      <c r="I31" s="0">
        <v>9</v>
      </c>
      <c r="J31" s="0">
        <v>0</v>
      </c>
      <c r="K31" s="0">
        <v>0</v>
      </c>
      <c r="L31" s="0">
        <v>0</v>
      </c>
      <c r="M31" s="0">
        <v>0</v>
      </c>
      <c r="N31" s="0">
        <v>0</v>
      </c>
      <c r="O31" s="0">
        <v>0</v>
      </c>
      <c r="P31" s="0">
        <v>0</v>
      </c>
      <c r="Q31" s="0">
        <v>0</v>
      </c>
      <c r="R31" s="0">
        <v>0</v>
      </c>
      <c r="S31" s="0">
        <v>0</v>
      </c>
      <c r="T31" s="0" t="s">
        <v>34</v>
      </c>
      <c r="U31" s="0" t="s">
        <v>34</v>
      </c>
      <c r="V31" s="0" t="s">
        <v>882</v>
      </c>
      <c r="W31" s="11">
        <f>IF($V31="No","",ROUND((I31*w_Damage + N31*w_Poison + P31*w_Weaken*w_Horizon)*MIN(1+(G31-1)*w_OccEnemy,w_MaxEnemies) + (J31*w_Heal + K31*w_Shield + L31*w_Block + M31*w_Parry + O31*w_Strength*w_Horizon + S31*w_Combo)*MIN(1+(H31-1)*w_OccAlly,w_MaxAllies) + Q31*w_Draw + R31*w_Move,2))</f>
      </c>
      <c r="X31" s="11">
        <f>IF(W31="","",ROUND(W31/MAX(D31,1),2))</f>
      </c>
      <c r="Y31" s="11">
        <f>IF($V31="No","",ROUND((curve_Base+curve_Slope*D31)*IFERROR(VLOOKUP(E31,rarity_Mult,2,FALSE),1),2))</f>
      </c>
      <c r="Z31" s="11">
        <f>IF(OR(W31="",Y31=""),"",ROUND(W31-Y31,2))</f>
      </c>
      <c r="AA31" s="0">
        <f>IF(Z31="","",IF($V31="Partial","RIDER",IF(ABS(Z31)&lt;=Y31*tol_Pct,"OK",IF(Z31&gt;0,"OVER","UNDER"))))</f>
      </c>
      <c r="AB31" s="0" t="s">
        <v>34</v>
      </c>
      <c r="AC31" s="0">
        <f>IF(AND($V31&lt;&gt;"No",$E31="Common",NOT(ISNUMBER(SEARCH("Ideas",$F31)))),$W31,NA())</f>
      </c>
      <c r="AD31" s="0">
        <f>IF(AND($V31&lt;&gt;"No",$E31="Uncommon",NOT(ISNUMBER(SEARCH("Ideas",$F31)))),$W31,NA())</f>
      </c>
      <c r="AE31" s="0">
        <f>IF(AND($V31&lt;&gt;"No",$E31="Rare",NOT(ISNUMBER(SEARCH("Ideas",$F31)))),$W31,NA())</f>
      </c>
      <c r="AF31" s="0">
        <f>IF(AND($V31&lt;&gt;"No",$E31="Legendary",NOT(ISNUMBER(SEARCH("Ideas",$F31)))),$W31,NA())</f>
      </c>
      <c r="AG31" s="0">
        <f>IF(AND($V31&lt;&gt;"No",ISNUMBER(SEARCH("Knight",$C31)),NOT(ISNUMBER(SEARCH("Ideas",$F31)))),$X31,NA())</f>
      </c>
      <c r="AH31" s="0">
        <f>IF(AND($V31&lt;&gt;"No",ISNUMBER(SEARCH("Mage",$C31)),NOT(ISNUMBER(SEARCH("Ideas",$F31)))),$X31,NA())</f>
      </c>
      <c r="AI31" s="0">
        <f>IF(AND($V31&lt;&gt;"No",ISNUMBER(SEARCH("Rogue",$C31)),NOT(ISNUMBER(SEARCH("Ideas",$F31)))),$X31,NA())</f>
      </c>
      <c r="AJ31" s="0">
        <f>IF($V31&lt;&gt;"No",$Y31,NA())</f>
      </c>
      <c r="AK31" s="0">
        <f>IF(AND($V31&lt;&gt;"No",ISNUMBER(SEARCH("Ideas",$F31))),$W31,NA())</f>
      </c>
      <c r="AL31" s="0">
        <f>IF(AND($V31&lt;&gt;"No",ISNUMBER(SEARCH("Cleric",$C31)),NOT(ISNUMBER(SEARCH("Ideas",$F31)))),$X31,NA())</f>
      </c>
    </row>
    <row r="32">
      <c r="A32" s="0" t="s">
        <v>173</v>
      </c>
      <c r="B32" s="0" t="s">
        <v>173</v>
      </c>
      <c r="C32" s="0" t="s">
        <v>49</v>
      </c>
      <c r="D32" s="0">
        <v>1</v>
      </c>
      <c r="E32" s="0" t="s">
        <v>174</v>
      </c>
      <c r="F32" s="0" t="s">
        <v>49</v>
      </c>
      <c r="G32" s="0">
        <v>1</v>
      </c>
      <c r="H32" s="0">
        <v>1</v>
      </c>
      <c r="I32" s="0">
        <v>9</v>
      </c>
      <c r="J32" s="0">
        <v>0</v>
      </c>
      <c r="K32" s="0">
        <v>0</v>
      </c>
      <c r="L32" s="0">
        <v>0</v>
      </c>
      <c r="M32" s="0">
        <v>0</v>
      </c>
      <c r="N32" s="0">
        <v>0</v>
      </c>
      <c r="O32" s="0">
        <v>0</v>
      </c>
      <c r="P32" s="0">
        <v>0</v>
      </c>
      <c r="Q32" s="0">
        <v>0</v>
      </c>
      <c r="R32" s="0">
        <v>0</v>
      </c>
      <c r="S32" s="0">
        <v>0</v>
      </c>
      <c r="T32" s="0" t="s">
        <v>34</v>
      </c>
      <c r="U32" s="0" t="s">
        <v>34</v>
      </c>
      <c r="V32" s="0" t="s">
        <v>882</v>
      </c>
      <c r="W32" s="11">
        <f>IF($V32="No","",ROUND((I32*w_Damage + N32*w_Poison + P32*w_Weaken*w_Horizon)*MIN(1+(G32-1)*w_OccEnemy,w_MaxEnemies) + (J32*w_Heal + K32*w_Shield + L32*w_Block + M32*w_Parry + O32*w_Strength*w_Horizon + S32*w_Combo)*MIN(1+(H32-1)*w_OccAlly,w_MaxAllies) + Q32*w_Draw + R32*w_Move,2))</f>
      </c>
      <c r="X32" s="11">
        <f>IF(W32="","",ROUND(W32/MAX(D32,1),2))</f>
      </c>
      <c r="Y32" s="11">
        <f>IF($V32="No","",ROUND((curve_Base+curve_Slope*D32)*IFERROR(VLOOKUP(E32,rarity_Mult,2,FALSE),1),2))</f>
      </c>
      <c r="Z32" s="11">
        <f>IF(OR(W32="",Y32=""),"",ROUND(W32-Y32,2))</f>
      </c>
      <c r="AA32" s="0">
        <f>IF(Z32="","",IF($V32="Partial","RIDER",IF(ABS(Z32)&lt;=Y32*tol_Pct,"OK",IF(Z32&gt;0,"OVER","UNDER"))))</f>
      </c>
      <c r="AB32" s="0" t="s">
        <v>34</v>
      </c>
      <c r="AC32" s="0">
        <f>IF(AND($V32&lt;&gt;"No",$E32="Common",NOT(ISNUMBER(SEARCH("Ideas",$F32)))),$W32,NA())</f>
      </c>
      <c r="AD32" s="0">
        <f>IF(AND($V32&lt;&gt;"No",$E32="Uncommon",NOT(ISNUMBER(SEARCH("Ideas",$F32)))),$W32,NA())</f>
      </c>
      <c r="AE32" s="0">
        <f>IF(AND($V32&lt;&gt;"No",$E32="Rare",NOT(ISNUMBER(SEARCH("Ideas",$F32)))),$W32,NA())</f>
      </c>
      <c r="AF32" s="0">
        <f>IF(AND($V32&lt;&gt;"No",$E32="Legendary",NOT(ISNUMBER(SEARCH("Ideas",$F32)))),$W32,NA())</f>
      </c>
      <c r="AG32" s="0">
        <f>IF(AND($V32&lt;&gt;"No",ISNUMBER(SEARCH("Knight",$C32)),NOT(ISNUMBER(SEARCH("Ideas",$F32)))),$X32,NA())</f>
      </c>
      <c r="AH32" s="0">
        <f>IF(AND($V32&lt;&gt;"No",ISNUMBER(SEARCH("Mage",$C32)),NOT(ISNUMBER(SEARCH("Ideas",$F32)))),$X32,NA())</f>
      </c>
      <c r="AI32" s="0">
        <f>IF(AND($V32&lt;&gt;"No",ISNUMBER(SEARCH("Rogue",$C32)),NOT(ISNUMBER(SEARCH("Ideas",$F32)))),$X32,NA())</f>
      </c>
      <c r="AJ32" s="0">
        <f>IF($V32&lt;&gt;"No",$Y32,NA())</f>
      </c>
      <c r="AK32" s="0">
        <f>IF(AND($V32&lt;&gt;"No",ISNUMBER(SEARCH("Ideas",$F32))),$W32,NA())</f>
      </c>
      <c r="AL32" s="0">
        <f>IF(AND($V32&lt;&gt;"No",ISNUMBER(SEARCH("Cleric",$C32)),NOT(ISNUMBER(SEARCH("Ideas",$F32)))),$X32,NA())</f>
      </c>
    </row>
    <row r="33">
      <c r="A33" s="0" t="s">
        <v>177</v>
      </c>
      <c r="B33" s="0" t="s">
        <v>177</v>
      </c>
      <c r="C33" s="0" t="s">
        <v>49</v>
      </c>
      <c r="D33" s="0">
        <v>1</v>
      </c>
      <c r="E33" s="0" t="s">
        <v>32</v>
      </c>
      <c r="F33" s="0" t="s">
        <v>49</v>
      </c>
      <c r="G33" s="0">
        <v>1</v>
      </c>
      <c r="H33" s="0">
        <v>1</v>
      </c>
      <c r="I33" s="0">
        <v>5</v>
      </c>
      <c r="J33" s="0">
        <v>0</v>
      </c>
      <c r="K33" s="0">
        <v>0</v>
      </c>
      <c r="L33" s="0">
        <v>0</v>
      </c>
      <c r="M33" s="0">
        <v>0</v>
      </c>
      <c r="N33" s="0">
        <v>0</v>
      </c>
      <c r="O33" s="0">
        <v>0</v>
      </c>
      <c r="P33" s="0">
        <v>0</v>
      </c>
      <c r="Q33" s="0">
        <v>0</v>
      </c>
      <c r="R33" s="0">
        <v>0</v>
      </c>
      <c r="S33" s="0">
        <v>0</v>
      </c>
      <c r="T33" s="0" t="s">
        <v>34</v>
      </c>
      <c r="U33" s="0" t="s">
        <v>178</v>
      </c>
      <c r="V33" s="0" t="s">
        <v>882</v>
      </c>
      <c r="W33" s="11">
        <f>IF($V33="No","",ROUND((I33*w_Damage + N33*w_Poison + P33*w_Weaken*w_Horizon)*MIN(1+(G33-1)*w_OccEnemy,w_MaxEnemies) + (J33*w_Heal + K33*w_Shield + L33*w_Block + M33*w_Parry + O33*w_Strength*w_Horizon + S33*w_Combo)*MIN(1+(H33-1)*w_OccAlly,w_MaxAllies) + Q33*w_Draw + R33*w_Move,2))</f>
      </c>
      <c r="X33" s="11">
        <f>IF(W33="","",ROUND(W33/MAX(D33,1),2))</f>
      </c>
      <c r="Y33" s="11">
        <f>IF($V33="No","",ROUND((curve_Base+curve_Slope*D33)*IFERROR(VLOOKUP(E33,rarity_Mult,2,FALSE),1),2))</f>
      </c>
      <c r="Z33" s="11">
        <f>IF(OR(W33="",Y33=""),"",ROUND(W33-Y33,2))</f>
      </c>
      <c r="AA33" s="0">
        <f>IF(Z33="","",IF($V33="Partial","RIDER",IF(ABS(Z33)&lt;=Y33*tol_Pct,"OK",IF(Z33&gt;0,"OVER","UNDER"))))</f>
      </c>
      <c r="AB33" s="0" t="s">
        <v>34</v>
      </c>
      <c r="AC33" s="0">
        <f>IF(AND($V33&lt;&gt;"No",$E33="Common",NOT(ISNUMBER(SEARCH("Ideas",$F33)))),$W33,NA())</f>
      </c>
      <c r="AD33" s="0">
        <f>IF(AND($V33&lt;&gt;"No",$E33="Uncommon",NOT(ISNUMBER(SEARCH("Ideas",$F33)))),$W33,NA())</f>
      </c>
      <c r="AE33" s="0">
        <f>IF(AND($V33&lt;&gt;"No",$E33="Rare",NOT(ISNUMBER(SEARCH("Ideas",$F33)))),$W33,NA())</f>
      </c>
      <c r="AF33" s="0">
        <f>IF(AND($V33&lt;&gt;"No",$E33="Legendary",NOT(ISNUMBER(SEARCH("Ideas",$F33)))),$W33,NA())</f>
      </c>
      <c r="AG33" s="0">
        <f>IF(AND($V33&lt;&gt;"No",ISNUMBER(SEARCH("Knight",$C33)),NOT(ISNUMBER(SEARCH("Ideas",$F33)))),$X33,NA())</f>
      </c>
      <c r="AH33" s="0">
        <f>IF(AND($V33&lt;&gt;"No",ISNUMBER(SEARCH("Mage",$C33)),NOT(ISNUMBER(SEARCH("Ideas",$F33)))),$X33,NA())</f>
      </c>
      <c r="AI33" s="0">
        <f>IF(AND($V33&lt;&gt;"No",ISNUMBER(SEARCH("Rogue",$C33)),NOT(ISNUMBER(SEARCH("Ideas",$F33)))),$X33,NA())</f>
      </c>
      <c r="AJ33" s="0">
        <f>IF($V33&lt;&gt;"No",$Y33,NA())</f>
      </c>
      <c r="AK33" s="0">
        <f>IF(AND($V33&lt;&gt;"No",ISNUMBER(SEARCH("Ideas",$F33))),$W33,NA())</f>
      </c>
      <c r="AL33" s="0">
        <f>IF(AND($V33&lt;&gt;"No",ISNUMBER(SEARCH("Cleric",$C33)),NOT(ISNUMBER(SEARCH("Ideas",$F33)))),$X33,NA())</f>
      </c>
    </row>
    <row r="34">
      <c r="A34" s="0" t="s">
        <v>181</v>
      </c>
      <c r="B34" s="0" t="s">
        <v>181</v>
      </c>
      <c r="C34" s="0" t="s">
        <v>49</v>
      </c>
      <c r="D34" s="0">
        <v>1</v>
      </c>
      <c r="E34" s="0" t="s">
        <v>32</v>
      </c>
      <c r="F34" s="0" t="s">
        <v>49</v>
      </c>
      <c r="G34" s="0">
        <v>3</v>
      </c>
      <c r="H34" s="0">
        <v>1</v>
      </c>
      <c r="I34" s="0">
        <v>7</v>
      </c>
      <c r="J34" s="0">
        <v>0</v>
      </c>
      <c r="K34" s="0">
        <v>0</v>
      </c>
      <c r="L34" s="0">
        <v>0</v>
      </c>
      <c r="M34" s="0">
        <v>0</v>
      </c>
      <c r="N34" s="0">
        <v>0</v>
      </c>
      <c r="O34" s="0">
        <v>0</v>
      </c>
      <c r="P34" s="0">
        <v>0</v>
      </c>
      <c r="Q34" s="0">
        <v>0</v>
      </c>
      <c r="R34" s="0">
        <v>0</v>
      </c>
      <c r="S34" s="0">
        <v>0</v>
      </c>
      <c r="T34" s="0" t="s">
        <v>34</v>
      </c>
      <c r="U34" s="0" t="s">
        <v>34</v>
      </c>
      <c r="V34" s="0" t="s">
        <v>882</v>
      </c>
      <c r="W34" s="11">
        <f>IF($V34="No","",ROUND((I34*w_Damage + N34*w_Poison + P34*w_Weaken*w_Horizon)*MIN(1+(G34-1)*w_OccEnemy,w_MaxEnemies) + (J34*w_Heal + K34*w_Shield + L34*w_Block + M34*w_Parry + O34*w_Strength*w_Horizon + S34*w_Combo)*MIN(1+(H34-1)*w_OccAlly,w_MaxAllies) + Q34*w_Draw + R34*w_Move,2))</f>
      </c>
      <c r="X34" s="11">
        <f>IF(W34="","",ROUND(W34/MAX(D34,1),2))</f>
      </c>
      <c r="Y34" s="11">
        <f>IF($V34="No","",ROUND((curve_Base+curve_Slope*D34)*IFERROR(VLOOKUP(E34,rarity_Mult,2,FALSE),1),2))</f>
      </c>
      <c r="Z34" s="11">
        <f>IF(OR(W34="",Y34=""),"",ROUND(W34-Y34,2))</f>
      </c>
      <c r="AA34" s="0">
        <f>IF(Z34="","",IF($V34="Partial","RIDER",IF(ABS(Z34)&lt;=Y34*tol_Pct,"OK",IF(Z34&gt;0,"OVER","UNDER"))))</f>
      </c>
      <c r="AB34" s="0" t="s">
        <v>34</v>
      </c>
      <c r="AC34" s="0">
        <f>IF(AND($V34&lt;&gt;"No",$E34="Common",NOT(ISNUMBER(SEARCH("Ideas",$F34)))),$W34,NA())</f>
      </c>
      <c r="AD34" s="0">
        <f>IF(AND($V34&lt;&gt;"No",$E34="Uncommon",NOT(ISNUMBER(SEARCH("Ideas",$F34)))),$W34,NA())</f>
      </c>
      <c r="AE34" s="0">
        <f>IF(AND($V34&lt;&gt;"No",$E34="Rare",NOT(ISNUMBER(SEARCH("Ideas",$F34)))),$W34,NA())</f>
      </c>
      <c r="AF34" s="0">
        <f>IF(AND($V34&lt;&gt;"No",$E34="Legendary",NOT(ISNUMBER(SEARCH("Ideas",$F34)))),$W34,NA())</f>
      </c>
      <c r="AG34" s="0">
        <f>IF(AND($V34&lt;&gt;"No",ISNUMBER(SEARCH("Knight",$C34)),NOT(ISNUMBER(SEARCH("Ideas",$F34)))),$X34,NA())</f>
      </c>
      <c r="AH34" s="0">
        <f>IF(AND($V34&lt;&gt;"No",ISNUMBER(SEARCH("Mage",$C34)),NOT(ISNUMBER(SEARCH("Ideas",$F34)))),$X34,NA())</f>
      </c>
      <c r="AI34" s="0">
        <f>IF(AND($V34&lt;&gt;"No",ISNUMBER(SEARCH("Rogue",$C34)),NOT(ISNUMBER(SEARCH("Ideas",$F34)))),$X34,NA())</f>
      </c>
      <c r="AJ34" s="0">
        <f>IF($V34&lt;&gt;"No",$Y34,NA())</f>
      </c>
      <c r="AK34" s="0">
        <f>IF(AND($V34&lt;&gt;"No",ISNUMBER(SEARCH("Ideas",$F34))),$W34,NA())</f>
      </c>
      <c r="AL34" s="0">
        <f>IF(AND($V34&lt;&gt;"No",ISNUMBER(SEARCH("Cleric",$C34)),NOT(ISNUMBER(SEARCH("Ideas",$F34)))),$X34,NA())</f>
      </c>
    </row>
    <row r="35">
      <c r="A35" s="0" t="s">
        <v>184</v>
      </c>
      <c r="B35" s="0" t="s">
        <v>184</v>
      </c>
      <c r="C35" s="0" t="s">
        <v>49</v>
      </c>
      <c r="D35" s="0">
        <v>1</v>
      </c>
      <c r="E35" s="0" t="s">
        <v>32</v>
      </c>
      <c r="F35" s="0" t="s">
        <v>49</v>
      </c>
      <c r="G35" s="0">
        <v>1</v>
      </c>
      <c r="H35" s="0">
        <v>1</v>
      </c>
      <c r="I35" s="0">
        <v>12</v>
      </c>
      <c r="J35" s="0">
        <v>0</v>
      </c>
      <c r="K35" s="0">
        <v>0</v>
      </c>
      <c r="L35" s="0">
        <v>0</v>
      </c>
      <c r="M35" s="0">
        <v>0</v>
      </c>
      <c r="N35" s="0">
        <v>0</v>
      </c>
      <c r="O35" s="0">
        <v>0</v>
      </c>
      <c r="P35" s="0">
        <v>0</v>
      </c>
      <c r="Q35" s="0">
        <v>1</v>
      </c>
      <c r="R35" s="0">
        <v>0</v>
      </c>
      <c r="S35" s="0">
        <v>0</v>
      </c>
      <c r="T35" s="0" t="s">
        <v>34</v>
      </c>
      <c r="U35" s="0" t="s">
        <v>34</v>
      </c>
      <c r="V35" s="0" t="s">
        <v>882</v>
      </c>
      <c r="W35" s="11">
        <f>IF($V35="No","",ROUND((I35*w_Damage + N35*w_Poison + P35*w_Weaken*w_Horizon)*MIN(1+(G35-1)*w_OccEnemy,w_MaxEnemies) + (J35*w_Heal + K35*w_Shield + L35*w_Block + M35*w_Parry + O35*w_Strength*w_Horizon + S35*w_Combo)*MIN(1+(H35-1)*w_OccAlly,w_MaxAllies) + Q35*w_Draw + R35*w_Move,2))</f>
      </c>
      <c r="X35" s="11">
        <f>IF(W35="","",ROUND(W35/MAX(D35,1),2))</f>
      </c>
      <c r="Y35" s="11">
        <f>IF($V35="No","",ROUND((curve_Base+curve_Slope*D35)*IFERROR(VLOOKUP(E35,rarity_Mult,2,FALSE),1),2))</f>
      </c>
      <c r="Z35" s="11">
        <f>IF(OR(W35="",Y35=""),"",ROUND(W35-Y35,2))</f>
      </c>
      <c r="AA35" s="0">
        <f>IF(Z35="","",IF($V35="Partial","RIDER",IF(ABS(Z35)&lt;=Y35*tol_Pct,"OK",IF(Z35&gt;0,"OVER","UNDER"))))</f>
      </c>
      <c r="AB35" s="0" t="s">
        <v>34</v>
      </c>
      <c r="AC35" s="0">
        <f>IF(AND($V35&lt;&gt;"No",$E35="Common",NOT(ISNUMBER(SEARCH("Ideas",$F35)))),$W35,NA())</f>
      </c>
      <c r="AD35" s="0">
        <f>IF(AND($V35&lt;&gt;"No",$E35="Uncommon",NOT(ISNUMBER(SEARCH("Ideas",$F35)))),$W35,NA())</f>
      </c>
      <c r="AE35" s="0">
        <f>IF(AND($V35&lt;&gt;"No",$E35="Rare",NOT(ISNUMBER(SEARCH("Ideas",$F35)))),$W35,NA())</f>
      </c>
      <c r="AF35" s="0">
        <f>IF(AND($V35&lt;&gt;"No",$E35="Legendary",NOT(ISNUMBER(SEARCH("Ideas",$F35)))),$W35,NA())</f>
      </c>
      <c r="AG35" s="0">
        <f>IF(AND($V35&lt;&gt;"No",ISNUMBER(SEARCH("Knight",$C35)),NOT(ISNUMBER(SEARCH("Ideas",$F35)))),$X35,NA())</f>
      </c>
      <c r="AH35" s="0">
        <f>IF(AND($V35&lt;&gt;"No",ISNUMBER(SEARCH("Mage",$C35)),NOT(ISNUMBER(SEARCH("Ideas",$F35)))),$X35,NA())</f>
      </c>
      <c r="AI35" s="0">
        <f>IF(AND($V35&lt;&gt;"No",ISNUMBER(SEARCH("Rogue",$C35)),NOT(ISNUMBER(SEARCH("Ideas",$F35)))),$X35,NA())</f>
      </c>
      <c r="AJ35" s="0">
        <f>IF($V35&lt;&gt;"No",$Y35,NA())</f>
      </c>
      <c r="AK35" s="0">
        <f>IF(AND($V35&lt;&gt;"No",ISNUMBER(SEARCH("Ideas",$F35))),$W35,NA())</f>
      </c>
      <c r="AL35" s="0">
        <f>IF(AND($V35&lt;&gt;"No",ISNUMBER(SEARCH("Cleric",$C35)),NOT(ISNUMBER(SEARCH("Ideas",$F35)))),$X35,NA())</f>
      </c>
    </row>
    <row r="36">
      <c r="A36" s="0" t="s">
        <v>188</v>
      </c>
      <c r="B36" s="0" t="s">
        <v>188</v>
      </c>
      <c r="C36" s="0" t="s">
        <v>49</v>
      </c>
      <c r="D36" s="0">
        <v>1</v>
      </c>
      <c r="E36" s="0" t="s">
        <v>62</v>
      </c>
      <c r="F36" s="0" t="s">
        <v>49</v>
      </c>
      <c r="G36" s="0">
        <v>1</v>
      </c>
      <c r="H36" s="0">
        <v>1</v>
      </c>
      <c r="I36" s="0">
        <v>11</v>
      </c>
      <c r="J36" s="0">
        <v>0</v>
      </c>
      <c r="K36" s="0">
        <v>0</v>
      </c>
      <c r="L36" s="0">
        <v>0</v>
      </c>
      <c r="M36" s="0">
        <v>0</v>
      </c>
      <c r="N36" s="0">
        <v>0</v>
      </c>
      <c r="O36" s="0">
        <v>0</v>
      </c>
      <c r="P36" s="0">
        <v>0</v>
      </c>
      <c r="Q36" s="0">
        <v>1</v>
      </c>
      <c r="R36" s="0">
        <v>0</v>
      </c>
      <c r="S36" s="0">
        <v>0</v>
      </c>
      <c r="T36" s="0" t="s">
        <v>34</v>
      </c>
      <c r="U36" s="0" t="s">
        <v>34</v>
      </c>
      <c r="V36" s="0" t="s">
        <v>882</v>
      </c>
      <c r="W36" s="11">
        <f>IF($V36="No","",ROUND((I36*w_Damage + N36*w_Poison + P36*w_Weaken*w_Horizon)*MIN(1+(G36-1)*w_OccEnemy,w_MaxEnemies) + (J36*w_Heal + K36*w_Shield + L36*w_Block + M36*w_Parry + O36*w_Strength*w_Horizon + S36*w_Combo)*MIN(1+(H36-1)*w_OccAlly,w_MaxAllies) + Q36*w_Draw + R36*w_Move,2))</f>
      </c>
      <c r="X36" s="11">
        <f>IF(W36="","",ROUND(W36/MAX(D36,1),2))</f>
      </c>
      <c r="Y36" s="11">
        <f>IF($V36="No","",ROUND((curve_Base+curve_Slope*D36)*IFERROR(VLOOKUP(E36,rarity_Mult,2,FALSE),1),2))</f>
      </c>
      <c r="Z36" s="11">
        <f>IF(OR(W36="",Y36=""),"",ROUND(W36-Y36,2))</f>
      </c>
      <c r="AA36" s="0">
        <f>IF(Z36="","",IF($V36="Partial","RIDER",IF(ABS(Z36)&lt;=Y36*tol_Pct,"OK",IF(Z36&gt;0,"OVER","UNDER"))))</f>
      </c>
      <c r="AB36" s="0" t="s">
        <v>34</v>
      </c>
      <c r="AC36" s="0">
        <f>IF(AND($V36&lt;&gt;"No",$E36="Common",NOT(ISNUMBER(SEARCH("Ideas",$F36)))),$W36,NA())</f>
      </c>
      <c r="AD36" s="0">
        <f>IF(AND($V36&lt;&gt;"No",$E36="Uncommon",NOT(ISNUMBER(SEARCH("Ideas",$F36)))),$W36,NA())</f>
      </c>
      <c r="AE36" s="0">
        <f>IF(AND($V36&lt;&gt;"No",$E36="Rare",NOT(ISNUMBER(SEARCH("Ideas",$F36)))),$W36,NA())</f>
      </c>
      <c r="AF36" s="0">
        <f>IF(AND($V36&lt;&gt;"No",$E36="Legendary",NOT(ISNUMBER(SEARCH("Ideas",$F36)))),$W36,NA())</f>
      </c>
      <c r="AG36" s="0">
        <f>IF(AND($V36&lt;&gt;"No",ISNUMBER(SEARCH("Knight",$C36)),NOT(ISNUMBER(SEARCH("Ideas",$F36)))),$X36,NA())</f>
      </c>
      <c r="AH36" s="0">
        <f>IF(AND($V36&lt;&gt;"No",ISNUMBER(SEARCH("Mage",$C36)),NOT(ISNUMBER(SEARCH("Ideas",$F36)))),$X36,NA())</f>
      </c>
      <c r="AI36" s="0">
        <f>IF(AND($V36&lt;&gt;"No",ISNUMBER(SEARCH("Rogue",$C36)),NOT(ISNUMBER(SEARCH("Ideas",$F36)))),$X36,NA())</f>
      </c>
      <c r="AJ36" s="0">
        <f>IF($V36&lt;&gt;"No",$Y36,NA())</f>
      </c>
      <c r="AK36" s="0">
        <f>IF(AND($V36&lt;&gt;"No",ISNUMBER(SEARCH("Ideas",$F36))),$W36,NA())</f>
      </c>
      <c r="AL36" s="0">
        <f>IF(AND($V36&lt;&gt;"No",ISNUMBER(SEARCH("Cleric",$C36)),NOT(ISNUMBER(SEARCH("Ideas",$F36)))),$X36,NA())</f>
      </c>
    </row>
    <row r="37">
      <c r="A37" s="0" t="s">
        <v>192</v>
      </c>
      <c r="B37" s="0" t="s">
        <v>192</v>
      </c>
      <c r="C37" s="0" t="s">
        <v>49</v>
      </c>
      <c r="D37" s="0">
        <v>1</v>
      </c>
      <c r="E37" s="0" t="s">
        <v>62</v>
      </c>
      <c r="F37" s="0" t="s">
        <v>49</v>
      </c>
      <c r="G37" s="0">
        <v>9</v>
      </c>
      <c r="H37" s="0">
        <v>1</v>
      </c>
      <c r="I37" s="0">
        <v>4</v>
      </c>
      <c r="J37" s="0">
        <v>0</v>
      </c>
      <c r="K37" s="0">
        <v>0</v>
      </c>
      <c r="L37" s="0">
        <v>0</v>
      </c>
      <c r="M37" s="0">
        <v>0</v>
      </c>
      <c r="N37" s="0">
        <v>0</v>
      </c>
      <c r="O37" s="0">
        <v>0</v>
      </c>
      <c r="P37" s="0">
        <v>0</v>
      </c>
      <c r="Q37" s="0">
        <v>0</v>
      </c>
      <c r="R37" s="0">
        <v>0</v>
      </c>
      <c r="S37" s="0">
        <v>0</v>
      </c>
      <c r="T37" s="0" t="s">
        <v>34</v>
      </c>
      <c r="U37" s="0" t="s">
        <v>34</v>
      </c>
      <c r="V37" s="0" t="s">
        <v>882</v>
      </c>
      <c r="W37" s="11">
        <f>IF($V37="No","",ROUND((I37*w_Damage + N37*w_Poison + P37*w_Weaken*w_Horizon)*MIN(1+(G37-1)*w_OccEnemy,w_MaxEnemies) + (J37*w_Heal + K37*w_Shield + L37*w_Block + M37*w_Parry + O37*w_Strength*w_Horizon + S37*w_Combo)*MIN(1+(H37-1)*w_OccAlly,w_MaxAllies) + Q37*w_Draw + R37*w_Move,2))</f>
      </c>
      <c r="X37" s="11">
        <f>IF(W37="","",ROUND(W37/MAX(D37,1),2))</f>
      </c>
      <c r="Y37" s="11">
        <f>IF($V37="No","",ROUND((curve_Base+curve_Slope*D37)*IFERROR(VLOOKUP(E37,rarity_Mult,2,FALSE),1),2))</f>
      </c>
      <c r="Z37" s="11">
        <f>IF(OR(W37="",Y37=""),"",ROUND(W37-Y37,2))</f>
      </c>
      <c r="AA37" s="0">
        <f>IF(Z37="","",IF($V37="Partial","RIDER",IF(ABS(Z37)&lt;=Y37*tol_Pct,"OK",IF(Z37&gt;0,"OVER","UNDER"))))</f>
      </c>
      <c r="AB37" s="0" t="s">
        <v>34</v>
      </c>
      <c r="AC37" s="0">
        <f>IF(AND($V37&lt;&gt;"No",$E37="Common",NOT(ISNUMBER(SEARCH("Ideas",$F37)))),$W37,NA())</f>
      </c>
      <c r="AD37" s="0">
        <f>IF(AND($V37&lt;&gt;"No",$E37="Uncommon",NOT(ISNUMBER(SEARCH("Ideas",$F37)))),$W37,NA())</f>
      </c>
      <c r="AE37" s="0">
        <f>IF(AND($V37&lt;&gt;"No",$E37="Rare",NOT(ISNUMBER(SEARCH("Ideas",$F37)))),$W37,NA())</f>
      </c>
      <c r="AF37" s="0">
        <f>IF(AND($V37&lt;&gt;"No",$E37="Legendary",NOT(ISNUMBER(SEARCH("Ideas",$F37)))),$W37,NA())</f>
      </c>
      <c r="AG37" s="0">
        <f>IF(AND($V37&lt;&gt;"No",ISNUMBER(SEARCH("Knight",$C37)),NOT(ISNUMBER(SEARCH("Ideas",$F37)))),$X37,NA())</f>
      </c>
      <c r="AH37" s="0">
        <f>IF(AND($V37&lt;&gt;"No",ISNUMBER(SEARCH("Mage",$C37)),NOT(ISNUMBER(SEARCH("Ideas",$F37)))),$X37,NA())</f>
      </c>
      <c r="AI37" s="0">
        <f>IF(AND($V37&lt;&gt;"No",ISNUMBER(SEARCH("Rogue",$C37)),NOT(ISNUMBER(SEARCH("Ideas",$F37)))),$X37,NA())</f>
      </c>
      <c r="AJ37" s="0">
        <f>IF($V37&lt;&gt;"No",$Y37,NA())</f>
      </c>
      <c r="AK37" s="0">
        <f>IF(AND($V37&lt;&gt;"No",ISNUMBER(SEARCH("Ideas",$F37))),$W37,NA())</f>
      </c>
      <c r="AL37" s="0">
        <f>IF(AND($V37&lt;&gt;"No",ISNUMBER(SEARCH("Cleric",$C37)),NOT(ISNUMBER(SEARCH("Ideas",$F37)))),$X37,NA())</f>
      </c>
    </row>
    <row r="38">
      <c r="A38" s="0" t="s">
        <v>196</v>
      </c>
      <c r="B38" s="0" t="s">
        <v>196</v>
      </c>
      <c r="C38" s="0" t="s">
        <v>49</v>
      </c>
      <c r="D38" s="0">
        <v>0</v>
      </c>
      <c r="E38" s="0" t="s">
        <v>62</v>
      </c>
      <c r="F38" s="0" t="s">
        <v>49</v>
      </c>
      <c r="G38" s="0">
        <v>1</v>
      </c>
      <c r="H38" s="0">
        <v>1</v>
      </c>
      <c r="I38" s="0">
        <v>0</v>
      </c>
      <c r="J38" s="0">
        <v>0</v>
      </c>
      <c r="K38" s="0">
        <v>0</v>
      </c>
      <c r="L38" s="0">
        <v>0</v>
      </c>
      <c r="M38" s="0">
        <v>0</v>
      </c>
      <c r="N38" s="0">
        <v>0</v>
      </c>
      <c r="O38" s="0">
        <v>6</v>
      </c>
      <c r="P38" s="0">
        <v>0</v>
      </c>
      <c r="Q38" s="0">
        <v>0</v>
      </c>
      <c r="R38" s="0">
        <v>0</v>
      </c>
      <c r="S38" s="0">
        <v>0</v>
      </c>
      <c r="T38" s="0" t="s">
        <v>1906</v>
      </c>
      <c r="U38" s="0" t="s">
        <v>34</v>
      </c>
      <c r="V38" s="0" t="s">
        <v>1905</v>
      </c>
      <c r="W38" s="11">
        <f>IF($V38="No","",ROUND((I38*w_Damage + N38*w_Poison + P38*w_Weaken*w_Horizon)*MIN(1+(G38-1)*w_OccEnemy,w_MaxEnemies) + (J38*w_Heal + K38*w_Shield + L38*w_Block + M38*w_Parry + O38*w_Strength*w_Horizon + S38*w_Combo)*MIN(1+(H38-1)*w_OccAlly,w_MaxAllies) + Q38*w_Draw + R38*w_Move,2))</f>
      </c>
      <c r="X38" s="11">
        <f>IF(W38="","",ROUND(W38/MAX(D38,1),2))</f>
      </c>
      <c r="Y38" s="11">
        <f>IF($V38="No","",ROUND((curve_Base+curve_Slope*D38)*IFERROR(VLOOKUP(E38,rarity_Mult,2,FALSE),1),2))</f>
      </c>
      <c r="Z38" s="11">
        <f>IF(OR(W38="",Y38=""),"",ROUND(W38-Y38,2))</f>
      </c>
      <c r="AA38" s="0">
        <f>IF(Z38="","",IF($V38="Partial","RIDER",IF(ABS(Z38)&lt;=Y38*tol_Pct,"OK",IF(Z38&gt;0,"OVER","UNDER"))))</f>
      </c>
      <c r="AB38" s="0" t="s">
        <v>34</v>
      </c>
      <c r="AC38" s="0">
        <f>IF(AND($V38&lt;&gt;"No",$E38="Common",NOT(ISNUMBER(SEARCH("Ideas",$F38)))),$W38,NA())</f>
      </c>
      <c r="AD38" s="0">
        <f>IF(AND($V38&lt;&gt;"No",$E38="Uncommon",NOT(ISNUMBER(SEARCH("Ideas",$F38)))),$W38,NA())</f>
      </c>
      <c r="AE38" s="0">
        <f>IF(AND($V38&lt;&gt;"No",$E38="Rare",NOT(ISNUMBER(SEARCH("Ideas",$F38)))),$W38,NA())</f>
      </c>
      <c r="AF38" s="0">
        <f>IF(AND($V38&lt;&gt;"No",$E38="Legendary",NOT(ISNUMBER(SEARCH("Ideas",$F38)))),$W38,NA())</f>
      </c>
      <c r="AG38" s="0">
        <f>IF(AND($V38&lt;&gt;"No",ISNUMBER(SEARCH("Knight",$C38)),NOT(ISNUMBER(SEARCH("Ideas",$F38)))),$X38,NA())</f>
      </c>
      <c r="AH38" s="0">
        <f>IF(AND($V38&lt;&gt;"No",ISNUMBER(SEARCH("Mage",$C38)),NOT(ISNUMBER(SEARCH("Ideas",$F38)))),$X38,NA())</f>
      </c>
      <c r="AI38" s="0">
        <f>IF(AND($V38&lt;&gt;"No",ISNUMBER(SEARCH("Rogue",$C38)),NOT(ISNUMBER(SEARCH("Ideas",$F38)))),$X38,NA())</f>
      </c>
      <c r="AJ38" s="0">
        <f>IF($V38&lt;&gt;"No",$Y38,NA())</f>
      </c>
      <c r="AK38" s="0">
        <f>IF(AND($V38&lt;&gt;"No",ISNUMBER(SEARCH("Ideas",$F38))),$W38,NA())</f>
      </c>
      <c r="AL38" s="0">
        <f>IF(AND($V38&lt;&gt;"No",ISNUMBER(SEARCH("Cleric",$C38)),NOT(ISNUMBER(SEARCH("Ideas",$F38)))),$X38,NA())</f>
      </c>
    </row>
    <row r="39">
      <c r="A39" s="0" t="s">
        <v>201</v>
      </c>
      <c r="B39" s="0" t="s">
        <v>201</v>
      </c>
      <c r="C39" s="0" t="s">
        <v>49</v>
      </c>
      <c r="D39" s="0">
        <v>1</v>
      </c>
      <c r="E39" s="0" t="s">
        <v>32</v>
      </c>
      <c r="F39" s="0" t="s">
        <v>49</v>
      </c>
      <c r="G39" s="0">
        <v>1</v>
      </c>
      <c r="H39" s="0">
        <v>1</v>
      </c>
      <c r="I39" s="0">
        <v>9</v>
      </c>
      <c r="J39" s="0">
        <v>0</v>
      </c>
      <c r="K39" s="0">
        <v>0</v>
      </c>
      <c r="L39" s="0">
        <v>0</v>
      </c>
      <c r="M39" s="0">
        <v>0</v>
      </c>
      <c r="N39" s="0">
        <v>0</v>
      </c>
      <c r="O39" s="0">
        <v>0</v>
      </c>
      <c r="P39" s="0">
        <v>0</v>
      </c>
      <c r="Q39" s="0">
        <v>0</v>
      </c>
      <c r="R39" s="0">
        <v>0</v>
      </c>
      <c r="S39" s="0">
        <v>0</v>
      </c>
      <c r="T39" s="0" t="s">
        <v>1907</v>
      </c>
      <c r="U39" s="0" t="s">
        <v>34</v>
      </c>
      <c r="V39" s="0" t="s">
        <v>1905</v>
      </c>
      <c r="W39" s="11">
        <f>IF($V39="No","",ROUND((I39*w_Damage + N39*w_Poison + P39*w_Weaken*w_Horizon)*MIN(1+(G39-1)*w_OccEnemy,w_MaxEnemies) + (J39*w_Heal + K39*w_Shield + L39*w_Block + M39*w_Parry + O39*w_Strength*w_Horizon + S39*w_Combo)*MIN(1+(H39-1)*w_OccAlly,w_MaxAllies) + Q39*w_Draw + R39*w_Move,2))</f>
      </c>
      <c r="X39" s="11">
        <f>IF(W39="","",ROUND(W39/MAX(D39,1),2))</f>
      </c>
      <c r="Y39" s="11">
        <f>IF($V39="No","",ROUND((curve_Base+curve_Slope*D39)*IFERROR(VLOOKUP(E39,rarity_Mult,2,FALSE),1),2))</f>
      </c>
      <c r="Z39" s="11">
        <f>IF(OR(W39="",Y39=""),"",ROUND(W39-Y39,2))</f>
      </c>
      <c r="AA39" s="0">
        <f>IF(Z39="","",IF($V39="Partial","RIDER",IF(ABS(Z39)&lt;=Y39*tol_Pct,"OK",IF(Z39&gt;0,"OVER","UNDER"))))</f>
      </c>
      <c r="AB39" s="0" t="s">
        <v>34</v>
      </c>
      <c r="AC39" s="0">
        <f>IF(AND($V39&lt;&gt;"No",$E39="Common",NOT(ISNUMBER(SEARCH("Ideas",$F39)))),$W39,NA())</f>
      </c>
      <c r="AD39" s="0">
        <f>IF(AND($V39&lt;&gt;"No",$E39="Uncommon",NOT(ISNUMBER(SEARCH("Ideas",$F39)))),$W39,NA())</f>
      </c>
      <c r="AE39" s="0">
        <f>IF(AND($V39&lt;&gt;"No",$E39="Rare",NOT(ISNUMBER(SEARCH("Ideas",$F39)))),$W39,NA())</f>
      </c>
      <c r="AF39" s="0">
        <f>IF(AND($V39&lt;&gt;"No",$E39="Legendary",NOT(ISNUMBER(SEARCH("Ideas",$F39)))),$W39,NA())</f>
      </c>
      <c r="AG39" s="0">
        <f>IF(AND($V39&lt;&gt;"No",ISNUMBER(SEARCH("Knight",$C39)),NOT(ISNUMBER(SEARCH("Ideas",$F39)))),$X39,NA())</f>
      </c>
      <c r="AH39" s="0">
        <f>IF(AND($V39&lt;&gt;"No",ISNUMBER(SEARCH("Mage",$C39)),NOT(ISNUMBER(SEARCH("Ideas",$F39)))),$X39,NA())</f>
      </c>
      <c r="AI39" s="0">
        <f>IF(AND($V39&lt;&gt;"No",ISNUMBER(SEARCH("Rogue",$C39)),NOT(ISNUMBER(SEARCH("Ideas",$F39)))),$X39,NA())</f>
      </c>
      <c r="AJ39" s="0">
        <f>IF($V39&lt;&gt;"No",$Y39,NA())</f>
      </c>
      <c r="AK39" s="0">
        <f>IF(AND($V39&lt;&gt;"No",ISNUMBER(SEARCH("Ideas",$F39))),$W39,NA())</f>
      </c>
      <c r="AL39" s="0">
        <f>IF(AND($V39&lt;&gt;"No",ISNUMBER(SEARCH("Cleric",$C39)),NOT(ISNUMBER(SEARCH("Ideas",$F39)))),$X39,NA())</f>
      </c>
    </row>
    <row r="40">
      <c r="A40" s="0" t="s">
        <v>205</v>
      </c>
      <c r="B40" s="0" t="s">
        <v>205</v>
      </c>
      <c r="C40" s="0" t="s">
        <v>49</v>
      </c>
      <c r="D40" s="0">
        <v>1</v>
      </c>
      <c r="E40" s="0" t="s">
        <v>32</v>
      </c>
      <c r="F40" s="0" t="s">
        <v>49</v>
      </c>
      <c r="G40" s="0">
        <v>1</v>
      </c>
      <c r="H40" s="0">
        <v>1</v>
      </c>
      <c r="I40" s="0">
        <v>0</v>
      </c>
      <c r="J40" s="0">
        <v>0</v>
      </c>
      <c r="K40" s="0">
        <v>0</v>
      </c>
      <c r="L40" s="0">
        <v>0</v>
      </c>
      <c r="M40" s="0">
        <v>0</v>
      </c>
      <c r="N40" s="0">
        <v>0</v>
      </c>
      <c r="O40" s="0">
        <v>0</v>
      </c>
      <c r="P40" s="0">
        <v>0</v>
      </c>
      <c r="Q40" s="0">
        <v>0</v>
      </c>
      <c r="R40" s="0">
        <v>0</v>
      </c>
      <c r="S40" s="0">
        <v>0</v>
      </c>
      <c r="T40" s="0" t="s">
        <v>1908</v>
      </c>
      <c r="U40" s="0" t="s">
        <v>1909</v>
      </c>
      <c r="V40" s="0" t="s">
        <v>1407</v>
      </c>
      <c r="W40" s="11">
        <f>IF($V40="No","",ROUND((I40*w_Damage + N40*w_Poison + P40*w_Weaken*w_Horizon)*MIN(1+(G40-1)*w_OccEnemy,w_MaxEnemies) + (J40*w_Heal + K40*w_Shield + L40*w_Block + M40*w_Parry + O40*w_Strength*w_Horizon + S40*w_Combo)*MIN(1+(H40-1)*w_OccAlly,w_MaxAllies) + Q40*w_Draw + R40*w_Move,2))</f>
      </c>
      <c r="X40" s="11">
        <f>IF(W40="","",ROUND(W40/MAX(D40,1),2))</f>
      </c>
      <c r="Y40" s="11">
        <f>IF($V40="No","",ROUND((curve_Base+curve_Slope*D40)*IFERROR(VLOOKUP(E40,rarity_Mult,2,FALSE),1),2))</f>
      </c>
      <c r="Z40" s="11">
        <f>IF(OR(W40="",Y40=""),"",ROUND(W40-Y40,2))</f>
      </c>
      <c r="AA40" s="0">
        <f>IF(Z40="","",IF($V40="Partial","RIDER",IF(ABS(Z40)&lt;=Y40*tol_Pct,"OK",IF(Z40&gt;0,"OVER","UNDER"))))</f>
      </c>
      <c r="AB40" s="0" t="s">
        <v>34</v>
      </c>
      <c r="AC40" s="0">
        <f>IF(AND($V40&lt;&gt;"No",$E40="Common",NOT(ISNUMBER(SEARCH("Ideas",$F40)))),$W40,NA())</f>
      </c>
      <c r="AD40" s="0">
        <f>IF(AND($V40&lt;&gt;"No",$E40="Uncommon",NOT(ISNUMBER(SEARCH("Ideas",$F40)))),$W40,NA())</f>
      </c>
      <c r="AE40" s="0">
        <f>IF(AND($V40&lt;&gt;"No",$E40="Rare",NOT(ISNUMBER(SEARCH("Ideas",$F40)))),$W40,NA())</f>
      </c>
      <c r="AF40" s="0">
        <f>IF(AND($V40&lt;&gt;"No",$E40="Legendary",NOT(ISNUMBER(SEARCH("Ideas",$F40)))),$W40,NA())</f>
      </c>
      <c r="AG40" s="0">
        <f>IF(AND($V40&lt;&gt;"No",ISNUMBER(SEARCH("Knight",$C40)),NOT(ISNUMBER(SEARCH("Ideas",$F40)))),$X40,NA())</f>
      </c>
      <c r="AH40" s="0">
        <f>IF(AND($V40&lt;&gt;"No",ISNUMBER(SEARCH("Mage",$C40)),NOT(ISNUMBER(SEARCH("Ideas",$F40)))),$X40,NA())</f>
      </c>
      <c r="AI40" s="0">
        <f>IF(AND($V40&lt;&gt;"No",ISNUMBER(SEARCH("Rogue",$C40)),NOT(ISNUMBER(SEARCH("Ideas",$F40)))),$X40,NA())</f>
      </c>
      <c r="AJ40" s="0">
        <f>IF($V40&lt;&gt;"No",$Y40,NA())</f>
      </c>
      <c r="AK40" s="0">
        <f>IF(AND($V40&lt;&gt;"No",ISNUMBER(SEARCH("Ideas",$F40))),$W40,NA())</f>
      </c>
      <c r="AL40" s="0">
        <f>IF(AND($V40&lt;&gt;"No",ISNUMBER(SEARCH("Cleric",$C40)),NOT(ISNUMBER(SEARCH("Ideas",$F40)))),$X40,NA())</f>
      </c>
    </row>
    <row r="41">
      <c r="A41" s="0" t="s">
        <v>209</v>
      </c>
      <c r="B41" s="0" t="s">
        <v>209</v>
      </c>
      <c r="C41" s="0" t="s">
        <v>49</v>
      </c>
      <c r="D41" s="0">
        <v>2</v>
      </c>
      <c r="E41" s="0" t="s">
        <v>32</v>
      </c>
      <c r="F41" s="0" t="s">
        <v>49</v>
      </c>
      <c r="G41" s="0">
        <v>1</v>
      </c>
      <c r="H41" s="0">
        <v>1</v>
      </c>
      <c r="I41" s="0">
        <v>0</v>
      </c>
      <c r="J41" s="0">
        <v>0</v>
      </c>
      <c r="K41" s="0">
        <v>0</v>
      </c>
      <c r="L41" s="0">
        <v>0</v>
      </c>
      <c r="M41" s="0">
        <v>0</v>
      </c>
      <c r="N41" s="0">
        <v>0</v>
      </c>
      <c r="O41" s="0">
        <v>0</v>
      </c>
      <c r="P41" s="0">
        <v>0</v>
      </c>
      <c r="Q41" s="0">
        <v>0</v>
      </c>
      <c r="R41" s="0">
        <v>0</v>
      </c>
      <c r="S41" s="0">
        <v>0</v>
      </c>
      <c r="T41" s="0" t="s">
        <v>1910</v>
      </c>
      <c r="U41" s="0" t="s">
        <v>1911</v>
      </c>
      <c r="V41" s="0" t="s">
        <v>1407</v>
      </c>
      <c r="W41" s="11">
        <f>IF($V41="No","",ROUND((I41*w_Damage + N41*w_Poison + P41*w_Weaken*w_Horizon)*MIN(1+(G41-1)*w_OccEnemy,w_MaxEnemies) + (J41*w_Heal + K41*w_Shield + L41*w_Block + M41*w_Parry + O41*w_Strength*w_Horizon + S41*w_Combo)*MIN(1+(H41-1)*w_OccAlly,w_MaxAllies) + Q41*w_Draw + R41*w_Move,2))</f>
      </c>
      <c r="X41" s="11">
        <f>IF(W41="","",ROUND(W41/MAX(D41,1),2))</f>
      </c>
      <c r="Y41" s="11">
        <f>IF($V41="No","",ROUND((curve_Base+curve_Slope*D41)*IFERROR(VLOOKUP(E41,rarity_Mult,2,FALSE),1),2))</f>
      </c>
      <c r="Z41" s="11">
        <f>IF(OR(W41="",Y41=""),"",ROUND(W41-Y41,2))</f>
      </c>
      <c r="AA41" s="0">
        <f>IF(Z41="","",IF($V41="Partial","RIDER",IF(ABS(Z41)&lt;=Y41*tol_Pct,"OK",IF(Z41&gt;0,"OVER","UNDER"))))</f>
      </c>
      <c r="AB41" s="0" t="s">
        <v>34</v>
      </c>
      <c r="AC41" s="0">
        <f>IF(AND($V41&lt;&gt;"No",$E41="Common",NOT(ISNUMBER(SEARCH("Ideas",$F41)))),$W41,NA())</f>
      </c>
      <c r="AD41" s="0">
        <f>IF(AND($V41&lt;&gt;"No",$E41="Uncommon",NOT(ISNUMBER(SEARCH("Ideas",$F41)))),$W41,NA())</f>
      </c>
      <c r="AE41" s="0">
        <f>IF(AND($V41&lt;&gt;"No",$E41="Rare",NOT(ISNUMBER(SEARCH("Ideas",$F41)))),$W41,NA())</f>
      </c>
      <c r="AF41" s="0">
        <f>IF(AND($V41&lt;&gt;"No",$E41="Legendary",NOT(ISNUMBER(SEARCH("Ideas",$F41)))),$W41,NA())</f>
      </c>
      <c r="AG41" s="0">
        <f>IF(AND($V41&lt;&gt;"No",ISNUMBER(SEARCH("Knight",$C41)),NOT(ISNUMBER(SEARCH("Ideas",$F41)))),$X41,NA())</f>
      </c>
      <c r="AH41" s="0">
        <f>IF(AND($V41&lt;&gt;"No",ISNUMBER(SEARCH("Mage",$C41)),NOT(ISNUMBER(SEARCH("Ideas",$F41)))),$X41,NA())</f>
      </c>
      <c r="AI41" s="0">
        <f>IF(AND($V41&lt;&gt;"No",ISNUMBER(SEARCH("Rogue",$C41)),NOT(ISNUMBER(SEARCH("Ideas",$F41)))),$X41,NA())</f>
      </c>
      <c r="AJ41" s="0">
        <f>IF($V41&lt;&gt;"No",$Y41,NA())</f>
      </c>
      <c r="AK41" s="0">
        <f>IF(AND($V41&lt;&gt;"No",ISNUMBER(SEARCH("Ideas",$F41))),$W41,NA())</f>
      </c>
      <c r="AL41" s="0">
        <f>IF(AND($V41&lt;&gt;"No",ISNUMBER(SEARCH("Cleric",$C41)),NOT(ISNUMBER(SEARCH("Ideas",$F41)))),$X41,NA())</f>
      </c>
    </row>
    <row r="42">
      <c r="A42" s="0" t="s">
        <v>213</v>
      </c>
      <c r="B42" s="0" t="s">
        <v>213</v>
      </c>
      <c r="C42" s="0" t="s">
        <v>49</v>
      </c>
      <c r="D42" s="0">
        <v>2</v>
      </c>
      <c r="E42" s="0" t="s">
        <v>32</v>
      </c>
      <c r="F42" s="0" t="s">
        <v>49</v>
      </c>
      <c r="G42" s="0">
        <v>1</v>
      </c>
      <c r="H42" s="0">
        <v>1</v>
      </c>
      <c r="I42" s="0">
        <v>0</v>
      </c>
      <c r="J42" s="0">
        <v>0</v>
      </c>
      <c r="K42" s="0">
        <v>0</v>
      </c>
      <c r="L42" s="0">
        <v>0</v>
      </c>
      <c r="M42" s="0">
        <v>0</v>
      </c>
      <c r="N42" s="0">
        <v>0</v>
      </c>
      <c r="O42" s="0">
        <v>3</v>
      </c>
      <c r="P42" s="0">
        <v>0</v>
      </c>
      <c r="Q42" s="0">
        <v>0</v>
      </c>
      <c r="R42" s="0">
        <v>0</v>
      </c>
      <c r="S42" s="0">
        <v>0</v>
      </c>
      <c r="T42" s="0" t="s">
        <v>1912</v>
      </c>
      <c r="U42" s="0" t="s">
        <v>34</v>
      </c>
      <c r="V42" s="0" t="s">
        <v>1905</v>
      </c>
      <c r="W42" s="11">
        <f>IF($V42="No","",ROUND((I42*w_Damage + N42*w_Poison + P42*w_Weaken*w_Horizon)*MIN(1+(G42-1)*w_OccEnemy,w_MaxEnemies) + (J42*w_Heal + K42*w_Shield + L42*w_Block + M42*w_Parry + O42*w_Strength*w_Horizon + S42*w_Combo)*MIN(1+(H42-1)*w_OccAlly,w_MaxAllies) + Q42*w_Draw + R42*w_Move,2))</f>
      </c>
      <c r="X42" s="11">
        <f>IF(W42="","",ROUND(W42/MAX(D42,1),2))</f>
      </c>
      <c r="Y42" s="11">
        <f>IF($V42="No","",ROUND((curve_Base+curve_Slope*D42)*IFERROR(VLOOKUP(E42,rarity_Mult,2,FALSE),1),2))</f>
      </c>
      <c r="Z42" s="11">
        <f>IF(OR(W42="",Y42=""),"",ROUND(W42-Y42,2))</f>
      </c>
      <c r="AA42" s="0">
        <f>IF(Z42="","",IF($V42="Partial","RIDER",IF(ABS(Z42)&lt;=Y42*tol_Pct,"OK",IF(Z42&gt;0,"OVER","UNDER"))))</f>
      </c>
      <c r="AB42" s="0" t="s">
        <v>34</v>
      </c>
      <c r="AC42" s="0">
        <f>IF(AND($V42&lt;&gt;"No",$E42="Common",NOT(ISNUMBER(SEARCH("Ideas",$F42)))),$W42,NA())</f>
      </c>
      <c r="AD42" s="0">
        <f>IF(AND($V42&lt;&gt;"No",$E42="Uncommon",NOT(ISNUMBER(SEARCH("Ideas",$F42)))),$W42,NA())</f>
      </c>
      <c r="AE42" s="0">
        <f>IF(AND($V42&lt;&gt;"No",$E42="Rare",NOT(ISNUMBER(SEARCH("Ideas",$F42)))),$W42,NA())</f>
      </c>
      <c r="AF42" s="0">
        <f>IF(AND($V42&lt;&gt;"No",$E42="Legendary",NOT(ISNUMBER(SEARCH("Ideas",$F42)))),$W42,NA())</f>
      </c>
      <c r="AG42" s="0">
        <f>IF(AND($V42&lt;&gt;"No",ISNUMBER(SEARCH("Knight",$C42)),NOT(ISNUMBER(SEARCH("Ideas",$F42)))),$X42,NA())</f>
      </c>
      <c r="AH42" s="0">
        <f>IF(AND($V42&lt;&gt;"No",ISNUMBER(SEARCH("Mage",$C42)),NOT(ISNUMBER(SEARCH("Ideas",$F42)))),$X42,NA())</f>
      </c>
      <c r="AI42" s="0">
        <f>IF(AND($V42&lt;&gt;"No",ISNUMBER(SEARCH("Rogue",$C42)),NOT(ISNUMBER(SEARCH("Ideas",$F42)))),$X42,NA())</f>
      </c>
      <c r="AJ42" s="0">
        <f>IF($V42&lt;&gt;"No",$Y42,NA())</f>
      </c>
      <c r="AK42" s="0">
        <f>IF(AND($V42&lt;&gt;"No",ISNUMBER(SEARCH("Ideas",$F42))),$W42,NA())</f>
      </c>
      <c r="AL42" s="0">
        <f>IF(AND($V42&lt;&gt;"No",ISNUMBER(SEARCH("Cleric",$C42)),NOT(ISNUMBER(SEARCH("Ideas",$F42)))),$X42,NA())</f>
      </c>
    </row>
    <row r="43">
      <c r="A43" s="0" t="s">
        <v>217</v>
      </c>
      <c r="B43" s="0" t="s">
        <v>217</v>
      </c>
      <c r="C43" s="0" t="s">
        <v>49</v>
      </c>
      <c r="D43" s="0">
        <v>2</v>
      </c>
      <c r="E43" s="0" t="s">
        <v>62</v>
      </c>
      <c r="F43" s="0" t="s">
        <v>49</v>
      </c>
      <c r="G43" s="0">
        <v>1</v>
      </c>
      <c r="H43" s="0">
        <v>1</v>
      </c>
      <c r="I43" s="0">
        <v>0</v>
      </c>
      <c r="J43" s="0">
        <v>0</v>
      </c>
      <c r="K43" s="0">
        <v>0</v>
      </c>
      <c r="L43" s="0">
        <v>0</v>
      </c>
      <c r="M43" s="0">
        <v>0</v>
      </c>
      <c r="N43" s="0">
        <v>0</v>
      </c>
      <c r="O43" s="0">
        <v>0</v>
      </c>
      <c r="P43" s="0">
        <v>0</v>
      </c>
      <c r="Q43" s="0">
        <v>0</v>
      </c>
      <c r="R43" s="0">
        <v>0</v>
      </c>
      <c r="S43" s="0">
        <v>0</v>
      </c>
      <c r="T43" s="0" t="s">
        <v>1913</v>
      </c>
      <c r="U43" s="0" t="s">
        <v>1914</v>
      </c>
      <c r="V43" s="0" t="s">
        <v>1407</v>
      </c>
      <c r="W43" s="11">
        <f>IF($V43="No","",ROUND((I43*w_Damage + N43*w_Poison + P43*w_Weaken*w_Horizon)*MIN(1+(G43-1)*w_OccEnemy,w_MaxEnemies) + (J43*w_Heal + K43*w_Shield + L43*w_Block + M43*w_Parry + O43*w_Strength*w_Horizon + S43*w_Combo)*MIN(1+(H43-1)*w_OccAlly,w_MaxAllies) + Q43*w_Draw + R43*w_Move,2))</f>
      </c>
      <c r="X43" s="11">
        <f>IF(W43="","",ROUND(W43/MAX(D43,1),2))</f>
      </c>
      <c r="Y43" s="11">
        <f>IF($V43="No","",ROUND((curve_Base+curve_Slope*D43)*IFERROR(VLOOKUP(E43,rarity_Mult,2,FALSE),1),2))</f>
      </c>
      <c r="Z43" s="11">
        <f>IF(OR(W43="",Y43=""),"",ROUND(W43-Y43,2))</f>
      </c>
      <c r="AA43" s="0">
        <f>IF(Z43="","",IF($V43="Partial","RIDER",IF(ABS(Z43)&lt;=Y43*tol_Pct,"OK",IF(Z43&gt;0,"OVER","UNDER"))))</f>
      </c>
      <c r="AB43" s="0" t="s">
        <v>34</v>
      </c>
      <c r="AC43" s="0">
        <f>IF(AND($V43&lt;&gt;"No",$E43="Common",NOT(ISNUMBER(SEARCH("Ideas",$F43)))),$W43,NA())</f>
      </c>
      <c r="AD43" s="0">
        <f>IF(AND($V43&lt;&gt;"No",$E43="Uncommon",NOT(ISNUMBER(SEARCH("Ideas",$F43)))),$W43,NA())</f>
      </c>
      <c r="AE43" s="0">
        <f>IF(AND($V43&lt;&gt;"No",$E43="Rare",NOT(ISNUMBER(SEARCH("Ideas",$F43)))),$W43,NA())</f>
      </c>
      <c r="AF43" s="0">
        <f>IF(AND($V43&lt;&gt;"No",$E43="Legendary",NOT(ISNUMBER(SEARCH("Ideas",$F43)))),$W43,NA())</f>
      </c>
      <c r="AG43" s="0">
        <f>IF(AND($V43&lt;&gt;"No",ISNUMBER(SEARCH("Knight",$C43)),NOT(ISNUMBER(SEARCH("Ideas",$F43)))),$X43,NA())</f>
      </c>
      <c r="AH43" s="0">
        <f>IF(AND($V43&lt;&gt;"No",ISNUMBER(SEARCH("Mage",$C43)),NOT(ISNUMBER(SEARCH("Ideas",$F43)))),$X43,NA())</f>
      </c>
      <c r="AI43" s="0">
        <f>IF(AND($V43&lt;&gt;"No",ISNUMBER(SEARCH("Rogue",$C43)),NOT(ISNUMBER(SEARCH("Ideas",$F43)))),$X43,NA())</f>
      </c>
      <c r="AJ43" s="0">
        <f>IF($V43&lt;&gt;"No",$Y43,NA())</f>
      </c>
      <c r="AK43" s="0">
        <f>IF(AND($V43&lt;&gt;"No",ISNUMBER(SEARCH("Ideas",$F43))),$W43,NA())</f>
      </c>
      <c r="AL43" s="0">
        <f>IF(AND($V43&lt;&gt;"No",ISNUMBER(SEARCH("Cleric",$C43)),NOT(ISNUMBER(SEARCH("Ideas",$F43)))),$X43,NA())</f>
      </c>
    </row>
    <row r="44">
      <c r="A44" s="0" t="s">
        <v>221</v>
      </c>
      <c r="B44" s="0" t="s">
        <v>221</v>
      </c>
      <c r="C44" s="0" t="s">
        <v>49</v>
      </c>
      <c r="D44" s="0">
        <v>2</v>
      </c>
      <c r="E44" s="0" t="s">
        <v>32</v>
      </c>
      <c r="F44" s="0" t="s">
        <v>49</v>
      </c>
      <c r="G44" s="0">
        <v>1</v>
      </c>
      <c r="H44" s="0">
        <v>1</v>
      </c>
      <c r="I44" s="0">
        <v>0</v>
      </c>
      <c r="J44" s="0">
        <v>0</v>
      </c>
      <c r="K44" s="0">
        <v>0</v>
      </c>
      <c r="L44" s="0">
        <v>0</v>
      </c>
      <c r="M44" s="0">
        <v>0</v>
      </c>
      <c r="N44" s="0">
        <v>0</v>
      </c>
      <c r="O44" s="0">
        <v>0</v>
      </c>
      <c r="P44" s="0">
        <v>0</v>
      </c>
      <c r="Q44" s="0">
        <v>0</v>
      </c>
      <c r="R44" s="0">
        <v>0</v>
      </c>
      <c r="S44" s="0">
        <v>0</v>
      </c>
      <c r="T44" s="0" t="s">
        <v>1915</v>
      </c>
      <c r="U44" s="6" t="s">
        <v>1452</v>
      </c>
      <c r="V44" s="0" t="s">
        <v>1407</v>
      </c>
      <c r="W44" s="11">
        <f>IF($V44="No","",ROUND((I44*w_Damage + N44*w_Poison + P44*w_Weaken*w_Horizon)*MIN(1+(G44-1)*w_OccEnemy,w_MaxEnemies) + (J44*w_Heal + K44*w_Shield + L44*w_Block + M44*w_Parry + O44*w_Strength*w_Horizon + S44*w_Combo)*MIN(1+(H44-1)*w_OccAlly,w_MaxAllies) + Q44*w_Draw + R44*w_Move,2))</f>
      </c>
      <c r="X44" s="11">
        <f>IF(W44="","",ROUND(W44/MAX(D44,1),2))</f>
      </c>
      <c r="Y44" s="11">
        <f>IF($V44="No","",ROUND((curve_Base+curve_Slope*D44)*IFERROR(VLOOKUP(E44,rarity_Mult,2,FALSE),1),2))</f>
      </c>
      <c r="Z44" s="11">
        <f>IF(OR(W44="",Y44=""),"",ROUND(W44-Y44,2))</f>
      </c>
      <c r="AA44" s="0">
        <f>IF(Z44="","",IF($V44="Partial","RIDER",IF(ABS(Z44)&lt;=Y44*tol_Pct,"OK",IF(Z44&gt;0,"OVER","UNDER"))))</f>
      </c>
      <c r="AB44" s="0" t="s">
        <v>34</v>
      </c>
      <c r="AC44" s="0">
        <f>IF(AND($V44&lt;&gt;"No",$E44="Common",NOT(ISNUMBER(SEARCH("Ideas",$F44)))),$W44,NA())</f>
      </c>
      <c r="AD44" s="0">
        <f>IF(AND($V44&lt;&gt;"No",$E44="Uncommon",NOT(ISNUMBER(SEARCH("Ideas",$F44)))),$W44,NA())</f>
      </c>
      <c r="AE44" s="0">
        <f>IF(AND($V44&lt;&gt;"No",$E44="Rare",NOT(ISNUMBER(SEARCH("Ideas",$F44)))),$W44,NA())</f>
      </c>
      <c r="AF44" s="0">
        <f>IF(AND($V44&lt;&gt;"No",$E44="Legendary",NOT(ISNUMBER(SEARCH("Ideas",$F44)))),$W44,NA())</f>
      </c>
      <c r="AG44" s="0">
        <f>IF(AND($V44&lt;&gt;"No",ISNUMBER(SEARCH("Knight",$C44)),NOT(ISNUMBER(SEARCH("Ideas",$F44)))),$X44,NA())</f>
      </c>
      <c r="AH44" s="0">
        <f>IF(AND($V44&lt;&gt;"No",ISNUMBER(SEARCH("Mage",$C44)),NOT(ISNUMBER(SEARCH("Ideas",$F44)))),$X44,NA())</f>
      </c>
      <c r="AI44" s="0">
        <f>IF(AND($V44&lt;&gt;"No",ISNUMBER(SEARCH("Rogue",$C44)),NOT(ISNUMBER(SEARCH("Ideas",$F44)))),$X44,NA())</f>
      </c>
      <c r="AJ44" s="0">
        <f>IF($V44&lt;&gt;"No",$Y44,NA())</f>
      </c>
      <c r="AK44" s="0">
        <f>IF(AND($V44&lt;&gt;"No",ISNUMBER(SEARCH("Ideas",$F44))),$W44,NA())</f>
      </c>
      <c r="AL44" s="0">
        <f>IF(AND($V44&lt;&gt;"No",ISNUMBER(SEARCH("Cleric",$C44)),NOT(ISNUMBER(SEARCH("Ideas",$F44)))),$X44,NA())</f>
      </c>
    </row>
    <row r="45">
      <c r="A45" s="0" t="s">
        <v>225</v>
      </c>
      <c r="B45" s="0" t="s">
        <v>225</v>
      </c>
      <c r="C45" s="0" t="s">
        <v>49</v>
      </c>
      <c r="D45" s="0">
        <v>2</v>
      </c>
      <c r="E45" s="0" t="s">
        <v>32</v>
      </c>
      <c r="F45" s="0" t="s">
        <v>49</v>
      </c>
      <c r="G45" s="0">
        <v>1</v>
      </c>
      <c r="H45" s="0">
        <v>1</v>
      </c>
      <c r="I45" s="0">
        <v>0</v>
      </c>
      <c r="J45" s="0">
        <v>0</v>
      </c>
      <c r="K45" s="0">
        <v>0</v>
      </c>
      <c r="L45" s="0">
        <v>0</v>
      </c>
      <c r="M45" s="0">
        <v>0</v>
      </c>
      <c r="N45" s="0">
        <v>0</v>
      </c>
      <c r="O45" s="0">
        <v>0</v>
      </c>
      <c r="P45" s="0">
        <v>0</v>
      </c>
      <c r="Q45" s="0">
        <v>0</v>
      </c>
      <c r="R45" s="0">
        <v>0</v>
      </c>
      <c r="S45" s="0">
        <v>0</v>
      </c>
      <c r="T45" s="0" t="s">
        <v>1916</v>
      </c>
      <c r="U45" s="0" t="s">
        <v>1911</v>
      </c>
      <c r="V45" s="0" t="s">
        <v>1407</v>
      </c>
      <c r="W45" s="11">
        <f>IF($V45="No","",ROUND((I45*w_Damage + N45*w_Poison + P45*w_Weaken*w_Horizon)*MIN(1+(G45-1)*w_OccEnemy,w_MaxEnemies) + (J45*w_Heal + K45*w_Shield + L45*w_Block + M45*w_Parry + O45*w_Strength*w_Horizon + S45*w_Combo)*MIN(1+(H45-1)*w_OccAlly,w_MaxAllies) + Q45*w_Draw + R45*w_Move,2))</f>
      </c>
      <c r="X45" s="11">
        <f>IF(W45="","",ROUND(W45/MAX(D45,1),2))</f>
      </c>
      <c r="Y45" s="11">
        <f>IF($V45="No","",ROUND((curve_Base+curve_Slope*D45)*IFERROR(VLOOKUP(E45,rarity_Mult,2,FALSE),1),2))</f>
      </c>
      <c r="Z45" s="11">
        <f>IF(OR(W45="",Y45=""),"",ROUND(W45-Y45,2))</f>
      </c>
      <c r="AA45" s="0">
        <f>IF(Z45="","",IF($V45="Partial","RIDER",IF(ABS(Z45)&lt;=Y45*tol_Pct,"OK",IF(Z45&gt;0,"OVER","UNDER"))))</f>
      </c>
      <c r="AB45" s="0" t="s">
        <v>34</v>
      </c>
      <c r="AC45" s="0">
        <f>IF(AND($V45&lt;&gt;"No",$E45="Common",NOT(ISNUMBER(SEARCH("Ideas",$F45)))),$W45,NA())</f>
      </c>
      <c r="AD45" s="0">
        <f>IF(AND($V45&lt;&gt;"No",$E45="Uncommon",NOT(ISNUMBER(SEARCH("Ideas",$F45)))),$W45,NA())</f>
      </c>
      <c r="AE45" s="0">
        <f>IF(AND($V45&lt;&gt;"No",$E45="Rare",NOT(ISNUMBER(SEARCH("Ideas",$F45)))),$W45,NA())</f>
      </c>
      <c r="AF45" s="0">
        <f>IF(AND($V45&lt;&gt;"No",$E45="Legendary",NOT(ISNUMBER(SEARCH("Ideas",$F45)))),$W45,NA())</f>
      </c>
      <c r="AG45" s="0">
        <f>IF(AND($V45&lt;&gt;"No",ISNUMBER(SEARCH("Knight",$C45)),NOT(ISNUMBER(SEARCH("Ideas",$F45)))),$X45,NA())</f>
      </c>
      <c r="AH45" s="0">
        <f>IF(AND($V45&lt;&gt;"No",ISNUMBER(SEARCH("Mage",$C45)),NOT(ISNUMBER(SEARCH("Ideas",$F45)))),$X45,NA())</f>
      </c>
      <c r="AI45" s="0">
        <f>IF(AND($V45&lt;&gt;"No",ISNUMBER(SEARCH("Rogue",$C45)),NOT(ISNUMBER(SEARCH("Ideas",$F45)))),$X45,NA())</f>
      </c>
      <c r="AJ45" s="0">
        <f>IF($V45&lt;&gt;"No",$Y45,NA())</f>
      </c>
      <c r="AK45" s="0">
        <f>IF(AND($V45&lt;&gt;"No",ISNUMBER(SEARCH("Ideas",$F45))),$W45,NA())</f>
      </c>
      <c r="AL45" s="0">
        <f>IF(AND($V45&lt;&gt;"No",ISNUMBER(SEARCH("Cleric",$C45)),NOT(ISNUMBER(SEARCH("Ideas",$F45)))),$X45,NA())</f>
      </c>
    </row>
    <row r="46">
      <c r="A46" s="0" t="s">
        <v>229</v>
      </c>
      <c r="B46" s="0" t="s">
        <v>229</v>
      </c>
      <c r="C46" s="0" t="s">
        <v>49</v>
      </c>
      <c r="D46" s="0">
        <v>2</v>
      </c>
      <c r="E46" s="0" t="s">
        <v>62</v>
      </c>
      <c r="F46" s="0" t="s">
        <v>49</v>
      </c>
      <c r="G46" s="0">
        <v>1</v>
      </c>
      <c r="H46" s="0">
        <v>1</v>
      </c>
      <c r="I46" s="0">
        <v>0</v>
      </c>
      <c r="J46" s="0">
        <v>0</v>
      </c>
      <c r="K46" s="0">
        <v>9</v>
      </c>
      <c r="L46" s="0">
        <v>0</v>
      </c>
      <c r="M46" s="0">
        <v>0</v>
      </c>
      <c r="N46" s="0">
        <v>0</v>
      </c>
      <c r="O46" s="0">
        <v>0</v>
      </c>
      <c r="P46" s="0">
        <v>0</v>
      </c>
      <c r="Q46" s="0">
        <v>0</v>
      </c>
      <c r="R46" s="0">
        <v>0</v>
      </c>
      <c r="S46" s="0">
        <v>0</v>
      </c>
      <c r="T46" s="0" t="s">
        <v>1917</v>
      </c>
      <c r="U46" s="0" t="s">
        <v>34</v>
      </c>
      <c r="V46" s="0" t="s">
        <v>1905</v>
      </c>
      <c r="W46" s="11">
        <f>IF($V46="No","",ROUND((I46*w_Damage + N46*w_Poison + P46*w_Weaken*w_Horizon)*MIN(1+(G46-1)*w_OccEnemy,w_MaxEnemies) + (J46*w_Heal + K46*w_Shield + L46*w_Block + M46*w_Parry + O46*w_Strength*w_Horizon + S46*w_Combo)*MIN(1+(H46-1)*w_OccAlly,w_MaxAllies) + Q46*w_Draw + R46*w_Move,2))</f>
      </c>
      <c r="X46" s="11">
        <f>IF(W46="","",ROUND(W46/MAX(D46,1),2))</f>
      </c>
      <c r="Y46" s="11">
        <f>IF($V46="No","",ROUND((curve_Base+curve_Slope*D46)*IFERROR(VLOOKUP(E46,rarity_Mult,2,FALSE),1),2))</f>
      </c>
      <c r="Z46" s="11">
        <f>IF(OR(W46="",Y46=""),"",ROUND(W46-Y46,2))</f>
      </c>
      <c r="AA46" s="0">
        <f>IF(Z46="","",IF($V46="Partial","RIDER",IF(ABS(Z46)&lt;=Y46*tol_Pct,"OK",IF(Z46&gt;0,"OVER","UNDER"))))</f>
      </c>
      <c r="AB46" s="0" t="s">
        <v>34</v>
      </c>
      <c r="AC46" s="0">
        <f>IF(AND($V46&lt;&gt;"No",$E46="Common",NOT(ISNUMBER(SEARCH("Ideas",$F46)))),$W46,NA())</f>
      </c>
      <c r="AD46" s="0">
        <f>IF(AND($V46&lt;&gt;"No",$E46="Uncommon",NOT(ISNUMBER(SEARCH("Ideas",$F46)))),$W46,NA())</f>
      </c>
      <c r="AE46" s="0">
        <f>IF(AND($V46&lt;&gt;"No",$E46="Rare",NOT(ISNUMBER(SEARCH("Ideas",$F46)))),$W46,NA())</f>
      </c>
      <c r="AF46" s="0">
        <f>IF(AND($V46&lt;&gt;"No",$E46="Legendary",NOT(ISNUMBER(SEARCH("Ideas",$F46)))),$W46,NA())</f>
      </c>
      <c r="AG46" s="0">
        <f>IF(AND($V46&lt;&gt;"No",ISNUMBER(SEARCH("Knight",$C46)),NOT(ISNUMBER(SEARCH("Ideas",$F46)))),$X46,NA())</f>
      </c>
      <c r="AH46" s="0">
        <f>IF(AND($V46&lt;&gt;"No",ISNUMBER(SEARCH("Mage",$C46)),NOT(ISNUMBER(SEARCH("Ideas",$F46)))),$X46,NA())</f>
      </c>
      <c r="AI46" s="0">
        <f>IF(AND($V46&lt;&gt;"No",ISNUMBER(SEARCH("Rogue",$C46)),NOT(ISNUMBER(SEARCH("Ideas",$F46)))),$X46,NA())</f>
      </c>
      <c r="AJ46" s="0">
        <f>IF($V46&lt;&gt;"No",$Y46,NA())</f>
      </c>
      <c r="AK46" s="0">
        <f>IF(AND($V46&lt;&gt;"No",ISNUMBER(SEARCH("Ideas",$F46))),$W46,NA())</f>
      </c>
      <c r="AL46" s="0">
        <f>IF(AND($V46&lt;&gt;"No",ISNUMBER(SEARCH("Cleric",$C46)),NOT(ISNUMBER(SEARCH("Ideas",$F46)))),$X46,NA())</f>
      </c>
    </row>
    <row r="47">
      <c r="A47" s="0" t="s">
        <v>233</v>
      </c>
      <c r="B47" s="0" t="s">
        <v>233</v>
      </c>
      <c r="C47" s="0" t="s">
        <v>49</v>
      </c>
      <c r="D47" s="0">
        <v>2</v>
      </c>
      <c r="E47" s="0" t="s">
        <v>32</v>
      </c>
      <c r="F47" s="0" t="s">
        <v>49</v>
      </c>
      <c r="G47" s="0">
        <v>1</v>
      </c>
      <c r="H47" s="0">
        <v>1</v>
      </c>
      <c r="I47" s="0">
        <v>0</v>
      </c>
      <c r="J47" s="0">
        <v>0</v>
      </c>
      <c r="K47" s="0">
        <v>0</v>
      </c>
      <c r="L47" s="0">
        <v>0</v>
      </c>
      <c r="M47" s="0">
        <v>0</v>
      </c>
      <c r="N47" s="0">
        <v>0</v>
      </c>
      <c r="O47" s="0">
        <v>0</v>
      </c>
      <c r="P47" s="0">
        <v>0</v>
      </c>
      <c r="Q47" s="0">
        <v>0</v>
      </c>
      <c r="R47" s="0">
        <v>0</v>
      </c>
      <c r="S47" s="0">
        <v>0</v>
      </c>
      <c r="T47" s="0" t="s">
        <v>1918</v>
      </c>
      <c r="U47" s="0" t="s">
        <v>1919</v>
      </c>
      <c r="V47" s="0" t="s">
        <v>1407</v>
      </c>
      <c r="W47" s="11">
        <f>IF($V47="No","",ROUND((I47*w_Damage + N47*w_Poison + P47*w_Weaken*w_Horizon)*MIN(1+(G47-1)*w_OccEnemy,w_MaxEnemies) + (J47*w_Heal + K47*w_Shield + L47*w_Block + M47*w_Parry + O47*w_Strength*w_Horizon + S47*w_Combo)*MIN(1+(H47-1)*w_OccAlly,w_MaxAllies) + Q47*w_Draw + R47*w_Move,2))</f>
      </c>
      <c r="X47" s="11">
        <f>IF(W47="","",ROUND(W47/MAX(D47,1),2))</f>
      </c>
      <c r="Y47" s="11">
        <f>IF($V47="No","",ROUND((curve_Base+curve_Slope*D47)*IFERROR(VLOOKUP(E47,rarity_Mult,2,FALSE),1),2))</f>
      </c>
      <c r="Z47" s="11">
        <f>IF(OR(W47="",Y47=""),"",ROUND(W47-Y47,2))</f>
      </c>
      <c r="AA47" s="0">
        <f>IF(Z47="","",IF($V47="Partial","RIDER",IF(ABS(Z47)&lt;=Y47*tol_Pct,"OK",IF(Z47&gt;0,"OVER","UNDER"))))</f>
      </c>
      <c r="AB47" s="0" t="s">
        <v>34</v>
      </c>
      <c r="AC47" s="0">
        <f>IF(AND($V47&lt;&gt;"No",$E47="Common",NOT(ISNUMBER(SEARCH("Ideas",$F47)))),$W47,NA())</f>
      </c>
      <c r="AD47" s="0">
        <f>IF(AND($V47&lt;&gt;"No",$E47="Uncommon",NOT(ISNUMBER(SEARCH("Ideas",$F47)))),$W47,NA())</f>
      </c>
      <c r="AE47" s="0">
        <f>IF(AND($V47&lt;&gt;"No",$E47="Rare",NOT(ISNUMBER(SEARCH("Ideas",$F47)))),$W47,NA())</f>
      </c>
      <c r="AF47" s="0">
        <f>IF(AND($V47&lt;&gt;"No",$E47="Legendary",NOT(ISNUMBER(SEARCH("Ideas",$F47)))),$W47,NA())</f>
      </c>
      <c r="AG47" s="0">
        <f>IF(AND($V47&lt;&gt;"No",ISNUMBER(SEARCH("Knight",$C47)),NOT(ISNUMBER(SEARCH("Ideas",$F47)))),$X47,NA())</f>
      </c>
      <c r="AH47" s="0">
        <f>IF(AND($V47&lt;&gt;"No",ISNUMBER(SEARCH("Mage",$C47)),NOT(ISNUMBER(SEARCH("Ideas",$F47)))),$X47,NA())</f>
      </c>
      <c r="AI47" s="0">
        <f>IF(AND($V47&lt;&gt;"No",ISNUMBER(SEARCH("Rogue",$C47)),NOT(ISNUMBER(SEARCH("Ideas",$F47)))),$X47,NA())</f>
      </c>
      <c r="AJ47" s="0">
        <f>IF($V47&lt;&gt;"No",$Y47,NA())</f>
      </c>
      <c r="AK47" s="0">
        <f>IF(AND($V47&lt;&gt;"No",ISNUMBER(SEARCH("Ideas",$F47))),$W47,NA())</f>
      </c>
      <c r="AL47" s="0">
        <f>IF(AND($V47&lt;&gt;"No",ISNUMBER(SEARCH("Cleric",$C47)),NOT(ISNUMBER(SEARCH("Ideas",$F47)))),$X47,NA())</f>
      </c>
    </row>
    <row r="48">
      <c r="A48" s="0" t="s">
        <v>237</v>
      </c>
      <c r="B48" s="0" t="s">
        <v>237</v>
      </c>
      <c r="C48" s="0" t="s">
        <v>49</v>
      </c>
      <c r="D48" s="0">
        <v>2</v>
      </c>
      <c r="E48" s="0" t="s">
        <v>62</v>
      </c>
      <c r="F48" s="0" t="s">
        <v>49</v>
      </c>
      <c r="G48" s="0">
        <v>1</v>
      </c>
      <c r="H48" s="0">
        <v>1</v>
      </c>
      <c r="I48" s="0">
        <v>0</v>
      </c>
      <c r="J48" s="0">
        <v>0</v>
      </c>
      <c r="K48" s="0">
        <v>0</v>
      </c>
      <c r="L48" s="0">
        <v>0</v>
      </c>
      <c r="M48" s="0">
        <v>0</v>
      </c>
      <c r="N48" s="0">
        <v>0</v>
      </c>
      <c r="O48" s="0">
        <v>0</v>
      </c>
      <c r="P48" s="0">
        <v>0</v>
      </c>
      <c r="Q48" s="0">
        <v>0</v>
      </c>
      <c r="R48" s="0">
        <v>0</v>
      </c>
      <c r="S48" s="0">
        <v>0</v>
      </c>
      <c r="T48" s="0" t="s">
        <v>1920</v>
      </c>
      <c r="U48" s="0" t="s">
        <v>1921</v>
      </c>
      <c r="V48" s="0" t="s">
        <v>1407</v>
      </c>
      <c r="W48" s="11">
        <f>IF($V48="No","",ROUND((I48*w_Damage + N48*w_Poison + P48*w_Weaken*w_Horizon)*MIN(1+(G48-1)*w_OccEnemy,w_MaxEnemies) + (J48*w_Heal + K48*w_Shield + L48*w_Block + M48*w_Parry + O48*w_Strength*w_Horizon + S48*w_Combo)*MIN(1+(H48-1)*w_OccAlly,w_MaxAllies) + Q48*w_Draw + R48*w_Move,2))</f>
      </c>
      <c r="X48" s="11">
        <f>IF(W48="","",ROUND(W48/MAX(D48,1),2))</f>
      </c>
      <c r="Y48" s="11">
        <f>IF($V48="No","",ROUND((curve_Base+curve_Slope*D48)*IFERROR(VLOOKUP(E48,rarity_Mult,2,FALSE),1),2))</f>
      </c>
      <c r="Z48" s="11">
        <f>IF(OR(W48="",Y48=""),"",ROUND(W48-Y48,2))</f>
      </c>
      <c r="AA48" s="0">
        <f>IF(Z48="","",IF($V48="Partial","RIDER",IF(ABS(Z48)&lt;=Y48*tol_Pct,"OK",IF(Z48&gt;0,"OVER","UNDER"))))</f>
      </c>
      <c r="AB48" s="0" t="s">
        <v>34</v>
      </c>
      <c r="AC48" s="0">
        <f>IF(AND($V48&lt;&gt;"No",$E48="Common",NOT(ISNUMBER(SEARCH("Ideas",$F48)))),$W48,NA())</f>
      </c>
      <c r="AD48" s="0">
        <f>IF(AND($V48&lt;&gt;"No",$E48="Uncommon",NOT(ISNUMBER(SEARCH("Ideas",$F48)))),$W48,NA())</f>
      </c>
      <c r="AE48" s="0">
        <f>IF(AND($V48&lt;&gt;"No",$E48="Rare",NOT(ISNUMBER(SEARCH("Ideas",$F48)))),$W48,NA())</f>
      </c>
      <c r="AF48" s="0">
        <f>IF(AND($V48&lt;&gt;"No",$E48="Legendary",NOT(ISNUMBER(SEARCH("Ideas",$F48)))),$W48,NA())</f>
      </c>
      <c r="AG48" s="0">
        <f>IF(AND($V48&lt;&gt;"No",ISNUMBER(SEARCH("Knight",$C48)),NOT(ISNUMBER(SEARCH("Ideas",$F48)))),$X48,NA())</f>
      </c>
      <c r="AH48" s="0">
        <f>IF(AND($V48&lt;&gt;"No",ISNUMBER(SEARCH("Mage",$C48)),NOT(ISNUMBER(SEARCH("Ideas",$F48)))),$X48,NA())</f>
      </c>
      <c r="AI48" s="0">
        <f>IF(AND($V48&lt;&gt;"No",ISNUMBER(SEARCH("Rogue",$C48)),NOT(ISNUMBER(SEARCH("Ideas",$F48)))),$X48,NA())</f>
      </c>
      <c r="AJ48" s="0">
        <f>IF($V48&lt;&gt;"No",$Y48,NA())</f>
      </c>
      <c r="AK48" s="0">
        <f>IF(AND($V48&lt;&gt;"No",ISNUMBER(SEARCH("Ideas",$F48))),$W48,NA())</f>
      </c>
      <c r="AL48" s="0">
        <f>IF(AND($V48&lt;&gt;"No",ISNUMBER(SEARCH("Cleric",$C48)),NOT(ISNUMBER(SEARCH("Ideas",$F48)))),$X48,NA())</f>
      </c>
    </row>
    <row r="49">
      <c r="A49" s="0" t="s">
        <v>241</v>
      </c>
      <c r="B49" s="0" t="s">
        <v>241</v>
      </c>
      <c r="C49" s="0" t="s">
        <v>49</v>
      </c>
      <c r="D49" s="0">
        <v>2</v>
      </c>
      <c r="E49" s="0" t="s">
        <v>62</v>
      </c>
      <c r="F49" s="0" t="s">
        <v>49</v>
      </c>
      <c r="G49" s="0">
        <v>1</v>
      </c>
      <c r="H49" s="0">
        <v>1</v>
      </c>
      <c r="I49" s="0">
        <v>0</v>
      </c>
      <c r="J49" s="0">
        <v>0</v>
      </c>
      <c r="K49" s="0">
        <v>0</v>
      </c>
      <c r="L49" s="0">
        <v>0</v>
      </c>
      <c r="M49" s="0">
        <v>0</v>
      </c>
      <c r="N49" s="0">
        <v>0</v>
      </c>
      <c r="O49" s="0">
        <v>0</v>
      </c>
      <c r="P49" s="0">
        <v>0</v>
      </c>
      <c r="Q49" s="0">
        <v>3</v>
      </c>
      <c r="R49" s="0">
        <v>0</v>
      </c>
      <c r="S49" s="0">
        <v>0</v>
      </c>
      <c r="T49" s="0" t="s">
        <v>1922</v>
      </c>
      <c r="U49" s="0" t="s">
        <v>34</v>
      </c>
      <c r="V49" s="0" t="s">
        <v>1905</v>
      </c>
      <c r="W49" s="11">
        <f>IF($V49="No","",ROUND((I49*w_Damage + N49*w_Poison + P49*w_Weaken*w_Horizon)*MIN(1+(G49-1)*w_OccEnemy,w_MaxEnemies) + (J49*w_Heal + K49*w_Shield + L49*w_Block + M49*w_Parry + O49*w_Strength*w_Horizon + S49*w_Combo)*MIN(1+(H49-1)*w_OccAlly,w_MaxAllies) + Q49*w_Draw + R49*w_Move,2))</f>
      </c>
      <c r="X49" s="11">
        <f>IF(W49="","",ROUND(W49/MAX(D49,1),2))</f>
      </c>
      <c r="Y49" s="11">
        <f>IF($V49="No","",ROUND((curve_Base+curve_Slope*D49)*IFERROR(VLOOKUP(E49,rarity_Mult,2,FALSE),1),2))</f>
      </c>
      <c r="Z49" s="11">
        <f>IF(OR(W49="",Y49=""),"",ROUND(W49-Y49,2))</f>
      </c>
      <c r="AA49" s="0">
        <f>IF(Z49="","",IF($V49="Partial","RIDER",IF(ABS(Z49)&lt;=Y49*tol_Pct,"OK",IF(Z49&gt;0,"OVER","UNDER"))))</f>
      </c>
      <c r="AB49" s="0" t="s">
        <v>34</v>
      </c>
      <c r="AC49" s="0">
        <f>IF(AND($V49&lt;&gt;"No",$E49="Common",NOT(ISNUMBER(SEARCH("Ideas",$F49)))),$W49,NA())</f>
      </c>
      <c r="AD49" s="0">
        <f>IF(AND($V49&lt;&gt;"No",$E49="Uncommon",NOT(ISNUMBER(SEARCH("Ideas",$F49)))),$W49,NA())</f>
      </c>
      <c r="AE49" s="0">
        <f>IF(AND($V49&lt;&gt;"No",$E49="Rare",NOT(ISNUMBER(SEARCH("Ideas",$F49)))),$W49,NA())</f>
      </c>
      <c r="AF49" s="0">
        <f>IF(AND($V49&lt;&gt;"No",$E49="Legendary",NOT(ISNUMBER(SEARCH("Ideas",$F49)))),$W49,NA())</f>
      </c>
      <c r="AG49" s="0">
        <f>IF(AND($V49&lt;&gt;"No",ISNUMBER(SEARCH("Knight",$C49)),NOT(ISNUMBER(SEARCH("Ideas",$F49)))),$X49,NA())</f>
      </c>
      <c r="AH49" s="0">
        <f>IF(AND($V49&lt;&gt;"No",ISNUMBER(SEARCH("Mage",$C49)),NOT(ISNUMBER(SEARCH("Ideas",$F49)))),$X49,NA())</f>
      </c>
      <c r="AI49" s="0">
        <f>IF(AND($V49&lt;&gt;"No",ISNUMBER(SEARCH("Rogue",$C49)),NOT(ISNUMBER(SEARCH("Ideas",$F49)))),$X49,NA())</f>
      </c>
      <c r="AJ49" s="0">
        <f>IF($V49&lt;&gt;"No",$Y49,NA())</f>
      </c>
      <c r="AK49" s="0">
        <f>IF(AND($V49&lt;&gt;"No",ISNUMBER(SEARCH("Ideas",$F49))),$W49,NA())</f>
      </c>
      <c r="AL49" s="0">
        <f>IF(AND($V49&lt;&gt;"No",ISNUMBER(SEARCH("Cleric",$C49)),NOT(ISNUMBER(SEARCH("Ideas",$F49)))),$X49,NA())</f>
      </c>
    </row>
    <row r="50">
      <c r="A50" s="0" t="s">
        <v>245</v>
      </c>
      <c r="B50" s="0" t="s">
        <v>245</v>
      </c>
      <c r="C50" s="0" t="s">
        <v>49</v>
      </c>
      <c r="D50" s="0">
        <v>0</v>
      </c>
      <c r="E50" s="0" t="s">
        <v>62</v>
      </c>
      <c r="F50" s="0" t="s">
        <v>49</v>
      </c>
      <c r="G50" s="0">
        <v>1</v>
      </c>
      <c r="H50" s="0">
        <v>1</v>
      </c>
      <c r="I50" s="0">
        <v>0</v>
      </c>
      <c r="J50" s="0">
        <v>0</v>
      </c>
      <c r="K50" s="0">
        <v>0</v>
      </c>
      <c r="L50" s="0">
        <v>0</v>
      </c>
      <c r="M50" s="0">
        <v>0</v>
      </c>
      <c r="N50" s="0">
        <v>0</v>
      </c>
      <c r="O50" s="0">
        <v>0</v>
      </c>
      <c r="P50" s="0">
        <v>0</v>
      </c>
      <c r="Q50" s="0">
        <v>0</v>
      </c>
      <c r="R50" s="0">
        <v>0</v>
      </c>
      <c r="S50" s="0">
        <v>0</v>
      </c>
      <c r="T50" s="0" t="s">
        <v>34</v>
      </c>
      <c r="U50" s="0" t="s">
        <v>34</v>
      </c>
      <c r="V50" s="0" t="s">
        <v>1407</v>
      </c>
      <c r="W50" s="11">
        <f>IF($V50="No","",ROUND((I50*w_Damage + N50*w_Poison + P50*w_Weaken*w_Horizon)*MIN(1+(G50-1)*w_OccEnemy,w_MaxEnemies) + (J50*w_Heal + K50*w_Shield + L50*w_Block + M50*w_Parry + O50*w_Strength*w_Horizon + S50*w_Combo)*MIN(1+(H50-1)*w_OccAlly,w_MaxAllies) + Q50*w_Draw + R50*w_Move,2))</f>
      </c>
      <c r="X50" s="11">
        <f>IF(W50="","",ROUND(W50/MAX(D50,1),2))</f>
      </c>
      <c r="Y50" s="11">
        <f>IF($V50="No","",ROUND((curve_Base+curve_Slope*D50)*IFERROR(VLOOKUP(E50,rarity_Mult,2,FALSE),1),2))</f>
      </c>
      <c r="Z50" s="11">
        <f>IF(OR(W50="",Y50=""),"",ROUND(W50-Y50,2))</f>
      </c>
      <c r="AA50" s="0">
        <f>IF(Z50="","",IF($V50="Partial","RIDER",IF(ABS(Z50)&lt;=Y50*tol_Pct,"OK",IF(Z50&gt;0,"OVER","UNDER"))))</f>
      </c>
      <c r="AB50" s="0" t="s">
        <v>34</v>
      </c>
      <c r="AC50" s="0">
        <f>IF(AND($V50&lt;&gt;"No",$E50="Common",NOT(ISNUMBER(SEARCH("Ideas",$F50)))),$W50,NA())</f>
      </c>
      <c r="AD50" s="0">
        <f>IF(AND($V50&lt;&gt;"No",$E50="Uncommon",NOT(ISNUMBER(SEARCH("Ideas",$F50)))),$W50,NA())</f>
      </c>
      <c r="AE50" s="0">
        <f>IF(AND($V50&lt;&gt;"No",$E50="Rare",NOT(ISNUMBER(SEARCH("Ideas",$F50)))),$W50,NA())</f>
      </c>
      <c r="AF50" s="0">
        <f>IF(AND($V50&lt;&gt;"No",$E50="Legendary",NOT(ISNUMBER(SEARCH("Ideas",$F50)))),$W50,NA())</f>
      </c>
      <c r="AG50" s="0">
        <f>IF(AND($V50&lt;&gt;"No",ISNUMBER(SEARCH("Knight",$C50)),NOT(ISNUMBER(SEARCH("Ideas",$F50)))),$X50,NA())</f>
      </c>
      <c r="AH50" s="0">
        <f>IF(AND($V50&lt;&gt;"No",ISNUMBER(SEARCH("Mage",$C50)),NOT(ISNUMBER(SEARCH("Ideas",$F50)))),$X50,NA())</f>
      </c>
      <c r="AI50" s="0">
        <f>IF(AND($V50&lt;&gt;"No",ISNUMBER(SEARCH("Rogue",$C50)),NOT(ISNUMBER(SEARCH("Ideas",$F50)))),$X50,NA())</f>
      </c>
      <c r="AJ50" s="0">
        <f>IF($V50&lt;&gt;"No",$Y50,NA())</f>
      </c>
      <c r="AK50" s="0">
        <f>IF(AND($V50&lt;&gt;"No",ISNUMBER(SEARCH("Ideas",$F50))),$W50,NA())</f>
      </c>
      <c r="AL50" s="0">
        <f>IF(AND($V50&lt;&gt;"No",ISNUMBER(SEARCH("Cleric",$C50)),NOT(ISNUMBER(SEARCH("Ideas",$F50)))),$X50,NA())</f>
      </c>
    </row>
    <row r="51">
      <c r="A51" s="0" t="s">
        <v>251</v>
      </c>
      <c r="B51" s="0" t="s">
        <v>251</v>
      </c>
      <c r="C51" s="0" t="s">
        <v>49</v>
      </c>
      <c r="D51" s="0">
        <v>0</v>
      </c>
      <c r="E51" s="0" t="s">
        <v>62</v>
      </c>
      <c r="F51" s="0" t="s">
        <v>49</v>
      </c>
      <c r="G51" s="0">
        <v>1</v>
      </c>
      <c r="H51" s="0">
        <v>1</v>
      </c>
      <c r="I51" s="0">
        <v>0</v>
      </c>
      <c r="J51" s="0">
        <v>0</v>
      </c>
      <c r="K51" s="0">
        <v>0</v>
      </c>
      <c r="L51" s="0">
        <v>0</v>
      </c>
      <c r="M51" s="0">
        <v>0</v>
      </c>
      <c r="N51" s="0">
        <v>0</v>
      </c>
      <c r="O51" s="0">
        <v>0</v>
      </c>
      <c r="P51" s="0">
        <v>0</v>
      </c>
      <c r="Q51" s="0">
        <v>1</v>
      </c>
      <c r="R51" s="0">
        <v>0</v>
      </c>
      <c r="S51" s="0">
        <v>0</v>
      </c>
      <c r="T51" s="0" t="s">
        <v>34</v>
      </c>
      <c r="U51" s="0" t="s">
        <v>34</v>
      </c>
      <c r="V51" s="0" t="s">
        <v>1905</v>
      </c>
      <c r="W51" s="11">
        <f>IF($V51="No","",ROUND((I51*w_Damage + N51*w_Poison + P51*w_Weaken*w_Horizon)*MIN(1+(G51-1)*w_OccEnemy,w_MaxEnemies) + (J51*w_Heal + K51*w_Shield + L51*w_Block + M51*w_Parry + O51*w_Strength*w_Horizon + S51*w_Combo)*MIN(1+(H51-1)*w_OccAlly,w_MaxAllies) + Q51*w_Draw + R51*w_Move,2))</f>
      </c>
      <c r="X51" s="11">
        <f>IF(W51="","",ROUND(W51/MAX(D51,1),2))</f>
      </c>
      <c r="Y51" s="11">
        <f>IF($V51="No","",ROUND((curve_Base+curve_Slope*D51)*IFERROR(VLOOKUP(E51,rarity_Mult,2,FALSE),1),2))</f>
      </c>
      <c r="Z51" s="11">
        <f>IF(OR(W51="",Y51=""),"",ROUND(W51-Y51,2))</f>
      </c>
      <c r="AA51" s="0">
        <f>IF(Z51="","",IF($V51="Partial","RIDER",IF(ABS(Z51)&lt;=Y51*tol_Pct,"OK",IF(Z51&gt;0,"OVER","UNDER"))))</f>
      </c>
      <c r="AB51" s="0" t="s">
        <v>34</v>
      </c>
      <c r="AC51" s="0">
        <f>IF(AND($V51&lt;&gt;"No",$E51="Common",NOT(ISNUMBER(SEARCH("Ideas",$F51)))),$W51,NA())</f>
      </c>
      <c r="AD51" s="0">
        <f>IF(AND($V51&lt;&gt;"No",$E51="Uncommon",NOT(ISNUMBER(SEARCH("Ideas",$F51)))),$W51,NA())</f>
      </c>
      <c r="AE51" s="0">
        <f>IF(AND($V51&lt;&gt;"No",$E51="Rare",NOT(ISNUMBER(SEARCH("Ideas",$F51)))),$W51,NA())</f>
      </c>
      <c r="AF51" s="0">
        <f>IF(AND($V51&lt;&gt;"No",$E51="Legendary",NOT(ISNUMBER(SEARCH("Ideas",$F51)))),$W51,NA())</f>
      </c>
      <c r="AG51" s="0">
        <f>IF(AND($V51&lt;&gt;"No",ISNUMBER(SEARCH("Knight",$C51)),NOT(ISNUMBER(SEARCH("Ideas",$F51)))),$X51,NA())</f>
      </c>
      <c r="AH51" s="0">
        <f>IF(AND($V51&lt;&gt;"No",ISNUMBER(SEARCH("Mage",$C51)),NOT(ISNUMBER(SEARCH("Ideas",$F51)))),$X51,NA())</f>
      </c>
      <c r="AI51" s="0">
        <f>IF(AND($V51&lt;&gt;"No",ISNUMBER(SEARCH("Rogue",$C51)),NOT(ISNUMBER(SEARCH("Ideas",$F51)))),$X51,NA())</f>
      </c>
      <c r="AJ51" s="0">
        <f>IF($V51&lt;&gt;"No",$Y51,NA())</f>
      </c>
      <c r="AK51" s="0">
        <f>IF(AND($V51&lt;&gt;"No",ISNUMBER(SEARCH("Ideas",$F51))),$W51,NA())</f>
      </c>
      <c r="AL51" s="0">
        <f>IF(AND($V51&lt;&gt;"No",ISNUMBER(SEARCH("Cleric",$C51)),NOT(ISNUMBER(SEARCH("Ideas",$F51)))),$X51,NA())</f>
      </c>
    </row>
    <row r="52">
      <c r="A52" s="0" t="s">
        <v>254</v>
      </c>
      <c r="B52" s="0" t="s">
        <v>254</v>
      </c>
      <c r="C52" s="0" t="s">
        <v>257</v>
      </c>
      <c r="D52" s="0">
        <v>1</v>
      </c>
      <c r="E52" s="0" t="s">
        <v>81</v>
      </c>
      <c r="F52" s="0" t="s">
        <v>257</v>
      </c>
      <c r="G52" s="0">
        <v>1</v>
      </c>
      <c r="H52" s="0">
        <v>1</v>
      </c>
      <c r="I52" s="0">
        <v>0</v>
      </c>
      <c r="J52" s="0">
        <v>0</v>
      </c>
      <c r="K52" s="0">
        <v>0</v>
      </c>
      <c r="L52" s="0">
        <v>0</v>
      </c>
      <c r="M52" s="0">
        <v>0</v>
      </c>
      <c r="N52" s="0">
        <v>0</v>
      </c>
      <c r="O52" s="0">
        <v>0</v>
      </c>
      <c r="P52" s="0">
        <v>1</v>
      </c>
      <c r="Q52" s="0">
        <v>0</v>
      </c>
      <c r="R52" s="0">
        <v>0</v>
      </c>
      <c r="S52" s="0">
        <v>0</v>
      </c>
      <c r="T52" s="0" t="s">
        <v>34</v>
      </c>
      <c r="U52" s="0" t="s">
        <v>34</v>
      </c>
      <c r="V52" s="0" t="s">
        <v>882</v>
      </c>
      <c r="W52" s="11">
        <f>IF($V52="No","",ROUND((I52*w_Damage + N52*w_Poison + P52*w_Weaken*w_Horizon)*MIN(1+(G52-1)*w_OccEnemy,w_MaxEnemies) + (J52*w_Heal + K52*w_Shield + L52*w_Block + M52*w_Parry + O52*w_Strength*w_Horizon + S52*w_Combo)*MIN(1+(H52-1)*w_OccAlly,w_MaxAllies) + Q52*w_Draw + R52*w_Move,2))</f>
      </c>
      <c r="X52" s="11">
        <f>IF(W52="","",ROUND(W52/MAX(D52,1),2))</f>
      </c>
      <c r="Y52" s="11">
        <f>IF($V52="No","",ROUND((curve_Base+curve_Slope*D52)*IFERROR(VLOOKUP(E52,rarity_Mult,2,FALSE),1),2))</f>
      </c>
      <c r="Z52" s="11">
        <f>IF(OR(W52="",Y52=""),"",ROUND(W52-Y52,2))</f>
      </c>
      <c r="AA52" s="0">
        <f>IF(Z52="","",IF($V52="Partial","RIDER",IF(ABS(Z52)&lt;=Y52*tol_Pct,"OK",IF(Z52&gt;0,"OVER","UNDER"))))</f>
      </c>
      <c r="AB52" s="0" t="s">
        <v>34</v>
      </c>
      <c r="AC52" s="0">
        <f>IF(AND($V52&lt;&gt;"No",$E52="Common",NOT(ISNUMBER(SEARCH("Ideas",$F52)))),$W52,NA())</f>
      </c>
      <c r="AD52" s="0">
        <f>IF(AND($V52&lt;&gt;"No",$E52="Uncommon",NOT(ISNUMBER(SEARCH("Ideas",$F52)))),$W52,NA())</f>
      </c>
      <c r="AE52" s="0">
        <f>IF(AND($V52&lt;&gt;"No",$E52="Rare",NOT(ISNUMBER(SEARCH("Ideas",$F52)))),$W52,NA())</f>
      </c>
      <c r="AF52" s="0">
        <f>IF(AND($V52&lt;&gt;"No",$E52="Legendary",NOT(ISNUMBER(SEARCH("Ideas",$F52)))),$W52,NA())</f>
      </c>
      <c r="AG52" s="0">
        <f>IF(AND($V52&lt;&gt;"No",ISNUMBER(SEARCH("Knight",$C52)),NOT(ISNUMBER(SEARCH("Ideas",$F52)))),$X52,NA())</f>
      </c>
      <c r="AH52" s="0">
        <f>IF(AND($V52&lt;&gt;"No",ISNUMBER(SEARCH("Mage",$C52)),NOT(ISNUMBER(SEARCH("Ideas",$F52)))),$X52,NA())</f>
      </c>
      <c r="AI52" s="0">
        <f>IF(AND($V52&lt;&gt;"No",ISNUMBER(SEARCH("Rogue",$C52)),NOT(ISNUMBER(SEARCH("Ideas",$F52)))),$X52,NA())</f>
      </c>
      <c r="AJ52" s="0">
        <f>IF($V52&lt;&gt;"No",$Y52,NA())</f>
      </c>
      <c r="AK52" s="0">
        <f>IF(AND($V52&lt;&gt;"No",ISNUMBER(SEARCH("Ideas",$F52))),$W52,NA())</f>
      </c>
      <c r="AL52" s="0">
        <f>IF(AND($V52&lt;&gt;"No",ISNUMBER(SEARCH("Cleric",$C52)),NOT(ISNUMBER(SEARCH("Ideas",$F52)))),$X52,NA())</f>
      </c>
    </row>
    <row r="53">
      <c r="A53" s="0" t="s">
        <v>261</v>
      </c>
      <c r="B53" s="0" t="s">
        <v>261</v>
      </c>
      <c r="C53" s="0" t="s">
        <v>257</v>
      </c>
      <c r="D53" s="0">
        <v>1</v>
      </c>
      <c r="E53" s="0" t="s">
        <v>32</v>
      </c>
      <c r="F53" s="0" t="s">
        <v>257</v>
      </c>
      <c r="G53" s="0">
        <v>1</v>
      </c>
      <c r="H53" s="0">
        <v>1</v>
      </c>
      <c r="I53" s="0">
        <v>0</v>
      </c>
      <c r="J53" s="0">
        <v>0</v>
      </c>
      <c r="K53" s="0">
        <v>0</v>
      </c>
      <c r="L53" s="0">
        <v>0</v>
      </c>
      <c r="M53" s="0">
        <v>0</v>
      </c>
      <c r="N53" s="0">
        <v>0</v>
      </c>
      <c r="O53" s="0">
        <v>0</v>
      </c>
      <c r="P53" s="0">
        <v>0</v>
      </c>
      <c r="Q53" s="0">
        <v>0</v>
      </c>
      <c r="R53" s="0">
        <v>0</v>
      </c>
      <c r="S53" s="0">
        <v>0</v>
      </c>
      <c r="T53" s="0" t="s">
        <v>34</v>
      </c>
      <c r="U53" s="0" t="s">
        <v>1803</v>
      </c>
      <c r="V53" s="0" t="s">
        <v>1407</v>
      </c>
      <c r="W53" s="11">
        <f>IF($V53="No","",ROUND((I53*w_Damage + N53*w_Poison + P53*w_Weaken*w_Horizon)*MIN(1+(G53-1)*w_OccEnemy,w_MaxEnemies) + (J53*w_Heal + K53*w_Shield + L53*w_Block + M53*w_Parry + O53*w_Strength*w_Horizon + S53*w_Combo)*MIN(1+(H53-1)*w_OccAlly,w_MaxAllies) + Q53*w_Draw + R53*w_Move,2))</f>
      </c>
      <c r="X53" s="11">
        <f>IF(W53="","",ROUND(W53/MAX(D53,1),2))</f>
      </c>
      <c r="Y53" s="11">
        <f>IF($V53="No","",ROUND((curve_Base+curve_Slope*D53)*IFERROR(VLOOKUP(E53,rarity_Mult,2,FALSE),1),2))</f>
      </c>
      <c r="Z53" s="11">
        <f>IF(OR(W53="",Y53=""),"",ROUND(W53-Y53,2))</f>
      </c>
      <c r="AA53" s="0">
        <f>IF(Z53="","",IF($V53="Partial","RIDER",IF(ABS(Z53)&lt;=Y53*tol_Pct,"OK",IF(Z53&gt;0,"OVER","UNDER"))))</f>
      </c>
      <c r="AB53" s="0" t="s">
        <v>34</v>
      </c>
      <c r="AC53" s="0">
        <f>IF(AND($V53&lt;&gt;"No",$E53="Common",NOT(ISNUMBER(SEARCH("Ideas",$F53)))),$W53,NA())</f>
      </c>
      <c r="AD53" s="0">
        <f>IF(AND($V53&lt;&gt;"No",$E53="Uncommon",NOT(ISNUMBER(SEARCH("Ideas",$F53)))),$W53,NA())</f>
      </c>
      <c r="AE53" s="0">
        <f>IF(AND($V53&lt;&gt;"No",$E53="Rare",NOT(ISNUMBER(SEARCH("Ideas",$F53)))),$W53,NA())</f>
      </c>
      <c r="AF53" s="0">
        <f>IF(AND($V53&lt;&gt;"No",$E53="Legendary",NOT(ISNUMBER(SEARCH("Ideas",$F53)))),$W53,NA())</f>
      </c>
      <c r="AG53" s="0">
        <f>IF(AND($V53&lt;&gt;"No",ISNUMBER(SEARCH("Knight",$C53)),NOT(ISNUMBER(SEARCH("Ideas",$F53)))),$X53,NA())</f>
      </c>
      <c r="AH53" s="0">
        <f>IF(AND($V53&lt;&gt;"No",ISNUMBER(SEARCH("Mage",$C53)),NOT(ISNUMBER(SEARCH("Ideas",$F53)))),$X53,NA())</f>
      </c>
      <c r="AI53" s="0">
        <f>IF(AND($V53&lt;&gt;"No",ISNUMBER(SEARCH("Rogue",$C53)),NOT(ISNUMBER(SEARCH("Ideas",$F53)))),$X53,NA())</f>
      </c>
      <c r="AJ53" s="0">
        <f>IF($V53&lt;&gt;"No",$Y53,NA())</f>
      </c>
      <c r="AK53" s="0">
        <f>IF(AND($V53&lt;&gt;"No",ISNUMBER(SEARCH("Ideas",$F53))),$W53,NA())</f>
      </c>
      <c r="AL53" s="0">
        <f>IF(AND($V53&lt;&gt;"No",ISNUMBER(SEARCH("Cleric",$C53)),NOT(ISNUMBER(SEARCH("Ideas",$F53)))),$X53,NA())</f>
      </c>
    </row>
    <row r="54">
      <c r="A54" s="0" t="s">
        <v>265</v>
      </c>
      <c r="B54" s="0" t="s">
        <v>265</v>
      </c>
      <c r="C54" s="0" t="s">
        <v>257</v>
      </c>
      <c r="D54" s="0">
        <v>1</v>
      </c>
      <c r="E54" s="0" t="s">
        <v>62</v>
      </c>
      <c r="F54" s="0" t="s">
        <v>257</v>
      </c>
      <c r="G54" s="0">
        <v>1</v>
      </c>
      <c r="H54" s="0">
        <v>1</v>
      </c>
      <c r="I54" s="0">
        <v>0</v>
      </c>
      <c r="J54" s="0">
        <v>0</v>
      </c>
      <c r="K54" s="0">
        <v>0</v>
      </c>
      <c r="L54" s="0">
        <v>0</v>
      </c>
      <c r="M54" s="0">
        <v>0</v>
      </c>
      <c r="N54" s="0">
        <v>0</v>
      </c>
      <c r="O54" s="0">
        <v>0</v>
      </c>
      <c r="P54" s="0">
        <v>0</v>
      </c>
      <c r="Q54" s="0">
        <v>0</v>
      </c>
      <c r="R54" s="0">
        <v>0</v>
      </c>
      <c r="S54" s="0">
        <v>0</v>
      </c>
      <c r="T54" s="0" t="s">
        <v>34</v>
      </c>
      <c r="U54" s="0" t="s">
        <v>1793</v>
      </c>
      <c r="V54" s="0" t="s">
        <v>1407</v>
      </c>
      <c r="W54" s="11">
        <f>IF($V54="No","",ROUND((I54*w_Damage + N54*w_Poison + P54*w_Weaken*w_Horizon)*MIN(1+(G54-1)*w_OccEnemy,w_MaxEnemies) + (J54*w_Heal + K54*w_Shield + L54*w_Block + M54*w_Parry + O54*w_Strength*w_Horizon + S54*w_Combo)*MIN(1+(H54-1)*w_OccAlly,w_MaxAllies) + Q54*w_Draw + R54*w_Move,2))</f>
      </c>
      <c r="X54" s="11">
        <f>IF(W54="","",ROUND(W54/MAX(D54,1),2))</f>
      </c>
      <c r="Y54" s="11">
        <f>IF($V54="No","",ROUND((curve_Base+curve_Slope*D54)*IFERROR(VLOOKUP(E54,rarity_Mult,2,FALSE),1),2))</f>
      </c>
      <c r="Z54" s="11">
        <f>IF(OR(W54="",Y54=""),"",ROUND(W54-Y54,2))</f>
      </c>
      <c r="AA54" s="0">
        <f>IF(Z54="","",IF($V54="Partial","RIDER",IF(ABS(Z54)&lt;=Y54*tol_Pct,"OK",IF(Z54&gt;0,"OVER","UNDER"))))</f>
      </c>
      <c r="AB54" s="0" t="s">
        <v>34</v>
      </c>
      <c r="AC54" s="0">
        <f>IF(AND($V54&lt;&gt;"No",$E54="Common",NOT(ISNUMBER(SEARCH("Ideas",$F54)))),$W54,NA())</f>
      </c>
      <c r="AD54" s="0">
        <f>IF(AND($V54&lt;&gt;"No",$E54="Uncommon",NOT(ISNUMBER(SEARCH("Ideas",$F54)))),$W54,NA())</f>
      </c>
      <c r="AE54" s="0">
        <f>IF(AND($V54&lt;&gt;"No",$E54="Rare",NOT(ISNUMBER(SEARCH("Ideas",$F54)))),$W54,NA())</f>
      </c>
      <c r="AF54" s="0">
        <f>IF(AND($V54&lt;&gt;"No",$E54="Legendary",NOT(ISNUMBER(SEARCH("Ideas",$F54)))),$W54,NA())</f>
      </c>
      <c r="AG54" s="0">
        <f>IF(AND($V54&lt;&gt;"No",ISNUMBER(SEARCH("Knight",$C54)),NOT(ISNUMBER(SEARCH("Ideas",$F54)))),$X54,NA())</f>
      </c>
      <c r="AH54" s="0">
        <f>IF(AND($V54&lt;&gt;"No",ISNUMBER(SEARCH("Mage",$C54)),NOT(ISNUMBER(SEARCH("Ideas",$F54)))),$X54,NA())</f>
      </c>
      <c r="AI54" s="0">
        <f>IF(AND($V54&lt;&gt;"No",ISNUMBER(SEARCH("Rogue",$C54)),NOT(ISNUMBER(SEARCH("Ideas",$F54)))),$X54,NA())</f>
      </c>
      <c r="AJ54" s="0">
        <f>IF($V54&lt;&gt;"No",$Y54,NA())</f>
      </c>
      <c r="AK54" s="0">
        <f>IF(AND($V54&lt;&gt;"No",ISNUMBER(SEARCH("Ideas",$F54))),$W54,NA())</f>
      </c>
      <c r="AL54" s="0">
        <f>IF(AND($V54&lt;&gt;"No",ISNUMBER(SEARCH("Cleric",$C54)),NOT(ISNUMBER(SEARCH("Ideas",$F54)))),$X54,NA())</f>
      </c>
    </row>
    <row r="55">
      <c r="A55" s="0" t="s">
        <v>268</v>
      </c>
      <c r="B55" s="0" t="s">
        <v>268</v>
      </c>
      <c r="C55" s="0" t="s">
        <v>257</v>
      </c>
      <c r="D55" s="0">
        <v>1</v>
      </c>
      <c r="E55" s="0" t="s">
        <v>81</v>
      </c>
      <c r="F55" s="0" t="s">
        <v>257</v>
      </c>
      <c r="G55" s="0">
        <v>1</v>
      </c>
      <c r="H55" s="0">
        <v>1</v>
      </c>
      <c r="I55" s="0">
        <v>0</v>
      </c>
      <c r="J55" s="0">
        <v>0</v>
      </c>
      <c r="K55" s="0">
        <v>0</v>
      </c>
      <c r="L55" s="0">
        <v>0</v>
      </c>
      <c r="M55" s="0">
        <v>0</v>
      </c>
      <c r="N55" s="0">
        <v>0</v>
      </c>
      <c r="O55" s="0">
        <v>0</v>
      </c>
      <c r="P55" s="0">
        <v>0</v>
      </c>
      <c r="Q55" s="0">
        <v>0</v>
      </c>
      <c r="R55" s="0">
        <v>0</v>
      </c>
      <c r="S55" s="0">
        <v>0</v>
      </c>
      <c r="T55" s="0" t="s">
        <v>34</v>
      </c>
      <c r="U55" s="0" t="s">
        <v>178</v>
      </c>
      <c r="V55" s="0" t="s">
        <v>1407</v>
      </c>
      <c r="W55" s="11">
        <f>IF($V55="No","",ROUND((I55*w_Damage + N55*w_Poison + P55*w_Weaken*w_Horizon)*MIN(1+(G55-1)*w_OccEnemy,w_MaxEnemies) + (J55*w_Heal + K55*w_Shield + L55*w_Block + M55*w_Parry + O55*w_Strength*w_Horizon + S55*w_Combo)*MIN(1+(H55-1)*w_OccAlly,w_MaxAllies) + Q55*w_Draw + R55*w_Move,2))</f>
      </c>
      <c r="X55" s="11">
        <f>IF(W55="","",ROUND(W55/MAX(D55,1),2))</f>
      </c>
      <c r="Y55" s="11">
        <f>IF($V55="No","",ROUND((curve_Base+curve_Slope*D55)*IFERROR(VLOOKUP(E55,rarity_Mult,2,FALSE),1),2))</f>
      </c>
      <c r="Z55" s="11">
        <f>IF(OR(W55="",Y55=""),"",ROUND(W55-Y55,2))</f>
      </c>
      <c r="AA55" s="0">
        <f>IF(Z55="","",IF($V55="Partial","RIDER",IF(ABS(Z55)&lt;=Y55*tol_Pct,"OK",IF(Z55&gt;0,"OVER","UNDER"))))</f>
      </c>
      <c r="AB55" s="0" t="s">
        <v>34</v>
      </c>
      <c r="AC55" s="0">
        <f>IF(AND($V55&lt;&gt;"No",$E55="Common",NOT(ISNUMBER(SEARCH("Ideas",$F55)))),$W55,NA())</f>
      </c>
      <c r="AD55" s="0">
        <f>IF(AND($V55&lt;&gt;"No",$E55="Uncommon",NOT(ISNUMBER(SEARCH("Ideas",$F55)))),$W55,NA())</f>
      </c>
      <c r="AE55" s="0">
        <f>IF(AND($V55&lt;&gt;"No",$E55="Rare",NOT(ISNUMBER(SEARCH("Ideas",$F55)))),$W55,NA())</f>
      </c>
      <c r="AF55" s="0">
        <f>IF(AND($V55&lt;&gt;"No",$E55="Legendary",NOT(ISNUMBER(SEARCH("Ideas",$F55)))),$W55,NA())</f>
      </c>
      <c r="AG55" s="0">
        <f>IF(AND($V55&lt;&gt;"No",ISNUMBER(SEARCH("Knight",$C55)),NOT(ISNUMBER(SEARCH("Ideas",$F55)))),$X55,NA())</f>
      </c>
      <c r="AH55" s="0">
        <f>IF(AND($V55&lt;&gt;"No",ISNUMBER(SEARCH("Mage",$C55)),NOT(ISNUMBER(SEARCH("Ideas",$F55)))),$X55,NA())</f>
      </c>
      <c r="AI55" s="0">
        <f>IF(AND($V55&lt;&gt;"No",ISNUMBER(SEARCH("Rogue",$C55)),NOT(ISNUMBER(SEARCH("Ideas",$F55)))),$X55,NA())</f>
      </c>
      <c r="AJ55" s="0">
        <f>IF($V55&lt;&gt;"No",$Y55,NA())</f>
      </c>
      <c r="AK55" s="0">
        <f>IF(AND($V55&lt;&gt;"No",ISNUMBER(SEARCH("Ideas",$F55))),$W55,NA())</f>
      </c>
      <c r="AL55" s="0">
        <f>IF(AND($V55&lt;&gt;"No",ISNUMBER(SEARCH("Cleric",$C55)),NOT(ISNUMBER(SEARCH("Ideas",$F55)))),$X55,NA())</f>
      </c>
    </row>
    <row r="56">
      <c r="A56" s="0" t="s">
        <v>271</v>
      </c>
      <c r="B56" s="0" t="s">
        <v>271</v>
      </c>
      <c r="C56" s="0" t="s">
        <v>257</v>
      </c>
      <c r="D56" s="0">
        <v>1</v>
      </c>
      <c r="E56" s="0" t="s">
        <v>81</v>
      </c>
      <c r="F56" s="0" t="s">
        <v>257</v>
      </c>
      <c r="G56" s="0">
        <v>1</v>
      </c>
      <c r="H56" s="0">
        <v>1</v>
      </c>
      <c r="I56" s="0">
        <v>3</v>
      </c>
      <c r="J56" s="0">
        <v>3</v>
      </c>
      <c r="K56" s="0">
        <v>0</v>
      </c>
      <c r="L56" s="0">
        <v>0</v>
      </c>
      <c r="M56" s="0">
        <v>0</v>
      </c>
      <c r="N56" s="0">
        <v>0</v>
      </c>
      <c r="O56" s="0">
        <v>0</v>
      </c>
      <c r="P56" s="0">
        <v>0</v>
      </c>
      <c r="Q56" s="0">
        <v>0</v>
      </c>
      <c r="R56" s="0">
        <v>0</v>
      </c>
      <c r="S56" s="0">
        <v>0</v>
      </c>
      <c r="T56" s="0" t="s">
        <v>34</v>
      </c>
      <c r="U56" s="0" t="s">
        <v>34</v>
      </c>
      <c r="V56" s="0" t="s">
        <v>882</v>
      </c>
      <c r="W56" s="11">
        <f>IF($V56="No","",ROUND((I56*w_Damage + N56*w_Poison + P56*w_Weaken*w_Horizon)*MIN(1+(G56-1)*w_OccEnemy,w_MaxEnemies) + (J56*w_Heal + K56*w_Shield + L56*w_Block + M56*w_Parry + O56*w_Strength*w_Horizon + S56*w_Combo)*MIN(1+(H56-1)*w_OccAlly,w_MaxAllies) + Q56*w_Draw + R56*w_Move,2))</f>
      </c>
      <c r="X56" s="11">
        <f>IF(W56="","",ROUND(W56/MAX(D56,1),2))</f>
      </c>
      <c r="Y56" s="11">
        <f>IF($V56="No","",ROUND((curve_Base+curve_Slope*D56)*IFERROR(VLOOKUP(E56,rarity_Mult,2,FALSE),1),2))</f>
      </c>
      <c r="Z56" s="11">
        <f>IF(OR(W56="",Y56=""),"",ROUND(W56-Y56,2))</f>
      </c>
      <c r="AA56" s="0">
        <f>IF(Z56="","",IF($V56="Partial","RIDER",IF(ABS(Z56)&lt;=Y56*tol_Pct,"OK",IF(Z56&gt;0,"OVER","UNDER"))))</f>
      </c>
      <c r="AB56" s="0" t="s">
        <v>34</v>
      </c>
      <c r="AC56" s="0">
        <f>IF(AND($V56&lt;&gt;"No",$E56="Common",NOT(ISNUMBER(SEARCH("Ideas",$F56)))),$W56,NA())</f>
      </c>
      <c r="AD56" s="0">
        <f>IF(AND($V56&lt;&gt;"No",$E56="Uncommon",NOT(ISNUMBER(SEARCH("Ideas",$F56)))),$W56,NA())</f>
      </c>
      <c r="AE56" s="0">
        <f>IF(AND($V56&lt;&gt;"No",$E56="Rare",NOT(ISNUMBER(SEARCH("Ideas",$F56)))),$W56,NA())</f>
      </c>
      <c r="AF56" s="0">
        <f>IF(AND($V56&lt;&gt;"No",$E56="Legendary",NOT(ISNUMBER(SEARCH("Ideas",$F56)))),$W56,NA())</f>
      </c>
      <c r="AG56" s="0">
        <f>IF(AND($V56&lt;&gt;"No",ISNUMBER(SEARCH("Knight",$C56)),NOT(ISNUMBER(SEARCH("Ideas",$F56)))),$X56,NA())</f>
      </c>
      <c r="AH56" s="0">
        <f>IF(AND($V56&lt;&gt;"No",ISNUMBER(SEARCH("Mage",$C56)),NOT(ISNUMBER(SEARCH("Ideas",$F56)))),$X56,NA())</f>
      </c>
      <c r="AI56" s="0">
        <f>IF(AND($V56&lt;&gt;"No",ISNUMBER(SEARCH("Rogue",$C56)),NOT(ISNUMBER(SEARCH("Ideas",$F56)))),$X56,NA())</f>
      </c>
      <c r="AJ56" s="0">
        <f>IF($V56&lt;&gt;"No",$Y56,NA())</f>
      </c>
      <c r="AK56" s="0">
        <f>IF(AND($V56&lt;&gt;"No",ISNUMBER(SEARCH("Ideas",$F56))),$W56,NA())</f>
      </c>
      <c r="AL56" s="0">
        <f>IF(AND($V56&lt;&gt;"No",ISNUMBER(SEARCH("Cleric",$C56)),NOT(ISNUMBER(SEARCH("Ideas",$F56)))),$X56,NA())</f>
      </c>
    </row>
    <row r="57">
      <c r="A57" s="0" t="s">
        <v>277</v>
      </c>
      <c r="B57" s="0" t="s">
        <v>277</v>
      </c>
      <c r="C57" s="0" t="s">
        <v>257</v>
      </c>
      <c r="D57" s="0">
        <v>1</v>
      </c>
      <c r="E57" s="0" t="s">
        <v>81</v>
      </c>
      <c r="F57" s="0" t="s">
        <v>257</v>
      </c>
      <c r="G57" s="0">
        <v>1</v>
      </c>
      <c r="H57" s="0">
        <v>1</v>
      </c>
      <c r="I57" s="0">
        <v>0</v>
      </c>
      <c r="J57" s="0">
        <v>0</v>
      </c>
      <c r="K57" s="0">
        <v>0</v>
      </c>
      <c r="L57" s="0">
        <v>0</v>
      </c>
      <c r="M57" s="0">
        <v>0</v>
      </c>
      <c r="N57" s="0">
        <v>0</v>
      </c>
      <c r="O57" s="0">
        <v>0</v>
      </c>
      <c r="P57" s="0">
        <v>0</v>
      </c>
      <c r="Q57" s="0">
        <v>0</v>
      </c>
      <c r="R57" s="0">
        <v>1</v>
      </c>
      <c r="S57" s="0">
        <v>0</v>
      </c>
      <c r="T57" s="0" t="s">
        <v>34</v>
      </c>
      <c r="U57" s="0" t="s">
        <v>34</v>
      </c>
      <c r="V57" s="0" t="s">
        <v>882</v>
      </c>
      <c r="W57" s="11">
        <f>IF($V57="No","",ROUND((I57*w_Damage + N57*w_Poison + P57*w_Weaken*w_Horizon)*MIN(1+(G57-1)*w_OccEnemy,w_MaxEnemies) + (J57*w_Heal + K57*w_Shield + L57*w_Block + M57*w_Parry + O57*w_Strength*w_Horizon + S57*w_Combo)*MIN(1+(H57-1)*w_OccAlly,w_MaxAllies) + Q57*w_Draw + R57*w_Move,2))</f>
      </c>
      <c r="X57" s="11">
        <f>IF(W57="","",ROUND(W57/MAX(D57,1),2))</f>
      </c>
      <c r="Y57" s="11">
        <f>IF($V57="No","",ROUND((curve_Base+curve_Slope*D57)*IFERROR(VLOOKUP(E57,rarity_Mult,2,FALSE),1),2))</f>
      </c>
      <c r="Z57" s="11">
        <f>IF(OR(W57="",Y57=""),"",ROUND(W57-Y57,2))</f>
      </c>
      <c r="AA57" s="0">
        <f>IF(Z57="","",IF($V57="Partial","RIDER",IF(ABS(Z57)&lt;=Y57*tol_Pct,"OK",IF(Z57&gt;0,"OVER","UNDER"))))</f>
      </c>
      <c r="AB57" s="0" t="s">
        <v>34</v>
      </c>
      <c r="AC57" s="0">
        <f>IF(AND($V57&lt;&gt;"No",$E57="Common",NOT(ISNUMBER(SEARCH("Ideas",$F57)))),$W57,NA())</f>
      </c>
      <c r="AD57" s="0">
        <f>IF(AND($V57&lt;&gt;"No",$E57="Uncommon",NOT(ISNUMBER(SEARCH("Ideas",$F57)))),$W57,NA())</f>
      </c>
      <c r="AE57" s="0">
        <f>IF(AND($V57&lt;&gt;"No",$E57="Rare",NOT(ISNUMBER(SEARCH("Ideas",$F57)))),$W57,NA())</f>
      </c>
      <c r="AF57" s="0">
        <f>IF(AND($V57&lt;&gt;"No",$E57="Legendary",NOT(ISNUMBER(SEARCH("Ideas",$F57)))),$W57,NA())</f>
      </c>
      <c r="AG57" s="0">
        <f>IF(AND($V57&lt;&gt;"No",ISNUMBER(SEARCH("Knight",$C57)),NOT(ISNUMBER(SEARCH("Ideas",$F57)))),$X57,NA())</f>
      </c>
      <c r="AH57" s="0">
        <f>IF(AND($V57&lt;&gt;"No",ISNUMBER(SEARCH("Mage",$C57)),NOT(ISNUMBER(SEARCH("Ideas",$F57)))),$X57,NA())</f>
      </c>
      <c r="AI57" s="0">
        <f>IF(AND($V57&lt;&gt;"No",ISNUMBER(SEARCH("Rogue",$C57)),NOT(ISNUMBER(SEARCH("Ideas",$F57)))),$X57,NA())</f>
      </c>
      <c r="AJ57" s="0">
        <f>IF($V57&lt;&gt;"No",$Y57,NA())</f>
      </c>
      <c r="AK57" s="0">
        <f>IF(AND($V57&lt;&gt;"No",ISNUMBER(SEARCH("Ideas",$F57))),$W57,NA())</f>
      </c>
      <c r="AL57" s="0">
        <f>IF(AND($V57&lt;&gt;"No",ISNUMBER(SEARCH("Cleric",$C57)),NOT(ISNUMBER(SEARCH("Ideas",$F57)))),$X57,NA())</f>
      </c>
    </row>
    <row r="58">
      <c r="A58" s="0" t="s">
        <v>283</v>
      </c>
      <c r="B58" s="0" t="s">
        <v>283</v>
      </c>
      <c r="C58" s="0" t="s">
        <v>257</v>
      </c>
      <c r="D58" s="0">
        <v>1</v>
      </c>
      <c r="E58" s="0" t="s">
        <v>62</v>
      </c>
      <c r="F58" s="0" t="s">
        <v>257</v>
      </c>
      <c r="G58" s="0">
        <v>9</v>
      </c>
      <c r="H58" s="0">
        <v>1</v>
      </c>
      <c r="I58" s="0">
        <v>5</v>
      </c>
      <c r="J58" s="0">
        <v>0</v>
      </c>
      <c r="K58" s="0">
        <v>0</v>
      </c>
      <c r="L58" s="0">
        <v>0</v>
      </c>
      <c r="M58" s="0">
        <v>0</v>
      </c>
      <c r="N58" s="0">
        <v>0</v>
      </c>
      <c r="O58" s="0">
        <v>0</v>
      </c>
      <c r="P58" s="0">
        <v>0</v>
      </c>
      <c r="Q58" s="0">
        <v>0</v>
      </c>
      <c r="R58" s="0">
        <v>0</v>
      </c>
      <c r="S58" s="0">
        <v>0</v>
      </c>
      <c r="T58" s="0" t="s">
        <v>34</v>
      </c>
      <c r="U58" s="0" t="s">
        <v>34</v>
      </c>
      <c r="V58" s="0" t="s">
        <v>882</v>
      </c>
      <c r="W58" s="11">
        <f>IF($V58="No","",ROUND((I58*w_Damage + N58*w_Poison + P58*w_Weaken*w_Horizon)*MIN(1+(G58-1)*w_OccEnemy,w_MaxEnemies) + (J58*w_Heal + K58*w_Shield + L58*w_Block + M58*w_Parry + O58*w_Strength*w_Horizon + S58*w_Combo)*MIN(1+(H58-1)*w_OccAlly,w_MaxAllies) + Q58*w_Draw + R58*w_Move,2))</f>
      </c>
      <c r="X58" s="11">
        <f>IF(W58="","",ROUND(W58/MAX(D58,1),2))</f>
      </c>
      <c r="Y58" s="11">
        <f>IF($V58="No","",ROUND((curve_Base+curve_Slope*D58)*IFERROR(VLOOKUP(E58,rarity_Mult,2,FALSE),1),2))</f>
      </c>
      <c r="Z58" s="11">
        <f>IF(OR(W58="",Y58=""),"",ROUND(W58-Y58,2))</f>
      </c>
      <c r="AA58" s="0">
        <f>IF(Z58="","",IF($V58="Partial","RIDER",IF(ABS(Z58)&lt;=Y58*tol_Pct,"OK",IF(Z58&gt;0,"OVER","UNDER"))))</f>
      </c>
      <c r="AB58" s="0" t="s">
        <v>34</v>
      </c>
      <c r="AC58" s="0">
        <f>IF(AND($V58&lt;&gt;"No",$E58="Common",NOT(ISNUMBER(SEARCH("Ideas",$F58)))),$W58,NA())</f>
      </c>
      <c r="AD58" s="0">
        <f>IF(AND($V58&lt;&gt;"No",$E58="Uncommon",NOT(ISNUMBER(SEARCH("Ideas",$F58)))),$W58,NA())</f>
      </c>
      <c r="AE58" s="0">
        <f>IF(AND($V58&lt;&gt;"No",$E58="Rare",NOT(ISNUMBER(SEARCH("Ideas",$F58)))),$W58,NA())</f>
      </c>
      <c r="AF58" s="0">
        <f>IF(AND($V58&lt;&gt;"No",$E58="Legendary",NOT(ISNUMBER(SEARCH("Ideas",$F58)))),$W58,NA())</f>
      </c>
      <c r="AG58" s="0">
        <f>IF(AND($V58&lt;&gt;"No",ISNUMBER(SEARCH("Knight",$C58)),NOT(ISNUMBER(SEARCH("Ideas",$F58)))),$X58,NA())</f>
      </c>
      <c r="AH58" s="0">
        <f>IF(AND($V58&lt;&gt;"No",ISNUMBER(SEARCH("Mage",$C58)),NOT(ISNUMBER(SEARCH("Ideas",$F58)))),$X58,NA())</f>
      </c>
      <c r="AI58" s="0">
        <f>IF(AND($V58&lt;&gt;"No",ISNUMBER(SEARCH("Rogue",$C58)),NOT(ISNUMBER(SEARCH("Ideas",$F58)))),$X58,NA())</f>
      </c>
      <c r="AJ58" s="0">
        <f>IF($V58&lt;&gt;"No",$Y58,NA())</f>
      </c>
      <c r="AK58" s="0">
        <f>IF(AND($V58&lt;&gt;"No",ISNUMBER(SEARCH("Ideas",$F58))),$W58,NA())</f>
      </c>
      <c r="AL58" s="0">
        <f>IF(AND($V58&lt;&gt;"No",ISNUMBER(SEARCH("Cleric",$C58)),NOT(ISNUMBER(SEARCH("Ideas",$F58)))),$X58,NA())</f>
      </c>
    </row>
    <row r="59">
      <c r="A59" s="0" t="s">
        <v>288</v>
      </c>
      <c r="B59" s="0" t="s">
        <v>288</v>
      </c>
      <c r="C59" s="0" t="s">
        <v>257</v>
      </c>
      <c r="D59" s="0">
        <v>1</v>
      </c>
      <c r="E59" s="0" t="s">
        <v>81</v>
      </c>
      <c r="F59" s="0" t="s">
        <v>257</v>
      </c>
      <c r="G59" s="0">
        <v>1</v>
      </c>
      <c r="H59" s="0">
        <v>1</v>
      </c>
      <c r="I59" s="0">
        <v>5</v>
      </c>
      <c r="J59" s="0">
        <v>0</v>
      </c>
      <c r="K59" s="0">
        <v>0</v>
      </c>
      <c r="L59" s="0">
        <v>0</v>
      </c>
      <c r="M59" s="0">
        <v>0</v>
      </c>
      <c r="N59" s="0">
        <v>0</v>
      </c>
      <c r="O59" s="0">
        <v>0</v>
      </c>
      <c r="P59" s="0">
        <v>0</v>
      </c>
      <c r="Q59" s="0">
        <v>0</v>
      </c>
      <c r="R59" s="0">
        <v>0</v>
      </c>
      <c r="S59" s="0">
        <v>0</v>
      </c>
      <c r="T59" s="0" t="s">
        <v>34</v>
      </c>
      <c r="U59" s="0" t="s">
        <v>34</v>
      </c>
      <c r="V59" s="0" t="s">
        <v>882</v>
      </c>
      <c r="W59" s="11">
        <f>IF($V59="No","",ROUND((I59*w_Damage + N59*w_Poison + P59*w_Weaken*w_Horizon)*MIN(1+(G59-1)*w_OccEnemy,w_MaxEnemies) + (J59*w_Heal + K59*w_Shield + L59*w_Block + M59*w_Parry + O59*w_Strength*w_Horizon + S59*w_Combo)*MIN(1+(H59-1)*w_OccAlly,w_MaxAllies) + Q59*w_Draw + R59*w_Move,2))</f>
      </c>
      <c r="X59" s="11">
        <f>IF(W59="","",ROUND(W59/MAX(D59,1),2))</f>
      </c>
      <c r="Y59" s="11">
        <f>IF($V59="No","",ROUND((curve_Base+curve_Slope*D59)*IFERROR(VLOOKUP(E59,rarity_Mult,2,FALSE),1),2))</f>
      </c>
      <c r="Z59" s="11">
        <f>IF(OR(W59="",Y59=""),"",ROUND(W59-Y59,2))</f>
      </c>
      <c r="AA59" s="0">
        <f>IF(Z59="","",IF($V59="Partial","RIDER",IF(ABS(Z59)&lt;=Y59*tol_Pct,"OK",IF(Z59&gt;0,"OVER","UNDER"))))</f>
      </c>
      <c r="AB59" s="0" t="s">
        <v>34</v>
      </c>
      <c r="AC59" s="0">
        <f>IF(AND($V59&lt;&gt;"No",$E59="Common",NOT(ISNUMBER(SEARCH("Ideas",$F59)))),$W59,NA())</f>
      </c>
      <c r="AD59" s="0">
        <f>IF(AND($V59&lt;&gt;"No",$E59="Uncommon",NOT(ISNUMBER(SEARCH("Ideas",$F59)))),$W59,NA())</f>
      </c>
      <c r="AE59" s="0">
        <f>IF(AND($V59&lt;&gt;"No",$E59="Rare",NOT(ISNUMBER(SEARCH("Ideas",$F59)))),$W59,NA())</f>
      </c>
      <c r="AF59" s="0">
        <f>IF(AND($V59&lt;&gt;"No",$E59="Legendary",NOT(ISNUMBER(SEARCH("Ideas",$F59)))),$W59,NA())</f>
      </c>
      <c r="AG59" s="0">
        <f>IF(AND($V59&lt;&gt;"No",ISNUMBER(SEARCH("Knight",$C59)),NOT(ISNUMBER(SEARCH("Ideas",$F59)))),$X59,NA())</f>
      </c>
      <c r="AH59" s="0">
        <f>IF(AND($V59&lt;&gt;"No",ISNUMBER(SEARCH("Mage",$C59)),NOT(ISNUMBER(SEARCH("Ideas",$F59)))),$X59,NA())</f>
      </c>
      <c r="AI59" s="0">
        <f>IF(AND($V59&lt;&gt;"No",ISNUMBER(SEARCH("Rogue",$C59)),NOT(ISNUMBER(SEARCH("Ideas",$F59)))),$X59,NA())</f>
      </c>
      <c r="AJ59" s="0">
        <f>IF($V59&lt;&gt;"No",$Y59,NA())</f>
      </c>
      <c r="AK59" s="0">
        <f>IF(AND($V59&lt;&gt;"No",ISNUMBER(SEARCH("Ideas",$F59))),$W59,NA())</f>
      </c>
      <c r="AL59" s="0">
        <f>IF(AND($V59&lt;&gt;"No",ISNUMBER(SEARCH("Cleric",$C59)),NOT(ISNUMBER(SEARCH("Ideas",$F59)))),$X59,NA())</f>
      </c>
    </row>
    <row r="60">
      <c r="A60" s="0" t="s">
        <v>290</v>
      </c>
      <c r="B60" s="0" t="s">
        <v>290</v>
      </c>
      <c r="C60" s="0" t="s">
        <v>257</v>
      </c>
      <c r="D60" s="0">
        <v>1</v>
      </c>
      <c r="E60" s="0" t="s">
        <v>62</v>
      </c>
      <c r="F60" s="0" t="s">
        <v>257</v>
      </c>
      <c r="G60" s="0">
        <v>5</v>
      </c>
      <c r="H60" s="0">
        <v>1</v>
      </c>
      <c r="I60" s="0">
        <v>4</v>
      </c>
      <c r="J60" s="0">
        <v>0</v>
      </c>
      <c r="K60" s="0">
        <v>0</v>
      </c>
      <c r="L60" s="0">
        <v>0</v>
      </c>
      <c r="M60" s="0">
        <v>0</v>
      </c>
      <c r="N60" s="0">
        <v>0</v>
      </c>
      <c r="O60" s="0">
        <v>0</v>
      </c>
      <c r="P60" s="0">
        <v>0</v>
      </c>
      <c r="Q60" s="0">
        <v>0</v>
      </c>
      <c r="R60" s="0">
        <v>0</v>
      </c>
      <c r="S60" s="0">
        <v>0</v>
      </c>
      <c r="T60" s="0" t="s">
        <v>34</v>
      </c>
      <c r="U60" s="0" t="s">
        <v>34</v>
      </c>
      <c r="V60" s="0" t="s">
        <v>882</v>
      </c>
      <c r="W60" s="11">
        <f>IF($V60="No","",ROUND((I60*w_Damage + N60*w_Poison + P60*w_Weaken*w_Horizon)*MIN(1+(G60-1)*w_OccEnemy,w_MaxEnemies) + (J60*w_Heal + K60*w_Shield + L60*w_Block + M60*w_Parry + O60*w_Strength*w_Horizon + S60*w_Combo)*MIN(1+(H60-1)*w_OccAlly,w_MaxAllies) + Q60*w_Draw + R60*w_Move,2))</f>
      </c>
      <c r="X60" s="11">
        <f>IF(W60="","",ROUND(W60/MAX(D60,1),2))</f>
      </c>
      <c r="Y60" s="11">
        <f>IF($V60="No","",ROUND((curve_Base+curve_Slope*D60)*IFERROR(VLOOKUP(E60,rarity_Mult,2,FALSE),1),2))</f>
      </c>
      <c r="Z60" s="11">
        <f>IF(OR(W60="",Y60=""),"",ROUND(W60-Y60,2))</f>
      </c>
      <c r="AA60" s="0">
        <f>IF(Z60="","",IF($V60="Partial","RIDER",IF(ABS(Z60)&lt;=Y60*tol_Pct,"OK",IF(Z60&gt;0,"OVER","UNDER"))))</f>
      </c>
      <c r="AB60" s="0" t="s">
        <v>34</v>
      </c>
      <c r="AC60" s="0">
        <f>IF(AND($V60&lt;&gt;"No",$E60="Common",NOT(ISNUMBER(SEARCH("Ideas",$F60)))),$W60,NA())</f>
      </c>
      <c r="AD60" s="0">
        <f>IF(AND($V60&lt;&gt;"No",$E60="Uncommon",NOT(ISNUMBER(SEARCH("Ideas",$F60)))),$W60,NA())</f>
      </c>
      <c r="AE60" s="0">
        <f>IF(AND($V60&lt;&gt;"No",$E60="Rare",NOT(ISNUMBER(SEARCH("Ideas",$F60)))),$W60,NA())</f>
      </c>
      <c r="AF60" s="0">
        <f>IF(AND($V60&lt;&gt;"No",$E60="Legendary",NOT(ISNUMBER(SEARCH("Ideas",$F60)))),$W60,NA())</f>
      </c>
      <c r="AG60" s="0">
        <f>IF(AND($V60&lt;&gt;"No",ISNUMBER(SEARCH("Knight",$C60)),NOT(ISNUMBER(SEARCH("Ideas",$F60)))),$X60,NA())</f>
      </c>
      <c r="AH60" s="0">
        <f>IF(AND($V60&lt;&gt;"No",ISNUMBER(SEARCH("Mage",$C60)),NOT(ISNUMBER(SEARCH("Ideas",$F60)))),$X60,NA())</f>
      </c>
      <c r="AI60" s="0">
        <f>IF(AND($V60&lt;&gt;"No",ISNUMBER(SEARCH("Rogue",$C60)),NOT(ISNUMBER(SEARCH("Ideas",$F60)))),$X60,NA())</f>
      </c>
      <c r="AJ60" s="0">
        <f>IF($V60&lt;&gt;"No",$Y60,NA())</f>
      </c>
      <c r="AK60" s="0">
        <f>IF(AND($V60&lt;&gt;"No",ISNUMBER(SEARCH("Ideas",$F60))),$W60,NA())</f>
      </c>
      <c r="AL60" s="0">
        <f>IF(AND($V60&lt;&gt;"No",ISNUMBER(SEARCH("Cleric",$C60)),NOT(ISNUMBER(SEARCH("Ideas",$F60)))),$X60,NA())</f>
      </c>
    </row>
    <row r="61">
      <c r="A61" s="0" t="s">
        <v>293</v>
      </c>
      <c r="B61" s="0" t="s">
        <v>293</v>
      </c>
      <c r="C61" s="0" t="s">
        <v>257</v>
      </c>
      <c r="D61" s="0">
        <v>1</v>
      </c>
      <c r="E61" s="0" t="s">
        <v>62</v>
      </c>
      <c r="F61" s="0" t="s">
        <v>257</v>
      </c>
      <c r="G61" s="0">
        <v>1</v>
      </c>
      <c r="H61" s="0">
        <v>1</v>
      </c>
      <c r="I61" s="0">
        <v>5</v>
      </c>
      <c r="J61" s="0">
        <v>0</v>
      </c>
      <c r="K61" s="0">
        <v>0</v>
      </c>
      <c r="L61" s="0">
        <v>0</v>
      </c>
      <c r="M61" s="0">
        <v>0</v>
      </c>
      <c r="N61" s="0">
        <v>0</v>
      </c>
      <c r="O61" s="0">
        <v>0</v>
      </c>
      <c r="P61" s="0">
        <v>0</v>
      </c>
      <c r="Q61" s="0">
        <v>0</v>
      </c>
      <c r="R61" s="0">
        <v>0</v>
      </c>
      <c r="S61" s="0">
        <v>0</v>
      </c>
      <c r="T61" s="0" t="s">
        <v>34</v>
      </c>
      <c r="U61" s="0" t="s">
        <v>1793</v>
      </c>
      <c r="V61" s="0" t="s">
        <v>1905</v>
      </c>
      <c r="W61" s="11">
        <f>IF($V61="No","",ROUND((I61*w_Damage + N61*w_Poison + P61*w_Weaken*w_Horizon)*MIN(1+(G61-1)*w_OccEnemy,w_MaxEnemies) + (J61*w_Heal + K61*w_Shield + L61*w_Block + M61*w_Parry + O61*w_Strength*w_Horizon + S61*w_Combo)*MIN(1+(H61-1)*w_OccAlly,w_MaxAllies) + Q61*w_Draw + R61*w_Move,2))</f>
      </c>
      <c r="X61" s="11">
        <f>IF(W61="","",ROUND(W61/MAX(D61,1),2))</f>
      </c>
      <c r="Y61" s="11">
        <f>IF($V61="No","",ROUND((curve_Base+curve_Slope*D61)*IFERROR(VLOOKUP(E61,rarity_Mult,2,FALSE),1),2))</f>
      </c>
      <c r="Z61" s="11">
        <f>IF(OR(W61="",Y61=""),"",ROUND(W61-Y61,2))</f>
      </c>
      <c r="AA61" s="0">
        <f>IF(Z61="","",IF($V61="Partial","RIDER",IF(ABS(Z61)&lt;=Y61*tol_Pct,"OK",IF(Z61&gt;0,"OVER","UNDER"))))</f>
      </c>
      <c r="AB61" s="0" t="s">
        <v>34</v>
      </c>
      <c r="AC61" s="0">
        <f>IF(AND($V61&lt;&gt;"No",$E61="Common",NOT(ISNUMBER(SEARCH("Ideas",$F61)))),$W61,NA())</f>
      </c>
      <c r="AD61" s="0">
        <f>IF(AND($V61&lt;&gt;"No",$E61="Uncommon",NOT(ISNUMBER(SEARCH("Ideas",$F61)))),$W61,NA())</f>
      </c>
      <c r="AE61" s="0">
        <f>IF(AND($V61&lt;&gt;"No",$E61="Rare",NOT(ISNUMBER(SEARCH("Ideas",$F61)))),$W61,NA())</f>
      </c>
      <c r="AF61" s="0">
        <f>IF(AND($V61&lt;&gt;"No",$E61="Legendary",NOT(ISNUMBER(SEARCH("Ideas",$F61)))),$W61,NA())</f>
      </c>
      <c r="AG61" s="0">
        <f>IF(AND($V61&lt;&gt;"No",ISNUMBER(SEARCH("Knight",$C61)),NOT(ISNUMBER(SEARCH("Ideas",$F61)))),$X61,NA())</f>
      </c>
      <c r="AH61" s="0">
        <f>IF(AND($V61&lt;&gt;"No",ISNUMBER(SEARCH("Mage",$C61)),NOT(ISNUMBER(SEARCH("Ideas",$F61)))),$X61,NA())</f>
      </c>
      <c r="AI61" s="0">
        <f>IF(AND($V61&lt;&gt;"No",ISNUMBER(SEARCH("Rogue",$C61)),NOT(ISNUMBER(SEARCH("Ideas",$F61)))),$X61,NA())</f>
      </c>
      <c r="AJ61" s="0">
        <f>IF($V61&lt;&gt;"No",$Y61,NA())</f>
      </c>
      <c r="AK61" s="0">
        <f>IF(AND($V61&lt;&gt;"No",ISNUMBER(SEARCH("Ideas",$F61))),$W61,NA())</f>
      </c>
      <c r="AL61" s="0">
        <f>IF(AND($V61&lt;&gt;"No",ISNUMBER(SEARCH("Cleric",$C61)),NOT(ISNUMBER(SEARCH("Ideas",$F61)))),$X61,NA())</f>
      </c>
    </row>
    <row r="62">
      <c r="A62" s="0" t="s">
        <v>296</v>
      </c>
      <c r="B62" s="0" t="s">
        <v>296</v>
      </c>
      <c r="C62" s="0" t="s">
        <v>257</v>
      </c>
      <c r="D62" s="0">
        <v>1</v>
      </c>
      <c r="E62" s="0" t="s">
        <v>62</v>
      </c>
      <c r="F62" s="0" t="s">
        <v>257</v>
      </c>
      <c r="G62" s="0">
        <v>8</v>
      </c>
      <c r="H62" s="0">
        <v>1</v>
      </c>
      <c r="I62" s="0">
        <v>5</v>
      </c>
      <c r="J62" s="0">
        <v>0</v>
      </c>
      <c r="K62" s="0">
        <v>0</v>
      </c>
      <c r="L62" s="0">
        <v>0</v>
      </c>
      <c r="M62" s="0">
        <v>0</v>
      </c>
      <c r="N62" s="0">
        <v>0</v>
      </c>
      <c r="O62" s="0">
        <v>0</v>
      </c>
      <c r="P62" s="0">
        <v>0</v>
      </c>
      <c r="Q62" s="0">
        <v>0</v>
      </c>
      <c r="R62" s="0">
        <v>0</v>
      </c>
      <c r="S62" s="0">
        <v>0</v>
      </c>
      <c r="T62" s="0" t="s">
        <v>34</v>
      </c>
      <c r="U62" s="0" t="s">
        <v>34</v>
      </c>
      <c r="V62" s="0" t="s">
        <v>882</v>
      </c>
      <c r="W62" s="11">
        <f>IF($V62="No","",ROUND((I62*w_Damage + N62*w_Poison + P62*w_Weaken*w_Horizon)*MIN(1+(G62-1)*w_OccEnemy,w_MaxEnemies) + (J62*w_Heal + K62*w_Shield + L62*w_Block + M62*w_Parry + O62*w_Strength*w_Horizon + S62*w_Combo)*MIN(1+(H62-1)*w_OccAlly,w_MaxAllies) + Q62*w_Draw + R62*w_Move,2))</f>
      </c>
      <c r="X62" s="11">
        <f>IF(W62="","",ROUND(W62/MAX(D62,1),2))</f>
      </c>
      <c r="Y62" s="11">
        <f>IF($V62="No","",ROUND((curve_Base+curve_Slope*D62)*IFERROR(VLOOKUP(E62,rarity_Mult,2,FALSE),1),2))</f>
      </c>
      <c r="Z62" s="11">
        <f>IF(OR(W62="",Y62=""),"",ROUND(W62-Y62,2))</f>
      </c>
      <c r="AA62" s="0">
        <f>IF(Z62="","",IF($V62="Partial","RIDER",IF(ABS(Z62)&lt;=Y62*tol_Pct,"OK",IF(Z62&gt;0,"OVER","UNDER"))))</f>
      </c>
      <c r="AB62" s="0" t="s">
        <v>34</v>
      </c>
      <c r="AC62" s="0">
        <f>IF(AND($V62&lt;&gt;"No",$E62="Common",NOT(ISNUMBER(SEARCH("Ideas",$F62)))),$W62,NA())</f>
      </c>
      <c r="AD62" s="0">
        <f>IF(AND($V62&lt;&gt;"No",$E62="Uncommon",NOT(ISNUMBER(SEARCH("Ideas",$F62)))),$W62,NA())</f>
      </c>
      <c r="AE62" s="0">
        <f>IF(AND($V62&lt;&gt;"No",$E62="Rare",NOT(ISNUMBER(SEARCH("Ideas",$F62)))),$W62,NA())</f>
      </c>
      <c r="AF62" s="0">
        <f>IF(AND($V62&lt;&gt;"No",$E62="Legendary",NOT(ISNUMBER(SEARCH("Ideas",$F62)))),$W62,NA())</f>
      </c>
      <c r="AG62" s="0">
        <f>IF(AND($V62&lt;&gt;"No",ISNUMBER(SEARCH("Knight",$C62)),NOT(ISNUMBER(SEARCH("Ideas",$F62)))),$X62,NA())</f>
      </c>
      <c r="AH62" s="0">
        <f>IF(AND($V62&lt;&gt;"No",ISNUMBER(SEARCH("Mage",$C62)),NOT(ISNUMBER(SEARCH("Ideas",$F62)))),$X62,NA())</f>
      </c>
      <c r="AI62" s="0">
        <f>IF(AND($V62&lt;&gt;"No",ISNUMBER(SEARCH("Rogue",$C62)),NOT(ISNUMBER(SEARCH("Ideas",$F62)))),$X62,NA())</f>
      </c>
      <c r="AJ62" s="0">
        <f>IF($V62&lt;&gt;"No",$Y62,NA())</f>
      </c>
      <c r="AK62" s="0">
        <f>IF(AND($V62&lt;&gt;"No",ISNUMBER(SEARCH("Ideas",$F62))),$W62,NA())</f>
      </c>
      <c r="AL62" s="0">
        <f>IF(AND($V62&lt;&gt;"No",ISNUMBER(SEARCH("Cleric",$C62)),NOT(ISNUMBER(SEARCH("Ideas",$F62)))),$X62,NA())</f>
      </c>
    </row>
    <row r="63">
      <c r="A63" s="0" t="s">
        <v>299</v>
      </c>
      <c r="B63" s="0" t="s">
        <v>299</v>
      </c>
      <c r="C63" s="0" t="s">
        <v>257</v>
      </c>
      <c r="D63" s="0">
        <v>1</v>
      </c>
      <c r="E63" s="0" t="s">
        <v>62</v>
      </c>
      <c r="F63" s="0" t="s">
        <v>257</v>
      </c>
      <c r="G63" s="0">
        <v>1</v>
      </c>
      <c r="H63" s="0">
        <v>1</v>
      </c>
      <c r="I63" s="0">
        <v>0</v>
      </c>
      <c r="J63" s="0">
        <v>0</v>
      </c>
      <c r="K63" s="0">
        <v>0</v>
      </c>
      <c r="L63" s="0">
        <v>0</v>
      </c>
      <c r="M63" s="0">
        <v>0</v>
      </c>
      <c r="N63" s="0">
        <v>0</v>
      </c>
      <c r="O63" s="0">
        <v>0</v>
      </c>
      <c r="P63" s="0">
        <v>0</v>
      </c>
      <c r="Q63" s="0">
        <v>0</v>
      </c>
      <c r="R63" s="0">
        <v>0</v>
      </c>
      <c r="S63" s="0">
        <v>0</v>
      </c>
      <c r="T63" s="0" t="s">
        <v>1923</v>
      </c>
      <c r="U63" s="0" t="s">
        <v>1924</v>
      </c>
      <c r="V63" s="0" t="s">
        <v>1407</v>
      </c>
      <c r="W63" s="11">
        <f>IF($V63="No","",ROUND((I63*w_Damage + N63*w_Poison + P63*w_Weaken*w_Horizon)*MIN(1+(G63-1)*w_OccEnemy,w_MaxEnemies) + (J63*w_Heal + K63*w_Shield + L63*w_Block + M63*w_Parry + O63*w_Strength*w_Horizon + S63*w_Combo)*MIN(1+(H63-1)*w_OccAlly,w_MaxAllies) + Q63*w_Draw + R63*w_Move,2))</f>
      </c>
      <c r="X63" s="11">
        <f>IF(W63="","",ROUND(W63/MAX(D63,1),2))</f>
      </c>
      <c r="Y63" s="11">
        <f>IF($V63="No","",ROUND((curve_Base+curve_Slope*D63)*IFERROR(VLOOKUP(E63,rarity_Mult,2,FALSE),1),2))</f>
      </c>
      <c r="Z63" s="11">
        <f>IF(OR(W63="",Y63=""),"",ROUND(W63-Y63,2))</f>
      </c>
      <c r="AA63" s="0">
        <f>IF(Z63="","",IF($V63="Partial","RIDER",IF(ABS(Z63)&lt;=Y63*tol_Pct,"OK",IF(Z63&gt;0,"OVER","UNDER"))))</f>
      </c>
      <c r="AB63" s="0" t="s">
        <v>34</v>
      </c>
      <c r="AC63" s="0">
        <f>IF(AND($V63&lt;&gt;"No",$E63="Common",NOT(ISNUMBER(SEARCH("Ideas",$F63)))),$W63,NA())</f>
      </c>
      <c r="AD63" s="0">
        <f>IF(AND($V63&lt;&gt;"No",$E63="Uncommon",NOT(ISNUMBER(SEARCH("Ideas",$F63)))),$W63,NA())</f>
      </c>
      <c r="AE63" s="0">
        <f>IF(AND($V63&lt;&gt;"No",$E63="Rare",NOT(ISNUMBER(SEARCH("Ideas",$F63)))),$W63,NA())</f>
      </c>
      <c r="AF63" s="0">
        <f>IF(AND($V63&lt;&gt;"No",$E63="Legendary",NOT(ISNUMBER(SEARCH("Ideas",$F63)))),$W63,NA())</f>
      </c>
      <c r="AG63" s="0">
        <f>IF(AND($V63&lt;&gt;"No",ISNUMBER(SEARCH("Knight",$C63)),NOT(ISNUMBER(SEARCH("Ideas",$F63)))),$X63,NA())</f>
      </c>
      <c r="AH63" s="0">
        <f>IF(AND($V63&lt;&gt;"No",ISNUMBER(SEARCH("Mage",$C63)),NOT(ISNUMBER(SEARCH("Ideas",$F63)))),$X63,NA())</f>
      </c>
      <c r="AI63" s="0">
        <f>IF(AND($V63&lt;&gt;"No",ISNUMBER(SEARCH("Rogue",$C63)),NOT(ISNUMBER(SEARCH("Ideas",$F63)))),$X63,NA())</f>
      </c>
      <c r="AJ63" s="0">
        <f>IF($V63&lt;&gt;"No",$Y63,NA())</f>
      </c>
      <c r="AK63" s="0">
        <f>IF(AND($V63&lt;&gt;"No",ISNUMBER(SEARCH("Ideas",$F63))),$W63,NA())</f>
      </c>
      <c r="AL63" s="0">
        <f>IF(AND($V63&lt;&gt;"No",ISNUMBER(SEARCH("Cleric",$C63)),NOT(ISNUMBER(SEARCH("Ideas",$F63)))),$X63,NA())</f>
      </c>
    </row>
    <row r="64">
      <c r="A64" s="0" t="s">
        <v>303</v>
      </c>
      <c r="B64" s="0" t="s">
        <v>303</v>
      </c>
      <c r="C64" s="0" t="s">
        <v>257</v>
      </c>
      <c r="D64" s="0">
        <v>2</v>
      </c>
      <c r="E64" s="0" t="s">
        <v>32</v>
      </c>
      <c r="F64" s="0" t="s">
        <v>257</v>
      </c>
      <c r="G64" s="0">
        <v>1</v>
      </c>
      <c r="H64" s="0">
        <v>1</v>
      </c>
      <c r="I64" s="0">
        <v>0</v>
      </c>
      <c r="J64" s="0">
        <v>0</v>
      </c>
      <c r="K64" s="0">
        <v>0</v>
      </c>
      <c r="L64" s="0">
        <v>0</v>
      </c>
      <c r="M64" s="0">
        <v>0</v>
      </c>
      <c r="N64" s="0">
        <v>0</v>
      </c>
      <c r="O64" s="0">
        <v>0</v>
      </c>
      <c r="P64" s="0">
        <v>0</v>
      </c>
      <c r="Q64" s="0">
        <v>0</v>
      </c>
      <c r="R64" s="0">
        <v>0</v>
      </c>
      <c r="S64" s="0">
        <v>0</v>
      </c>
      <c r="T64" s="0" t="s">
        <v>1925</v>
      </c>
      <c r="U64" s="0" t="s">
        <v>1926</v>
      </c>
      <c r="V64" s="0" t="s">
        <v>1407</v>
      </c>
      <c r="W64" s="11">
        <f>IF($V64="No","",ROUND((I64*w_Damage + N64*w_Poison + P64*w_Weaken*w_Horizon)*MIN(1+(G64-1)*w_OccEnemy,w_MaxEnemies) + (J64*w_Heal + K64*w_Shield + L64*w_Block + M64*w_Parry + O64*w_Strength*w_Horizon + S64*w_Combo)*MIN(1+(H64-1)*w_OccAlly,w_MaxAllies) + Q64*w_Draw + R64*w_Move,2))</f>
      </c>
      <c r="X64" s="11">
        <f>IF(W64="","",ROUND(W64/MAX(D64,1),2))</f>
      </c>
      <c r="Y64" s="11">
        <f>IF($V64="No","",ROUND((curve_Base+curve_Slope*D64)*IFERROR(VLOOKUP(E64,rarity_Mult,2,FALSE),1),2))</f>
      </c>
      <c r="Z64" s="11">
        <f>IF(OR(W64="",Y64=""),"",ROUND(W64-Y64,2))</f>
      </c>
      <c r="AA64" s="0">
        <f>IF(Z64="","",IF($V64="Partial","RIDER",IF(ABS(Z64)&lt;=Y64*tol_Pct,"OK",IF(Z64&gt;0,"OVER","UNDER"))))</f>
      </c>
      <c r="AB64" s="0" t="s">
        <v>34</v>
      </c>
      <c r="AC64" s="0">
        <f>IF(AND($V64&lt;&gt;"No",$E64="Common",NOT(ISNUMBER(SEARCH("Ideas",$F64)))),$W64,NA())</f>
      </c>
      <c r="AD64" s="0">
        <f>IF(AND($V64&lt;&gt;"No",$E64="Uncommon",NOT(ISNUMBER(SEARCH("Ideas",$F64)))),$W64,NA())</f>
      </c>
      <c r="AE64" s="0">
        <f>IF(AND($V64&lt;&gt;"No",$E64="Rare",NOT(ISNUMBER(SEARCH("Ideas",$F64)))),$W64,NA())</f>
      </c>
      <c r="AF64" s="0">
        <f>IF(AND($V64&lt;&gt;"No",$E64="Legendary",NOT(ISNUMBER(SEARCH("Ideas",$F64)))),$W64,NA())</f>
      </c>
      <c r="AG64" s="0">
        <f>IF(AND($V64&lt;&gt;"No",ISNUMBER(SEARCH("Knight",$C64)),NOT(ISNUMBER(SEARCH("Ideas",$F64)))),$X64,NA())</f>
      </c>
      <c r="AH64" s="0">
        <f>IF(AND($V64&lt;&gt;"No",ISNUMBER(SEARCH("Mage",$C64)),NOT(ISNUMBER(SEARCH("Ideas",$F64)))),$X64,NA())</f>
      </c>
      <c r="AI64" s="0">
        <f>IF(AND($V64&lt;&gt;"No",ISNUMBER(SEARCH("Rogue",$C64)),NOT(ISNUMBER(SEARCH("Ideas",$F64)))),$X64,NA())</f>
      </c>
      <c r="AJ64" s="0">
        <f>IF($V64&lt;&gt;"No",$Y64,NA())</f>
      </c>
      <c r="AK64" s="0">
        <f>IF(AND($V64&lt;&gt;"No",ISNUMBER(SEARCH("Ideas",$F64))),$W64,NA())</f>
      </c>
      <c r="AL64" s="0">
        <f>IF(AND($V64&lt;&gt;"No",ISNUMBER(SEARCH("Cleric",$C64)),NOT(ISNUMBER(SEARCH("Ideas",$F64)))),$X64,NA())</f>
      </c>
    </row>
    <row r="65">
      <c r="A65" s="0" t="s">
        <v>307</v>
      </c>
      <c r="B65" s="0" t="s">
        <v>307</v>
      </c>
      <c r="C65" s="0" t="s">
        <v>257</v>
      </c>
      <c r="D65" s="0">
        <v>2</v>
      </c>
      <c r="E65" s="0" t="s">
        <v>32</v>
      </c>
      <c r="F65" s="0" t="s">
        <v>257</v>
      </c>
      <c r="G65" s="0">
        <v>1</v>
      </c>
      <c r="H65" s="0">
        <v>1</v>
      </c>
      <c r="I65" s="0">
        <v>0</v>
      </c>
      <c r="J65" s="0">
        <v>0</v>
      </c>
      <c r="K65" s="0">
        <v>0</v>
      </c>
      <c r="L65" s="0">
        <v>0</v>
      </c>
      <c r="M65" s="0">
        <v>0</v>
      </c>
      <c r="N65" s="0">
        <v>0</v>
      </c>
      <c r="O65" s="0">
        <v>0</v>
      </c>
      <c r="P65" s="0">
        <v>0</v>
      </c>
      <c r="Q65" s="0">
        <v>3</v>
      </c>
      <c r="R65" s="0">
        <v>0</v>
      </c>
      <c r="S65" s="0">
        <v>0</v>
      </c>
      <c r="T65" s="0" t="s">
        <v>1927</v>
      </c>
      <c r="U65" s="0" t="s">
        <v>34</v>
      </c>
      <c r="V65" s="0" t="s">
        <v>1905</v>
      </c>
      <c r="W65" s="11">
        <f>IF($V65="No","",ROUND((I65*w_Damage + N65*w_Poison + P65*w_Weaken*w_Horizon)*MIN(1+(G65-1)*w_OccEnemy,w_MaxEnemies) + (J65*w_Heal + K65*w_Shield + L65*w_Block + M65*w_Parry + O65*w_Strength*w_Horizon + S65*w_Combo)*MIN(1+(H65-1)*w_OccAlly,w_MaxAllies) + Q65*w_Draw + R65*w_Move,2))</f>
      </c>
      <c r="X65" s="11">
        <f>IF(W65="","",ROUND(W65/MAX(D65,1),2))</f>
      </c>
      <c r="Y65" s="11">
        <f>IF($V65="No","",ROUND((curve_Base+curve_Slope*D65)*IFERROR(VLOOKUP(E65,rarity_Mult,2,FALSE),1),2))</f>
      </c>
      <c r="Z65" s="11">
        <f>IF(OR(W65="",Y65=""),"",ROUND(W65-Y65,2))</f>
      </c>
      <c r="AA65" s="0">
        <f>IF(Z65="","",IF($V65="Partial","RIDER",IF(ABS(Z65)&lt;=Y65*tol_Pct,"OK",IF(Z65&gt;0,"OVER","UNDER"))))</f>
      </c>
      <c r="AB65" s="0" t="s">
        <v>34</v>
      </c>
      <c r="AC65" s="0">
        <f>IF(AND($V65&lt;&gt;"No",$E65="Common",NOT(ISNUMBER(SEARCH("Ideas",$F65)))),$W65,NA())</f>
      </c>
      <c r="AD65" s="0">
        <f>IF(AND($V65&lt;&gt;"No",$E65="Uncommon",NOT(ISNUMBER(SEARCH("Ideas",$F65)))),$W65,NA())</f>
      </c>
      <c r="AE65" s="0">
        <f>IF(AND($V65&lt;&gt;"No",$E65="Rare",NOT(ISNUMBER(SEARCH("Ideas",$F65)))),$W65,NA())</f>
      </c>
      <c r="AF65" s="0">
        <f>IF(AND($V65&lt;&gt;"No",$E65="Legendary",NOT(ISNUMBER(SEARCH("Ideas",$F65)))),$W65,NA())</f>
      </c>
      <c r="AG65" s="0">
        <f>IF(AND($V65&lt;&gt;"No",ISNUMBER(SEARCH("Knight",$C65)),NOT(ISNUMBER(SEARCH("Ideas",$F65)))),$X65,NA())</f>
      </c>
      <c r="AH65" s="0">
        <f>IF(AND($V65&lt;&gt;"No",ISNUMBER(SEARCH("Mage",$C65)),NOT(ISNUMBER(SEARCH("Ideas",$F65)))),$X65,NA())</f>
      </c>
      <c r="AI65" s="0">
        <f>IF(AND($V65&lt;&gt;"No",ISNUMBER(SEARCH("Rogue",$C65)),NOT(ISNUMBER(SEARCH("Ideas",$F65)))),$X65,NA())</f>
      </c>
      <c r="AJ65" s="0">
        <f>IF($V65&lt;&gt;"No",$Y65,NA())</f>
      </c>
      <c r="AK65" s="0">
        <f>IF(AND($V65&lt;&gt;"No",ISNUMBER(SEARCH("Ideas",$F65))),$W65,NA())</f>
      </c>
      <c r="AL65" s="0">
        <f>IF(AND($V65&lt;&gt;"No",ISNUMBER(SEARCH("Cleric",$C65)),NOT(ISNUMBER(SEARCH("Ideas",$F65)))),$X65,NA())</f>
      </c>
    </row>
    <row r="66">
      <c r="A66" s="0" t="s">
        <v>311</v>
      </c>
      <c r="B66" s="0" t="s">
        <v>311</v>
      </c>
      <c r="C66" s="0" t="s">
        <v>257</v>
      </c>
      <c r="D66" s="0">
        <v>2</v>
      </c>
      <c r="E66" s="0" t="s">
        <v>62</v>
      </c>
      <c r="F66" s="0" t="s">
        <v>257</v>
      </c>
      <c r="G66" s="0">
        <v>1</v>
      </c>
      <c r="H66" s="0">
        <v>1</v>
      </c>
      <c r="I66" s="0">
        <v>0</v>
      </c>
      <c r="J66" s="0">
        <v>0</v>
      </c>
      <c r="K66" s="0">
        <v>0</v>
      </c>
      <c r="L66" s="0">
        <v>0</v>
      </c>
      <c r="M66" s="0">
        <v>0</v>
      </c>
      <c r="N66" s="0">
        <v>0</v>
      </c>
      <c r="O66" s="0">
        <v>0</v>
      </c>
      <c r="P66" s="0">
        <v>0</v>
      </c>
      <c r="Q66" s="0">
        <v>0</v>
      </c>
      <c r="R66" s="0">
        <v>0</v>
      </c>
      <c r="S66" s="0">
        <v>0</v>
      </c>
      <c r="T66" s="0" t="s">
        <v>1928</v>
      </c>
      <c r="U66" s="0" t="s">
        <v>1926</v>
      </c>
      <c r="V66" s="0" t="s">
        <v>1407</v>
      </c>
      <c r="W66" s="11">
        <f>IF($V66="No","",ROUND((I66*w_Damage + N66*w_Poison + P66*w_Weaken*w_Horizon)*MIN(1+(G66-1)*w_OccEnemy,w_MaxEnemies) + (J66*w_Heal + K66*w_Shield + L66*w_Block + M66*w_Parry + O66*w_Strength*w_Horizon + S66*w_Combo)*MIN(1+(H66-1)*w_OccAlly,w_MaxAllies) + Q66*w_Draw + R66*w_Move,2))</f>
      </c>
      <c r="X66" s="11">
        <f>IF(W66="","",ROUND(W66/MAX(D66,1),2))</f>
      </c>
      <c r="Y66" s="11">
        <f>IF($V66="No","",ROUND((curve_Base+curve_Slope*D66)*IFERROR(VLOOKUP(E66,rarity_Mult,2,FALSE),1),2))</f>
      </c>
      <c r="Z66" s="11">
        <f>IF(OR(W66="",Y66=""),"",ROUND(W66-Y66,2))</f>
      </c>
      <c r="AA66" s="0">
        <f>IF(Z66="","",IF($V66="Partial","RIDER",IF(ABS(Z66)&lt;=Y66*tol_Pct,"OK",IF(Z66&gt;0,"OVER","UNDER"))))</f>
      </c>
      <c r="AB66" s="0" t="s">
        <v>34</v>
      </c>
      <c r="AC66" s="0">
        <f>IF(AND($V66&lt;&gt;"No",$E66="Common",NOT(ISNUMBER(SEARCH("Ideas",$F66)))),$W66,NA())</f>
      </c>
      <c r="AD66" s="0">
        <f>IF(AND($V66&lt;&gt;"No",$E66="Uncommon",NOT(ISNUMBER(SEARCH("Ideas",$F66)))),$W66,NA())</f>
      </c>
      <c r="AE66" s="0">
        <f>IF(AND($V66&lt;&gt;"No",$E66="Rare",NOT(ISNUMBER(SEARCH("Ideas",$F66)))),$W66,NA())</f>
      </c>
      <c r="AF66" s="0">
        <f>IF(AND($V66&lt;&gt;"No",$E66="Legendary",NOT(ISNUMBER(SEARCH("Ideas",$F66)))),$W66,NA())</f>
      </c>
      <c r="AG66" s="0">
        <f>IF(AND($V66&lt;&gt;"No",ISNUMBER(SEARCH("Knight",$C66)),NOT(ISNUMBER(SEARCH("Ideas",$F66)))),$X66,NA())</f>
      </c>
      <c r="AH66" s="0">
        <f>IF(AND($V66&lt;&gt;"No",ISNUMBER(SEARCH("Mage",$C66)),NOT(ISNUMBER(SEARCH("Ideas",$F66)))),$X66,NA())</f>
      </c>
      <c r="AI66" s="0">
        <f>IF(AND($V66&lt;&gt;"No",ISNUMBER(SEARCH("Rogue",$C66)),NOT(ISNUMBER(SEARCH("Ideas",$F66)))),$X66,NA())</f>
      </c>
      <c r="AJ66" s="0">
        <f>IF($V66&lt;&gt;"No",$Y66,NA())</f>
      </c>
      <c r="AK66" s="0">
        <f>IF(AND($V66&lt;&gt;"No",ISNUMBER(SEARCH("Ideas",$F66))),$W66,NA())</f>
      </c>
      <c r="AL66" s="0">
        <f>IF(AND($V66&lt;&gt;"No",ISNUMBER(SEARCH("Cleric",$C66)),NOT(ISNUMBER(SEARCH("Ideas",$F66)))),$X66,NA())</f>
      </c>
    </row>
    <row r="67">
      <c r="A67" s="0" t="s">
        <v>315</v>
      </c>
      <c r="B67" s="0" t="s">
        <v>315</v>
      </c>
      <c r="C67" s="0" t="s">
        <v>257</v>
      </c>
      <c r="D67" s="0">
        <v>2</v>
      </c>
      <c r="E67" s="0" t="s">
        <v>32</v>
      </c>
      <c r="F67" s="0" t="s">
        <v>257</v>
      </c>
      <c r="G67" s="0">
        <v>1</v>
      </c>
      <c r="H67" s="0">
        <v>1</v>
      </c>
      <c r="I67" s="0">
        <v>0</v>
      </c>
      <c r="J67" s="0">
        <v>0</v>
      </c>
      <c r="K67" s="0">
        <v>0</v>
      </c>
      <c r="L67" s="0">
        <v>0</v>
      </c>
      <c r="M67" s="0">
        <v>0</v>
      </c>
      <c r="N67" s="0">
        <v>0</v>
      </c>
      <c r="O67" s="0">
        <v>0</v>
      </c>
      <c r="P67" s="0">
        <v>0</v>
      </c>
      <c r="Q67" s="0">
        <v>0</v>
      </c>
      <c r="R67" s="0">
        <v>0</v>
      </c>
      <c r="S67" s="0">
        <v>0</v>
      </c>
      <c r="T67" s="0" t="s">
        <v>1929</v>
      </c>
      <c r="U67" s="0" t="s">
        <v>1930</v>
      </c>
      <c r="V67" s="0" t="s">
        <v>1407</v>
      </c>
      <c r="W67" s="11">
        <f>IF($V67="No","",ROUND((I67*w_Damage + N67*w_Poison + P67*w_Weaken*w_Horizon)*MIN(1+(G67-1)*w_OccEnemy,w_MaxEnemies) + (J67*w_Heal + K67*w_Shield + L67*w_Block + M67*w_Parry + O67*w_Strength*w_Horizon + S67*w_Combo)*MIN(1+(H67-1)*w_OccAlly,w_MaxAllies) + Q67*w_Draw + R67*w_Move,2))</f>
      </c>
      <c r="X67" s="11">
        <f>IF(W67="","",ROUND(W67/MAX(D67,1),2))</f>
      </c>
      <c r="Y67" s="11">
        <f>IF($V67="No","",ROUND((curve_Base+curve_Slope*D67)*IFERROR(VLOOKUP(E67,rarity_Mult,2,FALSE),1),2))</f>
      </c>
      <c r="Z67" s="11">
        <f>IF(OR(W67="",Y67=""),"",ROUND(W67-Y67,2))</f>
      </c>
      <c r="AA67" s="0">
        <f>IF(Z67="","",IF($V67="Partial","RIDER",IF(ABS(Z67)&lt;=Y67*tol_Pct,"OK",IF(Z67&gt;0,"OVER","UNDER"))))</f>
      </c>
      <c r="AB67" s="0" t="s">
        <v>34</v>
      </c>
      <c r="AC67" s="0">
        <f>IF(AND($V67&lt;&gt;"No",$E67="Common",NOT(ISNUMBER(SEARCH("Ideas",$F67)))),$W67,NA())</f>
      </c>
      <c r="AD67" s="0">
        <f>IF(AND($V67&lt;&gt;"No",$E67="Uncommon",NOT(ISNUMBER(SEARCH("Ideas",$F67)))),$W67,NA())</f>
      </c>
      <c r="AE67" s="0">
        <f>IF(AND($V67&lt;&gt;"No",$E67="Rare",NOT(ISNUMBER(SEARCH("Ideas",$F67)))),$W67,NA())</f>
      </c>
      <c r="AF67" s="0">
        <f>IF(AND($V67&lt;&gt;"No",$E67="Legendary",NOT(ISNUMBER(SEARCH("Ideas",$F67)))),$W67,NA())</f>
      </c>
      <c r="AG67" s="0">
        <f>IF(AND($V67&lt;&gt;"No",ISNUMBER(SEARCH("Knight",$C67)),NOT(ISNUMBER(SEARCH("Ideas",$F67)))),$X67,NA())</f>
      </c>
      <c r="AH67" s="0">
        <f>IF(AND($V67&lt;&gt;"No",ISNUMBER(SEARCH("Mage",$C67)),NOT(ISNUMBER(SEARCH("Ideas",$F67)))),$X67,NA())</f>
      </c>
      <c r="AI67" s="0">
        <f>IF(AND($V67&lt;&gt;"No",ISNUMBER(SEARCH("Rogue",$C67)),NOT(ISNUMBER(SEARCH("Ideas",$F67)))),$X67,NA())</f>
      </c>
      <c r="AJ67" s="0">
        <f>IF($V67&lt;&gt;"No",$Y67,NA())</f>
      </c>
      <c r="AK67" s="0">
        <f>IF(AND($V67&lt;&gt;"No",ISNUMBER(SEARCH("Ideas",$F67))),$W67,NA())</f>
      </c>
      <c r="AL67" s="0">
        <f>IF(AND($V67&lt;&gt;"No",ISNUMBER(SEARCH("Cleric",$C67)),NOT(ISNUMBER(SEARCH("Ideas",$F67)))),$X67,NA())</f>
      </c>
    </row>
    <row r="68">
      <c r="A68" s="0" t="s">
        <v>319</v>
      </c>
      <c r="B68" s="0" t="s">
        <v>319</v>
      </c>
      <c r="C68" s="0" t="s">
        <v>257</v>
      </c>
      <c r="D68" s="0">
        <v>2</v>
      </c>
      <c r="E68" s="0" t="s">
        <v>32</v>
      </c>
      <c r="F68" s="0" t="s">
        <v>257</v>
      </c>
      <c r="G68" s="0">
        <v>1</v>
      </c>
      <c r="H68" s="0">
        <v>1</v>
      </c>
      <c r="I68" s="0">
        <v>0</v>
      </c>
      <c r="J68" s="0">
        <v>0</v>
      </c>
      <c r="K68" s="0">
        <v>0</v>
      </c>
      <c r="L68" s="0">
        <v>0</v>
      </c>
      <c r="M68" s="0">
        <v>0</v>
      </c>
      <c r="N68" s="0">
        <v>0</v>
      </c>
      <c r="O68" s="0">
        <v>0</v>
      </c>
      <c r="P68" s="0">
        <v>0</v>
      </c>
      <c r="Q68" s="0">
        <v>0</v>
      </c>
      <c r="R68" s="0">
        <v>0</v>
      </c>
      <c r="S68" s="0">
        <v>0</v>
      </c>
      <c r="T68" s="0" t="s">
        <v>1931</v>
      </c>
      <c r="U68" s="0" t="s">
        <v>1924</v>
      </c>
      <c r="V68" s="0" t="s">
        <v>1407</v>
      </c>
      <c r="W68" s="11">
        <f>IF($V68="No","",ROUND((I68*w_Damage + N68*w_Poison + P68*w_Weaken*w_Horizon)*MIN(1+(G68-1)*w_OccEnemy,w_MaxEnemies) + (J68*w_Heal + K68*w_Shield + L68*w_Block + M68*w_Parry + O68*w_Strength*w_Horizon + S68*w_Combo)*MIN(1+(H68-1)*w_OccAlly,w_MaxAllies) + Q68*w_Draw + R68*w_Move,2))</f>
      </c>
      <c r="X68" s="11">
        <f>IF(W68="","",ROUND(W68/MAX(D68,1),2))</f>
      </c>
      <c r="Y68" s="11">
        <f>IF($V68="No","",ROUND((curve_Base+curve_Slope*D68)*IFERROR(VLOOKUP(E68,rarity_Mult,2,FALSE),1),2))</f>
      </c>
      <c r="Z68" s="11">
        <f>IF(OR(W68="",Y68=""),"",ROUND(W68-Y68,2))</f>
      </c>
      <c r="AA68" s="0">
        <f>IF(Z68="","",IF($V68="Partial","RIDER",IF(ABS(Z68)&lt;=Y68*tol_Pct,"OK",IF(Z68&gt;0,"OVER","UNDER"))))</f>
      </c>
      <c r="AB68" s="0" t="s">
        <v>34</v>
      </c>
      <c r="AC68" s="0">
        <f>IF(AND($V68&lt;&gt;"No",$E68="Common",NOT(ISNUMBER(SEARCH("Ideas",$F68)))),$W68,NA())</f>
      </c>
      <c r="AD68" s="0">
        <f>IF(AND($V68&lt;&gt;"No",$E68="Uncommon",NOT(ISNUMBER(SEARCH("Ideas",$F68)))),$W68,NA())</f>
      </c>
      <c r="AE68" s="0">
        <f>IF(AND($V68&lt;&gt;"No",$E68="Rare",NOT(ISNUMBER(SEARCH("Ideas",$F68)))),$W68,NA())</f>
      </c>
      <c r="AF68" s="0">
        <f>IF(AND($V68&lt;&gt;"No",$E68="Legendary",NOT(ISNUMBER(SEARCH("Ideas",$F68)))),$W68,NA())</f>
      </c>
      <c r="AG68" s="0">
        <f>IF(AND($V68&lt;&gt;"No",ISNUMBER(SEARCH("Knight",$C68)),NOT(ISNUMBER(SEARCH("Ideas",$F68)))),$X68,NA())</f>
      </c>
      <c r="AH68" s="0">
        <f>IF(AND($V68&lt;&gt;"No",ISNUMBER(SEARCH("Mage",$C68)),NOT(ISNUMBER(SEARCH("Ideas",$F68)))),$X68,NA())</f>
      </c>
      <c r="AI68" s="0">
        <f>IF(AND($V68&lt;&gt;"No",ISNUMBER(SEARCH("Rogue",$C68)),NOT(ISNUMBER(SEARCH("Ideas",$F68)))),$X68,NA())</f>
      </c>
      <c r="AJ68" s="0">
        <f>IF($V68&lt;&gt;"No",$Y68,NA())</f>
      </c>
      <c r="AK68" s="0">
        <f>IF(AND($V68&lt;&gt;"No",ISNUMBER(SEARCH("Ideas",$F68))),$W68,NA())</f>
      </c>
      <c r="AL68" s="0">
        <f>IF(AND($V68&lt;&gt;"No",ISNUMBER(SEARCH("Cleric",$C68)),NOT(ISNUMBER(SEARCH("Ideas",$F68)))),$X68,NA())</f>
      </c>
    </row>
    <row r="69">
      <c r="A69" s="0" t="s">
        <v>323</v>
      </c>
      <c r="B69" s="0" t="s">
        <v>323</v>
      </c>
      <c r="C69" s="0" t="s">
        <v>257</v>
      </c>
      <c r="D69" s="0">
        <v>2</v>
      </c>
      <c r="E69" s="0" t="s">
        <v>62</v>
      </c>
      <c r="F69" s="0" t="s">
        <v>257</v>
      </c>
      <c r="G69" s="0">
        <v>1</v>
      </c>
      <c r="H69" s="0">
        <v>1</v>
      </c>
      <c r="I69" s="0">
        <v>0</v>
      </c>
      <c r="J69" s="0">
        <v>0</v>
      </c>
      <c r="K69" s="0">
        <v>0</v>
      </c>
      <c r="L69" s="0">
        <v>0</v>
      </c>
      <c r="M69" s="0">
        <v>0</v>
      </c>
      <c r="N69" s="0">
        <v>0</v>
      </c>
      <c r="O69" s="0">
        <v>0</v>
      </c>
      <c r="P69" s="0">
        <v>0</v>
      </c>
      <c r="Q69" s="0">
        <v>0</v>
      </c>
      <c r="R69" s="0">
        <v>0</v>
      </c>
      <c r="S69" s="0">
        <v>0</v>
      </c>
      <c r="T69" s="0" t="s">
        <v>1932</v>
      </c>
      <c r="U69" s="0" t="s">
        <v>1926</v>
      </c>
      <c r="V69" s="0" t="s">
        <v>1407</v>
      </c>
      <c r="W69" s="11">
        <f>IF($V69="No","",ROUND((I69*w_Damage + N69*w_Poison + P69*w_Weaken*w_Horizon)*MIN(1+(G69-1)*w_OccEnemy,w_MaxEnemies) + (J69*w_Heal + K69*w_Shield + L69*w_Block + M69*w_Parry + O69*w_Strength*w_Horizon + S69*w_Combo)*MIN(1+(H69-1)*w_OccAlly,w_MaxAllies) + Q69*w_Draw + R69*w_Move,2))</f>
      </c>
      <c r="X69" s="11">
        <f>IF(W69="","",ROUND(W69/MAX(D69,1),2))</f>
      </c>
      <c r="Y69" s="11">
        <f>IF($V69="No","",ROUND((curve_Base+curve_Slope*D69)*IFERROR(VLOOKUP(E69,rarity_Mult,2,FALSE),1),2))</f>
      </c>
      <c r="Z69" s="11">
        <f>IF(OR(W69="",Y69=""),"",ROUND(W69-Y69,2))</f>
      </c>
      <c r="AA69" s="0">
        <f>IF(Z69="","",IF($V69="Partial","RIDER",IF(ABS(Z69)&lt;=Y69*tol_Pct,"OK",IF(Z69&gt;0,"OVER","UNDER"))))</f>
      </c>
      <c r="AB69" s="0" t="s">
        <v>34</v>
      </c>
      <c r="AC69" s="0">
        <f>IF(AND($V69&lt;&gt;"No",$E69="Common",NOT(ISNUMBER(SEARCH("Ideas",$F69)))),$W69,NA())</f>
      </c>
      <c r="AD69" s="0">
        <f>IF(AND($V69&lt;&gt;"No",$E69="Uncommon",NOT(ISNUMBER(SEARCH("Ideas",$F69)))),$W69,NA())</f>
      </c>
      <c r="AE69" s="0">
        <f>IF(AND($V69&lt;&gt;"No",$E69="Rare",NOT(ISNUMBER(SEARCH("Ideas",$F69)))),$W69,NA())</f>
      </c>
      <c r="AF69" s="0">
        <f>IF(AND($V69&lt;&gt;"No",$E69="Legendary",NOT(ISNUMBER(SEARCH("Ideas",$F69)))),$W69,NA())</f>
      </c>
      <c r="AG69" s="0">
        <f>IF(AND($V69&lt;&gt;"No",ISNUMBER(SEARCH("Knight",$C69)),NOT(ISNUMBER(SEARCH("Ideas",$F69)))),$X69,NA())</f>
      </c>
      <c r="AH69" s="0">
        <f>IF(AND($V69&lt;&gt;"No",ISNUMBER(SEARCH("Mage",$C69)),NOT(ISNUMBER(SEARCH("Ideas",$F69)))),$X69,NA())</f>
      </c>
      <c r="AI69" s="0">
        <f>IF(AND($V69&lt;&gt;"No",ISNUMBER(SEARCH("Rogue",$C69)),NOT(ISNUMBER(SEARCH("Ideas",$F69)))),$X69,NA())</f>
      </c>
      <c r="AJ69" s="0">
        <f>IF($V69&lt;&gt;"No",$Y69,NA())</f>
      </c>
      <c r="AK69" s="0">
        <f>IF(AND($V69&lt;&gt;"No",ISNUMBER(SEARCH("Ideas",$F69))),$W69,NA())</f>
      </c>
      <c r="AL69" s="0">
        <f>IF(AND($V69&lt;&gt;"No",ISNUMBER(SEARCH("Cleric",$C69)),NOT(ISNUMBER(SEARCH("Ideas",$F69)))),$X69,NA())</f>
      </c>
    </row>
    <row r="70">
      <c r="A70" s="0" t="s">
        <v>327</v>
      </c>
      <c r="B70" s="0" t="s">
        <v>327</v>
      </c>
      <c r="C70" s="0" t="s">
        <v>257</v>
      </c>
      <c r="D70" s="0">
        <v>2</v>
      </c>
      <c r="E70" s="0" t="s">
        <v>32</v>
      </c>
      <c r="F70" s="0" t="s">
        <v>257</v>
      </c>
      <c r="G70" s="0">
        <v>1</v>
      </c>
      <c r="H70" s="0">
        <v>1</v>
      </c>
      <c r="I70" s="0">
        <v>0</v>
      </c>
      <c r="J70" s="0">
        <v>0</v>
      </c>
      <c r="K70" s="0">
        <v>0</v>
      </c>
      <c r="L70" s="0">
        <v>0</v>
      </c>
      <c r="M70" s="0">
        <v>0</v>
      </c>
      <c r="N70" s="0">
        <v>0</v>
      </c>
      <c r="O70" s="0">
        <v>0</v>
      </c>
      <c r="P70" s="0">
        <v>0</v>
      </c>
      <c r="Q70" s="0">
        <v>0</v>
      </c>
      <c r="R70" s="0">
        <v>0</v>
      </c>
      <c r="S70" s="0">
        <v>0</v>
      </c>
      <c r="T70" s="0" t="s">
        <v>1933</v>
      </c>
      <c r="U70" s="0" t="s">
        <v>1930</v>
      </c>
      <c r="V70" s="0" t="s">
        <v>1407</v>
      </c>
      <c r="W70" s="11">
        <f>IF($V70="No","",ROUND((I70*w_Damage + N70*w_Poison + P70*w_Weaken*w_Horizon)*MIN(1+(G70-1)*w_OccEnemy,w_MaxEnemies) + (J70*w_Heal + K70*w_Shield + L70*w_Block + M70*w_Parry + O70*w_Strength*w_Horizon + S70*w_Combo)*MIN(1+(H70-1)*w_OccAlly,w_MaxAllies) + Q70*w_Draw + R70*w_Move,2))</f>
      </c>
      <c r="X70" s="11">
        <f>IF(W70="","",ROUND(W70/MAX(D70,1),2))</f>
      </c>
      <c r="Y70" s="11">
        <f>IF($V70="No","",ROUND((curve_Base+curve_Slope*D70)*IFERROR(VLOOKUP(E70,rarity_Mult,2,FALSE),1),2))</f>
      </c>
      <c r="Z70" s="11">
        <f>IF(OR(W70="",Y70=""),"",ROUND(W70-Y70,2))</f>
      </c>
      <c r="AA70" s="0">
        <f>IF(Z70="","",IF($V70="Partial","RIDER",IF(ABS(Z70)&lt;=Y70*tol_Pct,"OK",IF(Z70&gt;0,"OVER","UNDER"))))</f>
      </c>
      <c r="AB70" s="0" t="s">
        <v>34</v>
      </c>
      <c r="AC70" s="0">
        <f>IF(AND($V70&lt;&gt;"No",$E70="Common",NOT(ISNUMBER(SEARCH("Ideas",$F70)))),$W70,NA())</f>
      </c>
      <c r="AD70" s="0">
        <f>IF(AND($V70&lt;&gt;"No",$E70="Uncommon",NOT(ISNUMBER(SEARCH("Ideas",$F70)))),$W70,NA())</f>
      </c>
      <c r="AE70" s="0">
        <f>IF(AND($V70&lt;&gt;"No",$E70="Rare",NOT(ISNUMBER(SEARCH("Ideas",$F70)))),$W70,NA())</f>
      </c>
      <c r="AF70" s="0">
        <f>IF(AND($V70&lt;&gt;"No",$E70="Legendary",NOT(ISNUMBER(SEARCH("Ideas",$F70)))),$W70,NA())</f>
      </c>
      <c r="AG70" s="0">
        <f>IF(AND($V70&lt;&gt;"No",ISNUMBER(SEARCH("Knight",$C70)),NOT(ISNUMBER(SEARCH("Ideas",$F70)))),$X70,NA())</f>
      </c>
      <c r="AH70" s="0">
        <f>IF(AND($V70&lt;&gt;"No",ISNUMBER(SEARCH("Mage",$C70)),NOT(ISNUMBER(SEARCH("Ideas",$F70)))),$X70,NA())</f>
      </c>
      <c r="AI70" s="0">
        <f>IF(AND($V70&lt;&gt;"No",ISNUMBER(SEARCH("Rogue",$C70)),NOT(ISNUMBER(SEARCH("Ideas",$F70)))),$X70,NA())</f>
      </c>
      <c r="AJ70" s="0">
        <f>IF($V70&lt;&gt;"No",$Y70,NA())</f>
      </c>
      <c r="AK70" s="0">
        <f>IF(AND($V70&lt;&gt;"No",ISNUMBER(SEARCH("Ideas",$F70))),$W70,NA())</f>
      </c>
      <c r="AL70" s="0">
        <f>IF(AND($V70&lt;&gt;"No",ISNUMBER(SEARCH("Cleric",$C70)),NOT(ISNUMBER(SEARCH("Ideas",$F70)))),$X70,NA())</f>
      </c>
    </row>
    <row r="71">
      <c r="A71" s="0" t="s">
        <v>331</v>
      </c>
      <c r="B71" s="0" t="s">
        <v>331</v>
      </c>
      <c r="C71" s="0" t="s">
        <v>257</v>
      </c>
      <c r="D71" s="0">
        <v>2</v>
      </c>
      <c r="E71" s="0" t="s">
        <v>32</v>
      </c>
      <c r="F71" s="0" t="s">
        <v>257</v>
      </c>
      <c r="G71" s="0">
        <v>1</v>
      </c>
      <c r="H71" s="0">
        <v>1</v>
      </c>
      <c r="I71" s="0">
        <v>0</v>
      </c>
      <c r="J71" s="0">
        <v>0</v>
      </c>
      <c r="K71" s="0">
        <v>0</v>
      </c>
      <c r="L71" s="0">
        <v>0</v>
      </c>
      <c r="M71" s="0">
        <v>0</v>
      </c>
      <c r="N71" s="0">
        <v>0</v>
      </c>
      <c r="O71" s="0">
        <v>0</v>
      </c>
      <c r="P71" s="0">
        <v>6</v>
      </c>
      <c r="Q71" s="0">
        <v>0</v>
      </c>
      <c r="R71" s="0">
        <v>0</v>
      </c>
      <c r="S71" s="0">
        <v>0</v>
      </c>
      <c r="T71" s="0" t="s">
        <v>1934</v>
      </c>
      <c r="U71" s="0" t="s">
        <v>34</v>
      </c>
      <c r="V71" s="0" t="s">
        <v>1905</v>
      </c>
      <c r="W71" s="11">
        <f>IF($V71="No","",ROUND((I71*w_Damage + N71*w_Poison + P71*w_Weaken*w_Horizon)*MIN(1+(G71-1)*w_OccEnemy,w_MaxEnemies) + (J71*w_Heal + K71*w_Shield + L71*w_Block + M71*w_Parry + O71*w_Strength*w_Horizon + S71*w_Combo)*MIN(1+(H71-1)*w_OccAlly,w_MaxAllies) + Q71*w_Draw + R71*w_Move,2))</f>
      </c>
      <c r="X71" s="11">
        <f>IF(W71="","",ROUND(W71/MAX(D71,1),2))</f>
      </c>
      <c r="Y71" s="11">
        <f>IF($V71="No","",ROUND((curve_Base+curve_Slope*D71)*IFERROR(VLOOKUP(E71,rarity_Mult,2,FALSE),1),2))</f>
      </c>
      <c r="Z71" s="11">
        <f>IF(OR(W71="",Y71=""),"",ROUND(W71-Y71,2))</f>
      </c>
      <c r="AA71" s="0">
        <f>IF(Z71="","",IF($V71="Partial","RIDER",IF(ABS(Z71)&lt;=Y71*tol_Pct,"OK",IF(Z71&gt;0,"OVER","UNDER"))))</f>
      </c>
      <c r="AB71" s="0" t="s">
        <v>34</v>
      </c>
      <c r="AC71" s="0">
        <f>IF(AND($V71&lt;&gt;"No",$E71="Common",NOT(ISNUMBER(SEARCH("Ideas",$F71)))),$W71,NA())</f>
      </c>
      <c r="AD71" s="0">
        <f>IF(AND($V71&lt;&gt;"No",$E71="Uncommon",NOT(ISNUMBER(SEARCH("Ideas",$F71)))),$W71,NA())</f>
      </c>
      <c r="AE71" s="0">
        <f>IF(AND($V71&lt;&gt;"No",$E71="Rare",NOT(ISNUMBER(SEARCH("Ideas",$F71)))),$W71,NA())</f>
      </c>
      <c r="AF71" s="0">
        <f>IF(AND($V71&lt;&gt;"No",$E71="Legendary",NOT(ISNUMBER(SEARCH("Ideas",$F71)))),$W71,NA())</f>
      </c>
      <c r="AG71" s="0">
        <f>IF(AND($V71&lt;&gt;"No",ISNUMBER(SEARCH("Knight",$C71)),NOT(ISNUMBER(SEARCH("Ideas",$F71)))),$X71,NA())</f>
      </c>
      <c r="AH71" s="0">
        <f>IF(AND($V71&lt;&gt;"No",ISNUMBER(SEARCH("Mage",$C71)),NOT(ISNUMBER(SEARCH("Ideas",$F71)))),$X71,NA())</f>
      </c>
      <c r="AI71" s="0">
        <f>IF(AND($V71&lt;&gt;"No",ISNUMBER(SEARCH("Rogue",$C71)),NOT(ISNUMBER(SEARCH("Ideas",$F71)))),$X71,NA())</f>
      </c>
      <c r="AJ71" s="0">
        <f>IF($V71&lt;&gt;"No",$Y71,NA())</f>
      </c>
      <c r="AK71" s="0">
        <f>IF(AND($V71&lt;&gt;"No",ISNUMBER(SEARCH("Ideas",$F71))),$W71,NA())</f>
      </c>
      <c r="AL71" s="0">
        <f>IF(AND($V71&lt;&gt;"No",ISNUMBER(SEARCH("Cleric",$C71)),NOT(ISNUMBER(SEARCH("Ideas",$F71)))),$X71,NA())</f>
      </c>
    </row>
    <row r="72">
      <c r="A72" s="0" t="s">
        <v>335</v>
      </c>
      <c r="B72" s="0" t="s">
        <v>335</v>
      </c>
      <c r="C72" s="0" t="s">
        <v>257</v>
      </c>
      <c r="D72" s="0">
        <v>2</v>
      </c>
      <c r="E72" s="0" t="s">
        <v>32</v>
      </c>
      <c r="F72" s="0" t="s">
        <v>257</v>
      </c>
      <c r="G72" s="0">
        <v>1</v>
      </c>
      <c r="H72" s="0">
        <v>1</v>
      </c>
      <c r="I72" s="0">
        <v>0</v>
      </c>
      <c r="J72" s="0">
        <v>0</v>
      </c>
      <c r="K72" s="0">
        <v>0</v>
      </c>
      <c r="L72" s="0">
        <v>0</v>
      </c>
      <c r="M72" s="0">
        <v>0</v>
      </c>
      <c r="N72" s="0">
        <v>0</v>
      </c>
      <c r="O72" s="0">
        <v>0</v>
      </c>
      <c r="P72" s="0">
        <v>0</v>
      </c>
      <c r="Q72" s="0">
        <v>0</v>
      </c>
      <c r="R72" s="0">
        <v>0</v>
      </c>
      <c r="S72" s="0">
        <v>0</v>
      </c>
      <c r="T72" s="0" t="s">
        <v>1935</v>
      </c>
      <c r="U72" s="0" t="s">
        <v>1936</v>
      </c>
      <c r="V72" s="0" t="s">
        <v>1407</v>
      </c>
      <c r="W72" s="11">
        <f>IF($V72="No","",ROUND((I72*w_Damage + N72*w_Poison + P72*w_Weaken*w_Horizon)*MIN(1+(G72-1)*w_OccEnemy,w_MaxEnemies) + (J72*w_Heal + K72*w_Shield + L72*w_Block + M72*w_Parry + O72*w_Strength*w_Horizon + S72*w_Combo)*MIN(1+(H72-1)*w_OccAlly,w_MaxAllies) + Q72*w_Draw + R72*w_Move,2))</f>
      </c>
      <c r="X72" s="11">
        <f>IF(W72="","",ROUND(W72/MAX(D72,1),2))</f>
      </c>
      <c r="Y72" s="11">
        <f>IF($V72="No","",ROUND((curve_Base+curve_Slope*D72)*IFERROR(VLOOKUP(E72,rarity_Mult,2,FALSE),1),2))</f>
      </c>
      <c r="Z72" s="11">
        <f>IF(OR(W72="",Y72=""),"",ROUND(W72-Y72,2))</f>
      </c>
      <c r="AA72" s="0">
        <f>IF(Z72="","",IF($V72="Partial","RIDER",IF(ABS(Z72)&lt;=Y72*tol_Pct,"OK",IF(Z72&gt;0,"OVER","UNDER"))))</f>
      </c>
      <c r="AB72" s="0" t="s">
        <v>34</v>
      </c>
      <c r="AC72" s="0">
        <f>IF(AND($V72&lt;&gt;"No",$E72="Common",NOT(ISNUMBER(SEARCH("Ideas",$F72)))),$W72,NA())</f>
      </c>
      <c r="AD72" s="0">
        <f>IF(AND($V72&lt;&gt;"No",$E72="Uncommon",NOT(ISNUMBER(SEARCH("Ideas",$F72)))),$W72,NA())</f>
      </c>
      <c r="AE72" s="0">
        <f>IF(AND($V72&lt;&gt;"No",$E72="Rare",NOT(ISNUMBER(SEARCH("Ideas",$F72)))),$W72,NA())</f>
      </c>
      <c r="AF72" s="0">
        <f>IF(AND($V72&lt;&gt;"No",$E72="Legendary",NOT(ISNUMBER(SEARCH("Ideas",$F72)))),$W72,NA())</f>
      </c>
      <c r="AG72" s="0">
        <f>IF(AND($V72&lt;&gt;"No",ISNUMBER(SEARCH("Knight",$C72)),NOT(ISNUMBER(SEARCH("Ideas",$F72)))),$X72,NA())</f>
      </c>
      <c r="AH72" s="0">
        <f>IF(AND($V72&lt;&gt;"No",ISNUMBER(SEARCH("Mage",$C72)),NOT(ISNUMBER(SEARCH("Ideas",$F72)))),$X72,NA())</f>
      </c>
      <c r="AI72" s="0">
        <f>IF(AND($V72&lt;&gt;"No",ISNUMBER(SEARCH("Rogue",$C72)),NOT(ISNUMBER(SEARCH("Ideas",$F72)))),$X72,NA())</f>
      </c>
      <c r="AJ72" s="0">
        <f>IF($V72&lt;&gt;"No",$Y72,NA())</f>
      </c>
      <c r="AK72" s="0">
        <f>IF(AND($V72&lt;&gt;"No",ISNUMBER(SEARCH("Ideas",$F72))),$W72,NA())</f>
      </c>
      <c r="AL72" s="0">
        <f>IF(AND($V72&lt;&gt;"No",ISNUMBER(SEARCH("Cleric",$C72)),NOT(ISNUMBER(SEARCH("Ideas",$F72)))),$X72,NA())</f>
      </c>
    </row>
    <row r="73">
      <c r="A73" s="0" t="s">
        <v>339</v>
      </c>
      <c r="B73" s="0" t="s">
        <v>339</v>
      </c>
      <c r="C73" s="0" t="s">
        <v>257</v>
      </c>
      <c r="D73" s="0">
        <v>2</v>
      </c>
      <c r="E73" s="0" t="s">
        <v>32</v>
      </c>
      <c r="F73" s="0" t="s">
        <v>257</v>
      </c>
      <c r="G73" s="0">
        <v>1</v>
      </c>
      <c r="H73" s="0">
        <v>1</v>
      </c>
      <c r="I73" s="0">
        <v>0</v>
      </c>
      <c r="J73" s="0">
        <v>0</v>
      </c>
      <c r="K73" s="0">
        <v>0</v>
      </c>
      <c r="L73" s="0">
        <v>0</v>
      </c>
      <c r="M73" s="0">
        <v>0</v>
      </c>
      <c r="N73" s="0">
        <v>0</v>
      </c>
      <c r="O73" s="0">
        <v>0</v>
      </c>
      <c r="P73" s="0">
        <v>0</v>
      </c>
      <c r="Q73" s="0">
        <v>0</v>
      </c>
      <c r="R73" s="0">
        <v>0</v>
      </c>
      <c r="S73" s="0">
        <v>0</v>
      </c>
      <c r="T73" s="0" t="s">
        <v>1937</v>
      </c>
      <c r="U73" s="0" t="s">
        <v>1911</v>
      </c>
      <c r="V73" s="0" t="s">
        <v>1407</v>
      </c>
      <c r="W73" s="11">
        <f>IF($V73="No","",ROUND((I73*w_Damage + N73*w_Poison + P73*w_Weaken*w_Horizon)*MIN(1+(G73-1)*w_OccEnemy,w_MaxEnemies) + (J73*w_Heal + K73*w_Shield + L73*w_Block + M73*w_Parry + O73*w_Strength*w_Horizon + S73*w_Combo)*MIN(1+(H73-1)*w_OccAlly,w_MaxAllies) + Q73*w_Draw + R73*w_Move,2))</f>
      </c>
      <c r="X73" s="11">
        <f>IF(W73="","",ROUND(W73/MAX(D73,1),2))</f>
      </c>
      <c r="Y73" s="11">
        <f>IF($V73="No","",ROUND((curve_Base+curve_Slope*D73)*IFERROR(VLOOKUP(E73,rarity_Mult,2,FALSE),1),2))</f>
      </c>
      <c r="Z73" s="11">
        <f>IF(OR(W73="",Y73=""),"",ROUND(W73-Y73,2))</f>
      </c>
      <c r="AA73" s="0">
        <f>IF(Z73="","",IF($V73="Partial","RIDER",IF(ABS(Z73)&lt;=Y73*tol_Pct,"OK",IF(Z73&gt;0,"OVER","UNDER"))))</f>
      </c>
      <c r="AB73" s="0" t="s">
        <v>34</v>
      </c>
      <c r="AC73" s="0">
        <f>IF(AND($V73&lt;&gt;"No",$E73="Common",NOT(ISNUMBER(SEARCH("Ideas",$F73)))),$W73,NA())</f>
      </c>
      <c r="AD73" s="0">
        <f>IF(AND($V73&lt;&gt;"No",$E73="Uncommon",NOT(ISNUMBER(SEARCH("Ideas",$F73)))),$W73,NA())</f>
      </c>
      <c r="AE73" s="0">
        <f>IF(AND($V73&lt;&gt;"No",$E73="Rare",NOT(ISNUMBER(SEARCH("Ideas",$F73)))),$W73,NA())</f>
      </c>
      <c r="AF73" s="0">
        <f>IF(AND($V73&lt;&gt;"No",$E73="Legendary",NOT(ISNUMBER(SEARCH("Ideas",$F73)))),$W73,NA())</f>
      </c>
      <c r="AG73" s="0">
        <f>IF(AND($V73&lt;&gt;"No",ISNUMBER(SEARCH("Knight",$C73)),NOT(ISNUMBER(SEARCH("Ideas",$F73)))),$X73,NA())</f>
      </c>
      <c r="AH73" s="0">
        <f>IF(AND($V73&lt;&gt;"No",ISNUMBER(SEARCH("Mage",$C73)),NOT(ISNUMBER(SEARCH("Ideas",$F73)))),$X73,NA())</f>
      </c>
      <c r="AI73" s="0">
        <f>IF(AND($V73&lt;&gt;"No",ISNUMBER(SEARCH("Rogue",$C73)),NOT(ISNUMBER(SEARCH("Ideas",$F73)))),$X73,NA())</f>
      </c>
      <c r="AJ73" s="0">
        <f>IF($V73&lt;&gt;"No",$Y73,NA())</f>
      </c>
      <c r="AK73" s="0">
        <f>IF(AND($V73&lt;&gt;"No",ISNUMBER(SEARCH("Ideas",$F73))),$W73,NA())</f>
      </c>
      <c r="AL73" s="0">
        <f>IF(AND($V73&lt;&gt;"No",ISNUMBER(SEARCH("Cleric",$C73)),NOT(ISNUMBER(SEARCH("Ideas",$F73)))),$X73,NA())</f>
      </c>
    </row>
    <row r="74">
      <c r="A74" s="0" t="s">
        <v>344</v>
      </c>
      <c r="B74" s="0" t="s">
        <v>343</v>
      </c>
      <c r="C74" s="0" t="s">
        <v>257</v>
      </c>
      <c r="D74" s="0">
        <v>2</v>
      </c>
      <c r="E74" s="0" t="s">
        <v>32</v>
      </c>
      <c r="F74" s="0" t="s">
        <v>257</v>
      </c>
      <c r="G74" s="0">
        <v>1</v>
      </c>
      <c r="H74" s="0">
        <v>1</v>
      </c>
      <c r="I74" s="0">
        <v>0</v>
      </c>
      <c r="J74" s="0">
        <v>0</v>
      </c>
      <c r="K74" s="0">
        <v>0</v>
      </c>
      <c r="L74" s="0">
        <v>0</v>
      </c>
      <c r="M74" s="0">
        <v>0</v>
      </c>
      <c r="N74" s="0">
        <v>0</v>
      </c>
      <c r="O74" s="0">
        <v>0</v>
      </c>
      <c r="P74" s="0">
        <v>0</v>
      </c>
      <c r="Q74" s="0">
        <v>3</v>
      </c>
      <c r="R74" s="0">
        <v>0</v>
      </c>
      <c r="S74" s="0">
        <v>0</v>
      </c>
      <c r="T74" s="0" t="s">
        <v>1938</v>
      </c>
      <c r="U74" s="0" t="s">
        <v>34</v>
      </c>
      <c r="V74" s="0" t="s">
        <v>1905</v>
      </c>
      <c r="W74" s="11">
        <f>IF($V74="No","",ROUND((I74*w_Damage + N74*w_Poison + P74*w_Weaken*w_Horizon)*MIN(1+(G74-1)*w_OccEnemy,w_MaxEnemies) + (J74*w_Heal + K74*w_Shield + L74*w_Block + M74*w_Parry + O74*w_Strength*w_Horizon + S74*w_Combo)*MIN(1+(H74-1)*w_OccAlly,w_MaxAllies) + Q74*w_Draw + R74*w_Move,2))</f>
      </c>
      <c r="X74" s="11">
        <f>IF(W74="","",ROUND(W74/MAX(D74,1),2))</f>
      </c>
      <c r="Y74" s="11">
        <f>IF($V74="No","",ROUND((curve_Base+curve_Slope*D74)*IFERROR(VLOOKUP(E74,rarity_Mult,2,FALSE),1),2))</f>
      </c>
      <c r="Z74" s="11">
        <f>IF(OR(W74="",Y74=""),"",ROUND(W74-Y74,2))</f>
      </c>
      <c r="AA74" s="0">
        <f>IF(Z74="","",IF($V74="Partial","RIDER",IF(ABS(Z74)&lt;=Y74*tol_Pct,"OK",IF(Z74&gt;0,"OVER","UNDER"))))</f>
      </c>
      <c r="AB74" s="0" t="s">
        <v>34</v>
      </c>
      <c r="AC74" s="0">
        <f>IF(AND($V74&lt;&gt;"No",$E74="Common",NOT(ISNUMBER(SEARCH("Ideas",$F74)))),$W74,NA())</f>
      </c>
      <c r="AD74" s="0">
        <f>IF(AND($V74&lt;&gt;"No",$E74="Uncommon",NOT(ISNUMBER(SEARCH("Ideas",$F74)))),$W74,NA())</f>
      </c>
      <c r="AE74" s="0">
        <f>IF(AND($V74&lt;&gt;"No",$E74="Rare",NOT(ISNUMBER(SEARCH("Ideas",$F74)))),$W74,NA())</f>
      </c>
      <c r="AF74" s="0">
        <f>IF(AND($V74&lt;&gt;"No",$E74="Legendary",NOT(ISNUMBER(SEARCH("Ideas",$F74)))),$W74,NA())</f>
      </c>
      <c r="AG74" s="0">
        <f>IF(AND($V74&lt;&gt;"No",ISNUMBER(SEARCH("Knight",$C74)),NOT(ISNUMBER(SEARCH("Ideas",$F74)))),$X74,NA())</f>
      </c>
      <c r="AH74" s="0">
        <f>IF(AND($V74&lt;&gt;"No",ISNUMBER(SEARCH("Mage",$C74)),NOT(ISNUMBER(SEARCH("Ideas",$F74)))),$X74,NA())</f>
      </c>
      <c r="AI74" s="0">
        <f>IF(AND($V74&lt;&gt;"No",ISNUMBER(SEARCH("Rogue",$C74)),NOT(ISNUMBER(SEARCH("Ideas",$F74)))),$X74,NA())</f>
      </c>
      <c r="AJ74" s="0">
        <f>IF($V74&lt;&gt;"No",$Y74,NA())</f>
      </c>
      <c r="AK74" s="0">
        <f>IF(AND($V74&lt;&gt;"No",ISNUMBER(SEARCH("Ideas",$F74))),$W74,NA())</f>
      </c>
      <c r="AL74" s="0">
        <f>IF(AND($V74&lt;&gt;"No",ISNUMBER(SEARCH("Cleric",$C74)),NOT(ISNUMBER(SEARCH("Ideas",$F74)))),$X74,NA())</f>
      </c>
    </row>
    <row r="75">
      <c r="A75" s="0" t="s">
        <v>349</v>
      </c>
      <c r="B75" s="0" t="s">
        <v>347</v>
      </c>
      <c r="C75" s="0" t="s">
        <v>257</v>
      </c>
      <c r="D75" s="0">
        <v>2</v>
      </c>
      <c r="E75" s="0" t="s">
        <v>62</v>
      </c>
      <c r="F75" s="0" t="s">
        <v>257</v>
      </c>
      <c r="G75" s="0">
        <v>3</v>
      </c>
      <c r="H75" s="0">
        <v>1</v>
      </c>
      <c r="I75" s="0">
        <v>8</v>
      </c>
      <c r="J75" s="0">
        <v>0</v>
      </c>
      <c r="K75" s="0">
        <v>0</v>
      </c>
      <c r="L75" s="0">
        <v>0</v>
      </c>
      <c r="M75" s="0">
        <v>0</v>
      </c>
      <c r="N75" s="0">
        <v>0</v>
      </c>
      <c r="O75" s="0">
        <v>0</v>
      </c>
      <c r="P75" s="0">
        <v>0</v>
      </c>
      <c r="Q75" s="0">
        <v>0</v>
      </c>
      <c r="R75" s="0">
        <v>0</v>
      </c>
      <c r="S75" s="0">
        <v>0</v>
      </c>
      <c r="T75" s="0" t="s">
        <v>34</v>
      </c>
      <c r="U75" s="0" t="s">
        <v>34</v>
      </c>
      <c r="V75" s="0" t="s">
        <v>882</v>
      </c>
      <c r="W75" s="11">
        <f>IF($V75="No","",ROUND((I75*w_Damage + N75*w_Poison + P75*w_Weaken*w_Horizon)*MIN(1+(G75-1)*w_OccEnemy,w_MaxEnemies) + (J75*w_Heal + K75*w_Shield + L75*w_Block + M75*w_Parry + O75*w_Strength*w_Horizon + S75*w_Combo)*MIN(1+(H75-1)*w_OccAlly,w_MaxAllies) + Q75*w_Draw + R75*w_Move,2))</f>
      </c>
      <c r="X75" s="11">
        <f>IF(W75="","",ROUND(W75/MAX(D75,1),2))</f>
      </c>
      <c r="Y75" s="11">
        <f>IF($V75="No","",ROUND((curve_Base+curve_Slope*D75)*IFERROR(VLOOKUP(E75,rarity_Mult,2,FALSE),1),2))</f>
      </c>
      <c r="Z75" s="11">
        <f>IF(OR(W75="",Y75=""),"",ROUND(W75-Y75,2))</f>
      </c>
      <c r="AA75" s="0">
        <f>IF(Z75="","",IF($V75="Partial","RIDER",IF(ABS(Z75)&lt;=Y75*tol_Pct,"OK",IF(Z75&gt;0,"OVER","UNDER"))))</f>
      </c>
      <c r="AB75" s="0" t="s">
        <v>34</v>
      </c>
      <c r="AC75" s="0">
        <f>IF(AND($V75&lt;&gt;"No",$E75="Common",NOT(ISNUMBER(SEARCH("Ideas",$F75)))),$W75,NA())</f>
      </c>
      <c r="AD75" s="0">
        <f>IF(AND($V75&lt;&gt;"No",$E75="Uncommon",NOT(ISNUMBER(SEARCH("Ideas",$F75)))),$W75,NA())</f>
      </c>
      <c r="AE75" s="0">
        <f>IF(AND($V75&lt;&gt;"No",$E75="Rare",NOT(ISNUMBER(SEARCH("Ideas",$F75)))),$W75,NA())</f>
      </c>
      <c r="AF75" s="0">
        <f>IF(AND($V75&lt;&gt;"No",$E75="Legendary",NOT(ISNUMBER(SEARCH("Ideas",$F75)))),$W75,NA())</f>
      </c>
      <c r="AG75" s="0">
        <f>IF(AND($V75&lt;&gt;"No",ISNUMBER(SEARCH("Knight",$C75)),NOT(ISNUMBER(SEARCH("Ideas",$F75)))),$X75,NA())</f>
      </c>
      <c r="AH75" s="0">
        <f>IF(AND($V75&lt;&gt;"No",ISNUMBER(SEARCH("Mage",$C75)),NOT(ISNUMBER(SEARCH("Ideas",$F75)))),$X75,NA())</f>
      </c>
      <c r="AI75" s="0">
        <f>IF(AND($V75&lt;&gt;"No",ISNUMBER(SEARCH("Rogue",$C75)),NOT(ISNUMBER(SEARCH("Ideas",$F75)))),$X75,NA())</f>
      </c>
      <c r="AJ75" s="0">
        <f>IF($V75&lt;&gt;"No",$Y75,NA())</f>
      </c>
      <c r="AK75" s="0">
        <f>IF(AND($V75&lt;&gt;"No",ISNUMBER(SEARCH("Ideas",$F75))),$W75,NA())</f>
      </c>
      <c r="AL75" s="0">
        <f>IF(AND($V75&lt;&gt;"No",ISNUMBER(SEARCH("Cleric",$C75)),NOT(ISNUMBER(SEARCH("Ideas",$F75)))),$X75,NA())</f>
      </c>
    </row>
    <row r="76">
      <c r="A76" s="0" t="s">
        <v>355</v>
      </c>
      <c r="B76" s="0" t="s">
        <v>352</v>
      </c>
      <c r="C76" s="0" t="s">
        <v>257</v>
      </c>
      <c r="D76" s="0">
        <v>2</v>
      </c>
      <c r="E76" s="0" t="s">
        <v>62</v>
      </c>
      <c r="F76" s="0" t="s">
        <v>257</v>
      </c>
      <c r="G76" s="0">
        <v>3</v>
      </c>
      <c r="H76" s="0">
        <v>3</v>
      </c>
      <c r="I76" s="0">
        <v>0</v>
      </c>
      <c r="J76" s="0">
        <v>0</v>
      </c>
      <c r="K76" s="0">
        <v>0</v>
      </c>
      <c r="L76" s="0">
        <v>0</v>
      </c>
      <c r="M76" s="0">
        <v>0</v>
      </c>
      <c r="N76" s="0">
        <v>0</v>
      </c>
      <c r="O76" s="0">
        <v>0</v>
      </c>
      <c r="P76" s="0">
        <v>0</v>
      </c>
      <c r="Q76" s="0">
        <v>0</v>
      </c>
      <c r="R76" s="0">
        <v>0</v>
      </c>
      <c r="S76" s="0">
        <v>0</v>
      </c>
      <c r="T76" s="0" t="s">
        <v>34</v>
      </c>
      <c r="U76" s="0" t="s">
        <v>355</v>
      </c>
      <c r="V76" s="0" t="s">
        <v>1407</v>
      </c>
      <c r="W76" s="11">
        <f>IF($V76="No","",ROUND((I76*w_Damage + N76*w_Poison + P76*w_Weaken*w_Horizon)*MIN(1+(G76-1)*w_OccEnemy,w_MaxEnemies) + (J76*w_Heal + K76*w_Shield + L76*w_Block + M76*w_Parry + O76*w_Strength*w_Horizon + S76*w_Combo)*MIN(1+(H76-1)*w_OccAlly,w_MaxAllies) + Q76*w_Draw + R76*w_Move,2))</f>
      </c>
      <c r="X76" s="11">
        <f>IF(W76="","",ROUND(W76/MAX(D76,1),2))</f>
      </c>
      <c r="Y76" s="11">
        <f>IF($V76="No","",ROUND((curve_Base+curve_Slope*D76)*IFERROR(VLOOKUP(E76,rarity_Mult,2,FALSE),1),2))</f>
      </c>
      <c r="Z76" s="11">
        <f>IF(OR(W76="",Y76=""),"",ROUND(W76-Y76,2))</f>
      </c>
      <c r="AA76" s="0">
        <f>IF(Z76="","",IF($V76="Partial","RIDER",IF(ABS(Z76)&lt;=Y76*tol_Pct,"OK",IF(Z76&gt;0,"OVER","UNDER"))))</f>
      </c>
      <c r="AB76" s="0" t="s">
        <v>34</v>
      </c>
      <c r="AC76" s="0">
        <f>IF(AND($V76&lt;&gt;"No",$E76="Common",NOT(ISNUMBER(SEARCH("Ideas",$F76)))),$W76,NA())</f>
      </c>
      <c r="AD76" s="0">
        <f>IF(AND($V76&lt;&gt;"No",$E76="Uncommon",NOT(ISNUMBER(SEARCH("Ideas",$F76)))),$W76,NA())</f>
      </c>
      <c r="AE76" s="0">
        <f>IF(AND($V76&lt;&gt;"No",$E76="Rare",NOT(ISNUMBER(SEARCH("Ideas",$F76)))),$W76,NA())</f>
      </c>
      <c r="AF76" s="0">
        <f>IF(AND($V76&lt;&gt;"No",$E76="Legendary",NOT(ISNUMBER(SEARCH("Ideas",$F76)))),$W76,NA())</f>
      </c>
      <c r="AG76" s="0">
        <f>IF(AND($V76&lt;&gt;"No",ISNUMBER(SEARCH("Knight",$C76)),NOT(ISNUMBER(SEARCH("Ideas",$F76)))),$X76,NA())</f>
      </c>
      <c r="AH76" s="0">
        <f>IF(AND($V76&lt;&gt;"No",ISNUMBER(SEARCH("Mage",$C76)),NOT(ISNUMBER(SEARCH("Ideas",$F76)))),$X76,NA())</f>
      </c>
      <c r="AI76" s="0">
        <f>IF(AND($V76&lt;&gt;"No",ISNUMBER(SEARCH("Rogue",$C76)),NOT(ISNUMBER(SEARCH("Ideas",$F76)))),$X76,NA())</f>
      </c>
      <c r="AJ76" s="0">
        <f>IF($V76&lt;&gt;"No",$Y76,NA())</f>
      </c>
      <c r="AK76" s="0">
        <f>IF(AND($V76&lt;&gt;"No",ISNUMBER(SEARCH("Ideas",$F76))),$W76,NA())</f>
      </c>
      <c r="AL76" s="0">
        <f>IF(AND($V76&lt;&gt;"No",ISNUMBER(SEARCH("Cleric",$C76)),NOT(ISNUMBER(SEARCH("Ideas",$F76)))),$X76,NA())</f>
      </c>
    </row>
    <row r="77">
      <c r="A77" s="0" t="s">
        <v>357</v>
      </c>
      <c r="B77" s="0" t="s">
        <v>357</v>
      </c>
      <c r="C77" s="0" t="s">
        <v>257</v>
      </c>
      <c r="D77" s="0">
        <v>0</v>
      </c>
      <c r="E77" s="0" t="s">
        <v>32</v>
      </c>
      <c r="F77" s="0" t="s">
        <v>257</v>
      </c>
      <c r="G77" s="0">
        <v>1</v>
      </c>
      <c r="H77" s="0">
        <v>1</v>
      </c>
      <c r="I77" s="0">
        <v>0</v>
      </c>
      <c r="J77" s="0">
        <v>0</v>
      </c>
      <c r="K77" s="0">
        <v>0</v>
      </c>
      <c r="L77" s="0">
        <v>0</v>
      </c>
      <c r="M77" s="0">
        <v>0</v>
      </c>
      <c r="N77" s="0">
        <v>0</v>
      </c>
      <c r="O77" s="0">
        <v>0</v>
      </c>
      <c r="P77" s="0">
        <v>0</v>
      </c>
      <c r="Q77" s="0">
        <v>1</v>
      </c>
      <c r="R77" s="0">
        <v>0</v>
      </c>
      <c r="S77" s="0">
        <v>0</v>
      </c>
      <c r="T77" s="0" t="s">
        <v>34</v>
      </c>
      <c r="U77" s="0" t="s">
        <v>34</v>
      </c>
      <c r="V77" s="0" t="s">
        <v>1905</v>
      </c>
      <c r="W77" s="11">
        <f>IF($V77="No","",ROUND((I77*w_Damage + N77*w_Poison + P77*w_Weaken*w_Horizon)*MIN(1+(G77-1)*w_OccEnemy,w_MaxEnemies) + (J77*w_Heal + K77*w_Shield + L77*w_Block + M77*w_Parry + O77*w_Strength*w_Horizon + S77*w_Combo)*MIN(1+(H77-1)*w_OccAlly,w_MaxAllies) + Q77*w_Draw + R77*w_Move,2))</f>
      </c>
      <c r="X77" s="11">
        <f>IF(W77="","",ROUND(W77/MAX(D77,1),2))</f>
      </c>
      <c r="Y77" s="11">
        <f>IF($V77="No","",ROUND((curve_Base+curve_Slope*D77)*IFERROR(VLOOKUP(E77,rarity_Mult,2,FALSE),1),2))</f>
      </c>
      <c r="Z77" s="11">
        <f>IF(OR(W77="",Y77=""),"",ROUND(W77-Y77,2))</f>
      </c>
      <c r="AA77" s="0">
        <f>IF(Z77="","",IF($V77="Partial","RIDER",IF(ABS(Z77)&lt;=Y77*tol_Pct,"OK",IF(Z77&gt;0,"OVER","UNDER"))))</f>
      </c>
      <c r="AB77" s="0" t="s">
        <v>34</v>
      </c>
      <c r="AC77" s="0">
        <f>IF(AND($V77&lt;&gt;"No",$E77="Common",NOT(ISNUMBER(SEARCH("Ideas",$F77)))),$W77,NA())</f>
      </c>
      <c r="AD77" s="0">
        <f>IF(AND($V77&lt;&gt;"No",$E77="Uncommon",NOT(ISNUMBER(SEARCH("Ideas",$F77)))),$W77,NA())</f>
      </c>
      <c r="AE77" s="0">
        <f>IF(AND($V77&lt;&gt;"No",$E77="Rare",NOT(ISNUMBER(SEARCH("Ideas",$F77)))),$W77,NA())</f>
      </c>
      <c r="AF77" s="0">
        <f>IF(AND($V77&lt;&gt;"No",$E77="Legendary",NOT(ISNUMBER(SEARCH("Ideas",$F77)))),$W77,NA())</f>
      </c>
      <c r="AG77" s="0">
        <f>IF(AND($V77&lt;&gt;"No",ISNUMBER(SEARCH("Knight",$C77)),NOT(ISNUMBER(SEARCH("Ideas",$F77)))),$X77,NA())</f>
      </c>
      <c r="AH77" s="0">
        <f>IF(AND($V77&lt;&gt;"No",ISNUMBER(SEARCH("Mage",$C77)),NOT(ISNUMBER(SEARCH("Ideas",$F77)))),$X77,NA())</f>
      </c>
      <c r="AI77" s="0">
        <f>IF(AND($V77&lt;&gt;"No",ISNUMBER(SEARCH("Rogue",$C77)),NOT(ISNUMBER(SEARCH("Ideas",$F77)))),$X77,NA())</f>
      </c>
      <c r="AJ77" s="0">
        <f>IF($V77&lt;&gt;"No",$Y77,NA())</f>
      </c>
      <c r="AK77" s="0">
        <f>IF(AND($V77&lt;&gt;"No",ISNUMBER(SEARCH("Ideas",$F77))),$W77,NA())</f>
      </c>
      <c r="AL77" s="0">
        <f>IF(AND($V77&lt;&gt;"No",ISNUMBER(SEARCH("Cleric",$C77)),NOT(ISNUMBER(SEARCH("Ideas",$F77)))),$X77,NA())</f>
      </c>
    </row>
    <row r="78">
      <c r="A78" s="0" t="s">
        <v>361</v>
      </c>
      <c r="B78" s="0" t="s">
        <v>361</v>
      </c>
      <c r="C78" s="0" t="s">
        <v>363</v>
      </c>
      <c r="D78" s="0">
        <v>1</v>
      </c>
      <c r="E78" s="0" t="s">
        <v>32</v>
      </c>
      <c r="F78" s="0" t="s">
        <v>363</v>
      </c>
      <c r="G78" s="0">
        <v>1</v>
      </c>
      <c r="H78" s="0">
        <v>1</v>
      </c>
      <c r="I78" s="0">
        <v>0</v>
      </c>
      <c r="J78" s="0">
        <v>0</v>
      </c>
      <c r="K78" s="0">
        <v>0</v>
      </c>
      <c r="L78" s="0">
        <v>0</v>
      </c>
      <c r="M78" s="0">
        <v>0</v>
      </c>
      <c r="N78" s="0">
        <v>0</v>
      </c>
      <c r="O78" s="0">
        <v>0</v>
      </c>
      <c r="P78" s="0">
        <v>0</v>
      </c>
      <c r="Q78" s="0">
        <v>0</v>
      </c>
      <c r="R78" s="0">
        <v>0</v>
      </c>
      <c r="S78" s="0">
        <v>0</v>
      </c>
      <c r="T78" s="0" t="s">
        <v>34</v>
      </c>
      <c r="U78" s="0" t="s">
        <v>361</v>
      </c>
      <c r="V78" s="0" t="s">
        <v>1407</v>
      </c>
      <c r="W78" s="11">
        <f>IF($V78="No","",ROUND((I78*w_Damage + N78*w_Poison + P78*w_Weaken*w_Horizon)*MIN(1+(G78-1)*w_OccEnemy,w_MaxEnemies) + (J78*w_Heal + K78*w_Shield + L78*w_Block + M78*w_Parry + O78*w_Strength*w_Horizon + S78*w_Combo)*MIN(1+(H78-1)*w_OccAlly,w_MaxAllies) + Q78*w_Draw + R78*w_Move,2))</f>
      </c>
      <c r="X78" s="11">
        <f>IF(W78="","",ROUND(W78/MAX(D78,1),2))</f>
      </c>
      <c r="Y78" s="11">
        <f>IF($V78="No","",ROUND((curve_Base+curve_Slope*D78)*IFERROR(VLOOKUP(E78,rarity_Mult,2,FALSE),1),2))</f>
      </c>
      <c r="Z78" s="11">
        <f>IF(OR(W78="",Y78=""),"",ROUND(W78-Y78,2))</f>
      </c>
      <c r="AA78" s="0">
        <f>IF(Z78="","",IF($V78="Partial","RIDER",IF(ABS(Z78)&lt;=Y78*tol_Pct,"OK",IF(Z78&gt;0,"OVER","UNDER"))))</f>
      </c>
      <c r="AB78" s="0" t="s">
        <v>34</v>
      </c>
      <c r="AC78" s="0">
        <f>IF(AND($V78&lt;&gt;"No",$E78="Common",NOT(ISNUMBER(SEARCH("Ideas",$F78)))),$W78,NA())</f>
      </c>
      <c r="AD78" s="0">
        <f>IF(AND($V78&lt;&gt;"No",$E78="Uncommon",NOT(ISNUMBER(SEARCH("Ideas",$F78)))),$W78,NA())</f>
      </c>
      <c r="AE78" s="0">
        <f>IF(AND($V78&lt;&gt;"No",$E78="Rare",NOT(ISNUMBER(SEARCH("Ideas",$F78)))),$W78,NA())</f>
      </c>
      <c r="AF78" s="0">
        <f>IF(AND($V78&lt;&gt;"No",$E78="Legendary",NOT(ISNUMBER(SEARCH("Ideas",$F78)))),$W78,NA())</f>
      </c>
      <c r="AG78" s="0">
        <f>IF(AND($V78&lt;&gt;"No",ISNUMBER(SEARCH("Knight",$C78)),NOT(ISNUMBER(SEARCH("Ideas",$F78)))),$X78,NA())</f>
      </c>
      <c r="AH78" s="0">
        <f>IF(AND($V78&lt;&gt;"No",ISNUMBER(SEARCH("Mage",$C78)),NOT(ISNUMBER(SEARCH("Ideas",$F78)))),$X78,NA())</f>
      </c>
      <c r="AI78" s="0">
        <f>IF(AND($V78&lt;&gt;"No",ISNUMBER(SEARCH("Rogue",$C78)),NOT(ISNUMBER(SEARCH("Ideas",$F78)))),$X78,NA())</f>
      </c>
      <c r="AJ78" s="0">
        <f>IF($V78&lt;&gt;"No",$Y78,NA())</f>
      </c>
      <c r="AK78" s="0">
        <f>IF(AND($V78&lt;&gt;"No",ISNUMBER(SEARCH("Ideas",$F78))),$W78,NA())</f>
      </c>
      <c r="AL78" s="0">
        <f>IF(AND($V78&lt;&gt;"No",ISNUMBER(SEARCH("Cleric",$C78)),NOT(ISNUMBER(SEARCH("Ideas",$F78)))),$X78,NA())</f>
      </c>
    </row>
    <row r="79">
      <c r="A79" s="0" t="s">
        <v>366</v>
      </c>
      <c r="B79" s="0" t="s">
        <v>366</v>
      </c>
      <c r="C79" s="0" t="s">
        <v>363</v>
      </c>
      <c r="D79" s="0">
        <v>1</v>
      </c>
      <c r="E79" s="0" t="s">
        <v>32</v>
      </c>
      <c r="F79" s="0" t="s">
        <v>363</v>
      </c>
      <c r="G79" s="0">
        <v>1</v>
      </c>
      <c r="H79" s="0">
        <v>1</v>
      </c>
      <c r="I79" s="0">
        <v>0</v>
      </c>
      <c r="J79" s="0">
        <v>0</v>
      </c>
      <c r="K79" s="0">
        <v>0</v>
      </c>
      <c r="L79" s="0">
        <v>10</v>
      </c>
      <c r="M79" s="0">
        <v>0</v>
      </c>
      <c r="N79" s="0">
        <v>0</v>
      </c>
      <c r="O79" s="0">
        <v>0</v>
      </c>
      <c r="P79" s="0">
        <v>0</v>
      </c>
      <c r="Q79" s="0">
        <v>0</v>
      </c>
      <c r="R79" s="0">
        <v>0</v>
      </c>
      <c r="S79" s="0">
        <v>0</v>
      </c>
      <c r="T79" s="0" t="s">
        <v>34</v>
      </c>
      <c r="U79" s="0" t="s">
        <v>34</v>
      </c>
      <c r="V79" s="0" t="s">
        <v>882</v>
      </c>
      <c r="W79" s="11">
        <f>IF($V79="No","",ROUND((I79*w_Damage + N79*w_Poison + P79*w_Weaken*w_Horizon)*MIN(1+(G79-1)*w_OccEnemy,w_MaxEnemies) + (J79*w_Heal + K79*w_Shield + L79*w_Block + M79*w_Parry + O79*w_Strength*w_Horizon + S79*w_Combo)*MIN(1+(H79-1)*w_OccAlly,w_MaxAllies) + Q79*w_Draw + R79*w_Move,2))</f>
      </c>
      <c r="X79" s="11">
        <f>IF(W79="","",ROUND(W79/MAX(D79,1),2))</f>
      </c>
      <c r="Y79" s="11">
        <f>IF($V79="No","",ROUND((curve_Base+curve_Slope*D79)*IFERROR(VLOOKUP(E79,rarity_Mult,2,FALSE),1),2))</f>
      </c>
      <c r="Z79" s="11">
        <f>IF(OR(W79="",Y79=""),"",ROUND(W79-Y79,2))</f>
      </c>
      <c r="AA79" s="0">
        <f>IF(Z79="","",IF($V79="Partial","RIDER",IF(ABS(Z79)&lt;=Y79*tol_Pct,"OK",IF(Z79&gt;0,"OVER","UNDER"))))</f>
      </c>
      <c r="AB79" s="0" t="s">
        <v>34</v>
      </c>
      <c r="AC79" s="0">
        <f>IF(AND($V79&lt;&gt;"No",$E79="Common",NOT(ISNUMBER(SEARCH("Ideas",$F79)))),$W79,NA())</f>
      </c>
      <c r="AD79" s="0">
        <f>IF(AND($V79&lt;&gt;"No",$E79="Uncommon",NOT(ISNUMBER(SEARCH("Ideas",$F79)))),$W79,NA())</f>
      </c>
      <c r="AE79" s="0">
        <f>IF(AND($V79&lt;&gt;"No",$E79="Rare",NOT(ISNUMBER(SEARCH("Ideas",$F79)))),$W79,NA())</f>
      </c>
      <c r="AF79" s="0">
        <f>IF(AND($V79&lt;&gt;"No",$E79="Legendary",NOT(ISNUMBER(SEARCH("Ideas",$F79)))),$W79,NA())</f>
      </c>
      <c r="AG79" s="0">
        <f>IF(AND($V79&lt;&gt;"No",ISNUMBER(SEARCH("Knight",$C79)),NOT(ISNUMBER(SEARCH("Ideas",$F79)))),$X79,NA())</f>
      </c>
      <c r="AH79" s="0">
        <f>IF(AND($V79&lt;&gt;"No",ISNUMBER(SEARCH("Mage",$C79)),NOT(ISNUMBER(SEARCH("Ideas",$F79)))),$X79,NA())</f>
      </c>
      <c r="AI79" s="0">
        <f>IF(AND($V79&lt;&gt;"No",ISNUMBER(SEARCH("Rogue",$C79)),NOT(ISNUMBER(SEARCH("Ideas",$F79)))),$X79,NA())</f>
      </c>
      <c r="AJ79" s="0">
        <f>IF($V79&lt;&gt;"No",$Y79,NA())</f>
      </c>
      <c r="AK79" s="0">
        <f>IF(AND($V79&lt;&gt;"No",ISNUMBER(SEARCH("Ideas",$F79))),$W79,NA())</f>
      </c>
      <c r="AL79" s="0">
        <f>IF(AND($V79&lt;&gt;"No",ISNUMBER(SEARCH("Cleric",$C79)),NOT(ISNUMBER(SEARCH("Ideas",$F79)))),$X79,NA())</f>
      </c>
    </row>
    <row r="80">
      <c r="A80" s="0" t="s">
        <v>370</v>
      </c>
      <c r="B80" s="0" t="s">
        <v>370</v>
      </c>
      <c r="C80" s="0" t="s">
        <v>363</v>
      </c>
      <c r="D80" s="0">
        <v>1</v>
      </c>
      <c r="E80" s="0" t="s">
        <v>62</v>
      </c>
      <c r="F80" s="0" t="s">
        <v>363</v>
      </c>
      <c r="G80" s="0">
        <v>1</v>
      </c>
      <c r="H80" s="0">
        <v>1</v>
      </c>
      <c r="I80" s="0">
        <v>0</v>
      </c>
      <c r="J80" s="0">
        <v>0</v>
      </c>
      <c r="K80" s="0">
        <v>0</v>
      </c>
      <c r="L80" s="0">
        <v>0</v>
      </c>
      <c r="M80" s="0">
        <v>0</v>
      </c>
      <c r="N80" s="0">
        <v>0</v>
      </c>
      <c r="O80" s="0">
        <v>0</v>
      </c>
      <c r="P80" s="0">
        <v>0</v>
      </c>
      <c r="Q80" s="0">
        <v>0</v>
      </c>
      <c r="R80" s="0">
        <v>0</v>
      </c>
      <c r="S80" s="0">
        <v>0</v>
      </c>
      <c r="T80" s="0" t="s">
        <v>34</v>
      </c>
      <c r="U80" s="0" t="s">
        <v>370</v>
      </c>
      <c r="V80" s="0" t="s">
        <v>1407</v>
      </c>
      <c r="W80" s="11">
        <f>IF($V80="No","",ROUND((I80*w_Damage + N80*w_Poison + P80*w_Weaken*w_Horizon)*MIN(1+(G80-1)*w_OccEnemy,w_MaxEnemies) + (J80*w_Heal + K80*w_Shield + L80*w_Block + M80*w_Parry + O80*w_Strength*w_Horizon + S80*w_Combo)*MIN(1+(H80-1)*w_OccAlly,w_MaxAllies) + Q80*w_Draw + R80*w_Move,2))</f>
      </c>
      <c r="X80" s="11">
        <f>IF(W80="","",ROUND(W80/MAX(D80,1),2))</f>
      </c>
      <c r="Y80" s="11">
        <f>IF($V80="No","",ROUND((curve_Base+curve_Slope*D80)*IFERROR(VLOOKUP(E80,rarity_Mult,2,FALSE),1),2))</f>
      </c>
      <c r="Z80" s="11">
        <f>IF(OR(W80="",Y80=""),"",ROUND(W80-Y80,2))</f>
      </c>
      <c r="AA80" s="0">
        <f>IF(Z80="","",IF($V80="Partial","RIDER",IF(ABS(Z80)&lt;=Y80*tol_Pct,"OK",IF(Z80&gt;0,"OVER","UNDER"))))</f>
      </c>
      <c r="AB80" s="0" t="s">
        <v>34</v>
      </c>
      <c r="AC80" s="0">
        <f>IF(AND($V80&lt;&gt;"No",$E80="Common",NOT(ISNUMBER(SEARCH("Ideas",$F80)))),$W80,NA())</f>
      </c>
      <c r="AD80" s="0">
        <f>IF(AND($V80&lt;&gt;"No",$E80="Uncommon",NOT(ISNUMBER(SEARCH("Ideas",$F80)))),$W80,NA())</f>
      </c>
      <c r="AE80" s="0">
        <f>IF(AND($V80&lt;&gt;"No",$E80="Rare",NOT(ISNUMBER(SEARCH("Ideas",$F80)))),$W80,NA())</f>
      </c>
      <c r="AF80" s="0">
        <f>IF(AND($V80&lt;&gt;"No",$E80="Legendary",NOT(ISNUMBER(SEARCH("Ideas",$F80)))),$W80,NA())</f>
      </c>
      <c r="AG80" s="0">
        <f>IF(AND($V80&lt;&gt;"No",ISNUMBER(SEARCH("Knight",$C80)),NOT(ISNUMBER(SEARCH("Ideas",$F80)))),$X80,NA())</f>
      </c>
      <c r="AH80" s="0">
        <f>IF(AND($V80&lt;&gt;"No",ISNUMBER(SEARCH("Mage",$C80)),NOT(ISNUMBER(SEARCH("Ideas",$F80)))),$X80,NA())</f>
      </c>
      <c r="AI80" s="0">
        <f>IF(AND($V80&lt;&gt;"No",ISNUMBER(SEARCH("Rogue",$C80)),NOT(ISNUMBER(SEARCH("Ideas",$F80)))),$X80,NA())</f>
      </c>
      <c r="AJ80" s="0">
        <f>IF($V80&lt;&gt;"No",$Y80,NA())</f>
      </c>
      <c r="AK80" s="0">
        <f>IF(AND($V80&lt;&gt;"No",ISNUMBER(SEARCH("Ideas",$F80))),$W80,NA())</f>
      </c>
      <c r="AL80" s="0">
        <f>IF(AND($V80&lt;&gt;"No",ISNUMBER(SEARCH("Cleric",$C80)),NOT(ISNUMBER(SEARCH("Ideas",$F80)))),$X80,NA())</f>
      </c>
    </row>
    <row r="81">
      <c r="A81" s="0" t="s">
        <v>374</v>
      </c>
      <c r="B81" s="0" t="s">
        <v>374</v>
      </c>
      <c r="C81" s="0" t="s">
        <v>363</v>
      </c>
      <c r="D81" s="0">
        <v>1</v>
      </c>
      <c r="E81" s="0" t="s">
        <v>81</v>
      </c>
      <c r="F81" s="0" t="s">
        <v>363</v>
      </c>
      <c r="G81" s="0">
        <v>1</v>
      </c>
      <c r="H81" s="0">
        <v>1</v>
      </c>
      <c r="I81" s="0">
        <v>0</v>
      </c>
      <c r="J81" s="0">
        <v>0</v>
      </c>
      <c r="K81" s="0">
        <v>0</v>
      </c>
      <c r="L81" s="0">
        <v>0</v>
      </c>
      <c r="M81" s="0">
        <v>0</v>
      </c>
      <c r="N81" s="0">
        <v>0</v>
      </c>
      <c r="O81" s="0">
        <v>0</v>
      </c>
      <c r="P81" s="0">
        <v>0</v>
      </c>
      <c r="Q81" s="0">
        <v>0</v>
      </c>
      <c r="R81" s="0">
        <v>0</v>
      </c>
      <c r="S81" s="0">
        <v>0</v>
      </c>
      <c r="T81" s="0" t="s">
        <v>34</v>
      </c>
      <c r="U81" s="0" t="s">
        <v>1838</v>
      </c>
      <c r="V81" s="0" t="s">
        <v>1407</v>
      </c>
      <c r="W81" s="11">
        <f>IF($V81="No","",ROUND((I81*w_Damage + N81*w_Poison + P81*w_Weaken*w_Horizon)*MIN(1+(G81-1)*w_OccEnemy,w_MaxEnemies) + (J81*w_Heal + K81*w_Shield + L81*w_Block + M81*w_Parry + O81*w_Strength*w_Horizon + S81*w_Combo)*MIN(1+(H81-1)*w_OccAlly,w_MaxAllies) + Q81*w_Draw + R81*w_Move,2))</f>
      </c>
      <c r="X81" s="11">
        <f>IF(W81="","",ROUND(W81/MAX(D81,1),2))</f>
      </c>
      <c r="Y81" s="11">
        <f>IF($V81="No","",ROUND((curve_Base+curve_Slope*D81)*IFERROR(VLOOKUP(E81,rarity_Mult,2,FALSE),1),2))</f>
      </c>
      <c r="Z81" s="11">
        <f>IF(OR(W81="",Y81=""),"",ROUND(W81-Y81,2))</f>
      </c>
      <c r="AA81" s="0">
        <f>IF(Z81="","",IF($V81="Partial","RIDER",IF(ABS(Z81)&lt;=Y81*tol_Pct,"OK",IF(Z81&gt;0,"OVER","UNDER"))))</f>
      </c>
      <c r="AB81" s="0" t="s">
        <v>34</v>
      </c>
      <c r="AC81" s="0">
        <f>IF(AND($V81&lt;&gt;"No",$E81="Common",NOT(ISNUMBER(SEARCH("Ideas",$F81)))),$W81,NA())</f>
      </c>
      <c r="AD81" s="0">
        <f>IF(AND($V81&lt;&gt;"No",$E81="Uncommon",NOT(ISNUMBER(SEARCH("Ideas",$F81)))),$W81,NA())</f>
      </c>
      <c r="AE81" s="0">
        <f>IF(AND($V81&lt;&gt;"No",$E81="Rare",NOT(ISNUMBER(SEARCH("Ideas",$F81)))),$W81,NA())</f>
      </c>
      <c r="AF81" s="0">
        <f>IF(AND($V81&lt;&gt;"No",$E81="Legendary",NOT(ISNUMBER(SEARCH("Ideas",$F81)))),$W81,NA())</f>
      </c>
      <c r="AG81" s="0">
        <f>IF(AND($V81&lt;&gt;"No",ISNUMBER(SEARCH("Knight",$C81)),NOT(ISNUMBER(SEARCH("Ideas",$F81)))),$X81,NA())</f>
      </c>
      <c r="AH81" s="0">
        <f>IF(AND($V81&lt;&gt;"No",ISNUMBER(SEARCH("Mage",$C81)),NOT(ISNUMBER(SEARCH("Ideas",$F81)))),$X81,NA())</f>
      </c>
      <c r="AI81" s="0">
        <f>IF(AND($V81&lt;&gt;"No",ISNUMBER(SEARCH("Rogue",$C81)),NOT(ISNUMBER(SEARCH("Ideas",$F81)))),$X81,NA())</f>
      </c>
      <c r="AJ81" s="0">
        <f>IF($V81&lt;&gt;"No",$Y81,NA())</f>
      </c>
      <c r="AK81" s="0">
        <f>IF(AND($V81&lt;&gt;"No",ISNUMBER(SEARCH("Ideas",$F81))),$W81,NA())</f>
      </c>
      <c r="AL81" s="0">
        <f>IF(AND($V81&lt;&gt;"No",ISNUMBER(SEARCH("Cleric",$C81)),NOT(ISNUMBER(SEARCH("Ideas",$F81)))),$X81,NA())</f>
      </c>
    </row>
    <row r="82">
      <c r="A82" s="0" t="s">
        <v>378</v>
      </c>
      <c r="B82" s="0" t="s">
        <v>378</v>
      </c>
      <c r="C82" s="0" t="s">
        <v>363</v>
      </c>
      <c r="D82" s="0">
        <v>1</v>
      </c>
      <c r="E82" s="0" t="s">
        <v>32</v>
      </c>
      <c r="F82" s="0" t="s">
        <v>363</v>
      </c>
      <c r="G82" s="0">
        <v>1</v>
      </c>
      <c r="H82" s="0">
        <v>1</v>
      </c>
      <c r="I82" s="0">
        <v>0</v>
      </c>
      <c r="J82" s="0">
        <v>0</v>
      </c>
      <c r="K82" s="0">
        <v>0</v>
      </c>
      <c r="L82" s="0">
        <v>0</v>
      </c>
      <c r="M82" s="0">
        <v>0</v>
      </c>
      <c r="N82" s="0">
        <v>0</v>
      </c>
      <c r="O82" s="0">
        <v>0</v>
      </c>
      <c r="P82" s="0">
        <v>0</v>
      </c>
      <c r="Q82" s="0">
        <v>0</v>
      </c>
      <c r="R82" s="0">
        <v>0</v>
      </c>
      <c r="S82" s="0">
        <v>0</v>
      </c>
      <c r="T82" s="0" t="s">
        <v>34</v>
      </c>
      <c r="U82" s="0" t="s">
        <v>1816</v>
      </c>
      <c r="V82" s="0" t="s">
        <v>1407</v>
      </c>
      <c r="W82" s="11">
        <f>IF($V82="No","",ROUND((I82*w_Damage + N82*w_Poison + P82*w_Weaken*w_Horizon)*MIN(1+(G82-1)*w_OccEnemy,w_MaxEnemies) + (J82*w_Heal + K82*w_Shield + L82*w_Block + M82*w_Parry + O82*w_Strength*w_Horizon + S82*w_Combo)*MIN(1+(H82-1)*w_OccAlly,w_MaxAllies) + Q82*w_Draw + R82*w_Move,2))</f>
      </c>
      <c r="X82" s="11">
        <f>IF(W82="","",ROUND(W82/MAX(D82,1),2))</f>
      </c>
      <c r="Y82" s="11">
        <f>IF($V82="No","",ROUND((curve_Base+curve_Slope*D82)*IFERROR(VLOOKUP(E82,rarity_Mult,2,FALSE),1),2))</f>
      </c>
      <c r="Z82" s="11">
        <f>IF(OR(W82="",Y82=""),"",ROUND(W82-Y82,2))</f>
      </c>
      <c r="AA82" s="0">
        <f>IF(Z82="","",IF($V82="Partial","RIDER",IF(ABS(Z82)&lt;=Y82*tol_Pct,"OK",IF(Z82&gt;0,"OVER","UNDER"))))</f>
      </c>
      <c r="AB82" s="0" t="s">
        <v>34</v>
      </c>
      <c r="AC82" s="0">
        <f>IF(AND($V82&lt;&gt;"No",$E82="Common",NOT(ISNUMBER(SEARCH("Ideas",$F82)))),$W82,NA())</f>
      </c>
      <c r="AD82" s="0">
        <f>IF(AND($V82&lt;&gt;"No",$E82="Uncommon",NOT(ISNUMBER(SEARCH("Ideas",$F82)))),$W82,NA())</f>
      </c>
      <c r="AE82" s="0">
        <f>IF(AND($V82&lt;&gt;"No",$E82="Rare",NOT(ISNUMBER(SEARCH("Ideas",$F82)))),$W82,NA())</f>
      </c>
      <c r="AF82" s="0">
        <f>IF(AND($V82&lt;&gt;"No",$E82="Legendary",NOT(ISNUMBER(SEARCH("Ideas",$F82)))),$W82,NA())</f>
      </c>
      <c r="AG82" s="0">
        <f>IF(AND($V82&lt;&gt;"No",ISNUMBER(SEARCH("Knight",$C82)),NOT(ISNUMBER(SEARCH("Ideas",$F82)))),$X82,NA())</f>
      </c>
      <c r="AH82" s="0">
        <f>IF(AND($V82&lt;&gt;"No",ISNUMBER(SEARCH("Mage",$C82)),NOT(ISNUMBER(SEARCH("Ideas",$F82)))),$X82,NA())</f>
      </c>
      <c r="AI82" s="0">
        <f>IF(AND($V82&lt;&gt;"No",ISNUMBER(SEARCH("Rogue",$C82)),NOT(ISNUMBER(SEARCH("Ideas",$F82)))),$X82,NA())</f>
      </c>
      <c r="AJ82" s="0">
        <f>IF($V82&lt;&gt;"No",$Y82,NA())</f>
      </c>
      <c r="AK82" s="0">
        <f>IF(AND($V82&lt;&gt;"No",ISNUMBER(SEARCH("Ideas",$F82))),$W82,NA())</f>
      </c>
      <c r="AL82" s="0">
        <f>IF(AND($V82&lt;&gt;"No",ISNUMBER(SEARCH("Cleric",$C82)),NOT(ISNUMBER(SEARCH("Ideas",$F82)))),$X82,NA())</f>
      </c>
    </row>
    <row r="83">
      <c r="A83" s="0" t="s">
        <v>383</v>
      </c>
      <c r="B83" s="0" t="s">
        <v>383</v>
      </c>
      <c r="C83" s="0" t="s">
        <v>363</v>
      </c>
      <c r="D83" s="0">
        <v>1</v>
      </c>
      <c r="E83" s="0" t="s">
        <v>32</v>
      </c>
      <c r="F83" s="0" t="s">
        <v>363</v>
      </c>
      <c r="G83" s="0">
        <v>1</v>
      </c>
      <c r="H83" s="0">
        <v>1</v>
      </c>
      <c r="I83" s="0">
        <v>0</v>
      </c>
      <c r="J83" s="0">
        <v>0</v>
      </c>
      <c r="K83" s="0">
        <v>0</v>
      </c>
      <c r="L83" s="0">
        <v>0</v>
      </c>
      <c r="M83" s="0">
        <v>0</v>
      </c>
      <c r="N83" s="0">
        <v>0</v>
      </c>
      <c r="O83" s="0">
        <v>0</v>
      </c>
      <c r="P83" s="0">
        <v>2</v>
      </c>
      <c r="Q83" s="0">
        <v>0</v>
      </c>
      <c r="R83" s="0">
        <v>0</v>
      </c>
      <c r="S83" s="0">
        <v>0</v>
      </c>
      <c r="T83" s="0" t="s">
        <v>34</v>
      </c>
      <c r="U83" s="0" t="s">
        <v>34</v>
      </c>
      <c r="V83" s="0" t="s">
        <v>882</v>
      </c>
      <c r="W83" s="11">
        <f>IF($V83="No","",ROUND((I83*w_Damage + N83*w_Poison + P83*w_Weaken*w_Horizon)*MIN(1+(G83-1)*w_OccEnemy,w_MaxEnemies) + (J83*w_Heal + K83*w_Shield + L83*w_Block + M83*w_Parry + O83*w_Strength*w_Horizon + S83*w_Combo)*MIN(1+(H83-1)*w_OccAlly,w_MaxAllies) + Q83*w_Draw + R83*w_Move,2))</f>
      </c>
      <c r="X83" s="11">
        <f>IF(W83="","",ROUND(W83/MAX(D83,1),2))</f>
      </c>
      <c r="Y83" s="11">
        <f>IF($V83="No","",ROUND((curve_Base+curve_Slope*D83)*IFERROR(VLOOKUP(E83,rarity_Mult,2,FALSE),1),2))</f>
      </c>
      <c r="Z83" s="11">
        <f>IF(OR(W83="",Y83=""),"",ROUND(W83-Y83,2))</f>
      </c>
      <c r="AA83" s="0">
        <f>IF(Z83="","",IF($V83="Partial","RIDER",IF(ABS(Z83)&lt;=Y83*tol_Pct,"OK",IF(Z83&gt;0,"OVER","UNDER"))))</f>
      </c>
      <c r="AB83" s="0" t="s">
        <v>34</v>
      </c>
      <c r="AC83" s="0">
        <f>IF(AND($V83&lt;&gt;"No",$E83="Common",NOT(ISNUMBER(SEARCH("Ideas",$F83)))),$W83,NA())</f>
      </c>
      <c r="AD83" s="0">
        <f>IF(AND($V83&lt;&gt;"No",$E83="Uncommon",NOT(ISNUMBER(SEARCH("Ideas",$F83)))),$W83,NA())</f>
      </c>
      <c r="AE83" s="0">
        <f>IF(AND($V83&lt;&gt;"No",$E83="Rare",NOT(ISNUMBER(SEARCH("Ideas",$F83)))),$W83,NA())</f>
      </c>
      <c r="AF83" s="0">
        <f>IF(AND($V83&lt;&gt;"No",$E83="Legendary",NOT(ISNUMBER(SEARCH("Ideas",$F83)))),$W83,NA())</f>
      </c>
      <c r="AG83" s="0">
        <f>IF(AND($V83&lt;&gt;"No",ISNUMBER(SEARCH("Knight",$C83)),NOT(ISNUMBER(SEARCH("Ideas",$F83)))),$X83,NA())</f>
      </c>
      <c r="AH83" s="0">
        <f>IF(AND($V83&lt;&gt;"No",ISNUMBER(SEARCH("Mage",$C83)),NOT(ISNUMBER(SEARCH("Ideas",$F83)))),$X83,NA())</f>
      </c>
      <c r="AI83" s="0">
        <f>IF(AND($V83&lt;&gt;"No",ISNUMBER(SEARCH("Rogue",$C83)),NOT(ISNUMBER(SEARCH("Ideas",$F83)))),$X83,NA())</f>
      </c>
      <c r="AJ83" s="0">
        <f>IF($V83&lt;&gt;"No",$Y83,NA())</f>
      </c>
      <c r="AK83" s="0">
        <f>IF(AND($V83&lt;&gt;"No",ISNUMBER(SEARCH("Ideas",$F83))),$W83,NA())</f>
      </c>
      <c r="AL83" s="0">
        <f>IF(AND($V83&lt;&gt;"No",ISNUMBER(SEARCH("Cleric",$C83)),NOT(ISNUMBER(SEARCH("Ideas",$F83)))),$X83,NA())</f>
      </c>
    </row>
    <row r="84">
      <c r="A84" s="0" t="s">
        <v>387</v>
      </c>
      <c r="B84" s="0" t="s">
        <v>387</v>
      </c>
      <c r="C84" s="0" t="s">
        <v>363</v>
      </c>
      <c r="D84" s="0">
        <v>0</v>
      </c>
      <c r="E84" s="0" t="s">
        <v>32</v>
      </c>
      <c r="F84" s="0" t="s">
        <v>363</v>
      </c>
      <c r="G84" s="0">
        <v>1</v>
      </c>
      <c r="H84" s="0">
        <v>1</v>
      </c>
      <c r="I84" s="0">
        <v>3</v>
      </c>
      <c r="J84" s="0">
        <v>0</v>
      </c>
      <c r="K84" s="0">
        <v>0</v>
      </c>
      <c r="L84" s="0">
        <v>0</v>
      </c>
      <c r="M84" s="0">
        <v>0</v>
      </c>
      <c r="N84" s="0">
        <v>0</v>
      </c>
      <c r="O84" s="0">
        <v>0</v>
      </c>
      <c r="P84" s="0">
        <v>0</v>
      </c>
      <c r="Q84" s="0">
        <v>0</v>
      </c>
      <c r="R84" s="0">
        <v>0</v>
      </c>
      <c r="S84" s="0">
        <v>0</v>
      </c>
      <c r="T84" s="0" t="s">
        <v>34</v>
      </c>
      <c r="U84" s="0" t="s">
        <v>34</v>
      </c>
      <c r="V84" s="0" t="s">
        <v>882</v>
      </c>
      <c r="W84" s="11">
        <f>IF($V84="No","",ROUND((I84*w_Damage + N84*w_Poison + P84*w_Weaken*w_Horizon)*MIN(1+(G84-1)*w_OccEnemy,w_MaxEnemies) + (J84*w_Heal + K84*w_Shield + L84*w_Block + M84*w_Parry + O84*w_Strength*w_Horizon + S84*w_Combo)*MIN(1+(H84-1)*w_OccAlly,w_MaxAllies) + Q84*w_Draw + R84*w_Move,2))</f>
      </c>
      <c r="X84" s="11">
        <f>IF(W84="","",ROUND(W84/MAX(D84,1),2))</f>
      </c>
      <c r="Y84" s="11">
        <f>IF($V84="No","",ROUND((curve_Base+curve_Slope*D84)*IFERROR(VLOOKUP(E84,rarity_Mult,2,FALSE),1),2))</f>
      </c>
      <c r="Z84" s="11">
        <f>IF(OR(W84="",Y84=""),"",ROUND(W84-Y84,2))</f>
      </c>
      <c r="AA84" s="0">
        <f>IF(Z84="","",IF($V84="Partial","RIDER",IF(ABS(Z84)&lt;=Y84*tol_Pct,"OK",IF(Z84&gt;0,"OVER","UNDER"))))</f>
      </c>
      <c r="AB84" s="0" t="s">
        <v>34</v>
      </c>
      <c r="AC84" s="0">
        <f>IF(AND($V84&lt;&gt;"No",$E84="Common",NOT(ISNUMBER(SEARCH("Ideas",$F84)))),$W84,NA())</f>
      </c>
      <c r="AD84" s="0">
        <f>IF(AND($V84&lt;&gt;"No",$E84="Uncommon",NOT(ISNUMBER(SEARCH("Ideas",$F84)))),$W84,NA())</f>
      </c>
      <c r="AE84" s="0">
        <f>IF(AND($V84&lt;&gt;"No",$E84="Rare",NOT(ISNUMBER(SEARCH("Ideas",$F84)))),$W84,NA())</f>
      </c>
      <c r="AF84" s="0">
        <f>IF(AND($V84&lt;&gt;"No",$E84="Legendary",NOT(ISNUMBER(SEARCH("Ideas",$F84)))),$W84,NA())</f>
      </c>
      <c r="AG84" s="0">
        <f>IF(AND($V84&lt;&gt;"No",ISNUMBER(SEARCH("Knight",$C84)),NOT(ISNUMBER(SEARCH("Ideas",$F84)))),$X84,NA())</f>
      </c>
      <c r="AH84" s="0">
        <f>IF(AND($V84&lt;&gt;"No",ISNUMBER(SEARCH("Mage",$C84)),NOT(ISNUMBER(SEARCH("Ideas",$F84)))),$X84,NA())</f>
      </c>
      <c r="AI84" s="0">
        <f>IF(AND($V84&lt;&gt;"No",ISNUMBER(SEARCH("Rogue",$C84)),NOT(ISNUMBER(SEARCH("Ideas",$F84)))),$X84,NA())</f>
      </c>
      <c r="AJ84" s="0">
        <f>IF($V84&lt;&gt;"No",$Y84,NA())</f>
      </c>
      <c r="AK84" s="0">
        <f>IF(AND($V84&lt;&gt;"No",ISNUMBER(SEARCH("Ideas",$F84))),$W84,NA())</f>
      </c>
      <c r="AL84" s="0">
        <f>IF(AND($V84&lt;&gt;"No",ISNUMBER(SEARCH("Cleric",$C84)),NOT(ISNUMBER(SEARCH("Ideas",$F84)))),$X84,NA())</f>
      </c>
    </row>
    <row r="85">
      <c r="A85" s="0" t="s">
        <v>390</v>
      </c>
      <c r="B85" s="0" t="s">
        <v>390</v>
      </c>
      <c r="C85" s="0" t="s">
        <v>393</v>
      </c>
      <c r="D85" s="0">
        <v>1</v>
      </c>
      <c r="E85" s="0" t="s">
        <v>32</v>
      </c>
      <c r="F85" s="0" t="s">
        <v>363</v>
      </c>
      <c r="G85" s="0">
        <v>1</v>
      </c>
      <c r="H85" s="0">
        <v>1</v>
      </c>
      <c r="I85" s="0">
        <v>4</v>
      </c>
      <c r="J85" s="0">
        <v>0</v>
      </c>
      <c r="K85" s="0">
        <v>0</v>
      </c>
      <c r="L85" s="0">
        <v>0</v>
      </c>
      <c r="M85" s="0">
        <v>0</v>
      </c>
      <c r="N85" s="0">
        <v>6</v>
      </c>
      <c r="O85" s="0">
        <v>0</v>
      </c>
      <c r="P85" s="0">
        <v>0</v>
      </c>
      <c r="Q85" s="0">
        <v>0</v>
      </c>
      <c r="R85" s="0">
        <v>0</v>
      </c>
      <c r="S85" s="0">
        <v>0</v>
      </c>
      <c r="T85" s="0" t="s">
        <v>34</v>
      </c>
      <c r="U85" s="0" t="s">
        <v>34</v>
      </c>
      <c r="V85" s="0" t="s">
        <v>882</v>
      </c>
      <c r="W85" s="11">
        <f>IF($V85="No","",ROUND((I85*w_Damage + N85*w_Poison + P85*w_Weaken*w_Horizon)*MIN(1+(G85-1)*w_OccEnemy,w_MaxEnemies) + (J85*w_Heal + K85*w_Shield + L85*w_Block + M85*w_Parry + O85*w_Strength*w_Horizon + S85*w_Combo)*MIN(1+(H85-1)*w_OccAlly,w_MaxAllies) + Q85*w_Draw + R85*w_Move,2))</f>
      </c>
      <c r="X85" s="11">
        <f>IF(W85="","",ROUND(W85/MAX(D85,1),2))</f>
      </c>
      <c r="Y85" s="11">
        <f>IF($V85="No","",ROUND((curve_Base+curve_Slope*D85)*IFERROR(VLOOKUP(E85,rarity_Mult,2,FALSE),1),2))</f>
      </c>
      <c r="Z85" s="11">
        <f>IF(OR(W85="",Y85=""),"",ROUND(W85-Y85,2))</f>
      </c>
      <c r="AA85" s="0">
        <f>IF(Z85="","",IF($V85="Partial","RIDER",IF(ABS(Z85)&lt;=Y85*tol_Pct,"OK",IF(Z85&gt;0,"OVER","UNDER"))))</f>
      </c>
      <c r="AB85" s="0" t="s">
        <v>1939</v>
      </c>
      <c r="AC85" s="0">
        <f>IF(AND($V85&lt;&gt;"No",$E85="Common",NOT(ISNUMBER(SEARCH("Ideas",$F85)))),$W85,NA())</f>
      </c>
      <c r="AD85" s="0">
        <f>IF(AND($V85&lt;&gt;"No",$E85="Uncommon",NOT(ISNUMBER(SEARCH("Ideas",$F85)))),$W85,NA())</f>
      </c>
      <c r="AE85" s="0">
        <f>IF(AND($V85&lt;&gt;"No",$E85="Rare",NOT(ISNUMBER(SEARCH("Ideas",$F85)))),$W85,NA())</f>
      </c>
      <c r="AF85" s="0">
        <f>IF(AND($V85&lt;&gt;"No",$E85="Legendary",NOT(ISNUMBER(SEARCH("Ideas",$F85)))),$W85,NA())</f>
      </c>
      <c r="AG85" s="0">
        <f>IF(AND($V85&lt;&gt;"No",ISNUMBER(SEARCH("Knight",$C85)),NOT(ISNUMBER(SEARCH("Ideas",$F85)))),$X85,NA())</f>
      </c>
      <c r="AH85" s="0">
        <f>IF(AND($V85&lt;&gt;"No",ISNUMBER(SEARCH("Mage",$C85)),NOT(ISNUMBER(SEARCH("Ideas",$F85)))),$X85,NA())</f>
      </c>
      <c r="AI85" s="0">
        <f>IF(AND($V85&lt;&gt;"No",ISNUMBER(SEARCH("Rogue",$C85)),NOT(ISNUMBER(SEARCH("Ideas",$F85)))),$X85,NA())</f>
      </c>
      <c r="AJ85" s="0">
        <f>IF($V85&lt;&gt;"No",$Y85,NA())</f>
      </c>
      <c r="AK85" s="0">
        <f>IF(AND($V85&lt;&gt;"No",ISNUMBER(SEARCH("Ideas",$F85))),$W85,NA())</f>
      </c>
      <c r="AL85" s="0">
        <f>IF(AND($V85&lt;&gt;"No",ISNUMBER(SEARCH("Cleric",$C85)),NOT(ISNUMBER(SEARCH("Ideas",$F85)))),$X85,NA())</f>
      </c>
    </row>
    <row r="86">
      <c r="A86" s="0" t="s">
        <v>395</v>
      </c>
      <c r="B86" s="0" t="s">
        <v>395</v>
      </c>
      <c r="C86" s="0" t="s">
        <v>363</v>
      </c>
      <c r="D86" s="0">
        <v>1</v>
      </c>
      <c r="E86" s="0" t="s">
        <v>62</v>
      </c>
      <c r="F86" s="0" t="s">
        <v>363</v>
      </c>
      <c r="G86" s="0">
        <v>1</v>
      </c>
      <c r="H86" s="0">
        <v>1</v>
      </c>
      <c r="I86" s="0">
        <v>0</v>
      </c>
      <c r="J86" s="0">
        <v>0</v>
      </c>
      <c r="K86" s="0">
        <v>0</v>
      </c>
      <c r="L86" s="0">
        <v>0</v>
      </c>
      <c r="M86" s="0">
        <v>0</v>
      </c>
      <c r="N86" s="0">
        <v>0</v>
      </c>
      <c r="O86" s="0">
        <v>0</v>
      </c>
      <c r="P86" s="0">
        <v>0</v>
      </c>
      <c r="Q86" s="0">
        <v>0</v>
      </c>
      <c r="R86" s="0">
        <v>0</v>
      </c>
      <c r="S86" s="0">
        <v>0</v>
      </c>
      <c r="T86" s="0" t="s">
        <v>34</v>
      </c>
      <c r="U86" s="0" t="s">
        <v>396</v>
      </c>
      <c r="V86" s="0" t="s">
        <v>1407</v>
      </c>
      <c r="W86" s="11">
        <f>IF($V86="No","",ROUND((I86*w_Damage + N86*w_Poison + P86*w_Weaken*w_Horizon)*MIN(1+(G86-1)*w_OccEnemy,w_MaxEnemies) + (J86*w_Heal + K86*w_Shield + L86*w_Block + M86*w_Parry + O86*w_Strength*w_Horizon + S86*w_Combo)*MIN(1+(H86-1)*w_OccAlly,w_MaxAllies) + Q86*w_Draw + R86*w_Move,2))</f>
      </c>
      <c r="X86" s="11">
        <f>IF(W86="","",ROUND(W86/MAX(D86,1),2))</f>
      </c>
      <c r="Y86" s="11">
        <f>IF($V86="No","",ROUND((curve_Base+curve_Slope*D86)*IFERROR(VLOOKUP(E86,rarity_Mult,2,FALSE),1),2))</f>
      </c>
      <c r="Z86" s="11">
        <f>IF(OR(W86="",Y86=""),"",ROUND(W86-Y86,2))</f>
      </c>
      <c r="AA86" s="0">
        <f>IF(Z86="","",IF($V86="Partial","RIDER",IF(ABS(Z86)&lt;=Y86*tol_Pct,"OK",IF(Z86&gt;0,"OVER","UNDER"))))</f>
      </c>
      <c r="AB86" s="0" t="s">
        <v>34</v>
      </c>
      <c r="AC86" s="0">
        <f>IF(AND($V86&lt;&gt;"No",$E86="Common",NOT(ISNUMBER(SEARCH("Ideas",$F86)))),$W86,NA())</f>
      </c>
      <c r="AD86" s="0">
        <f>IF(AND($V86&lt;&gt;"No",$E86="Uncommon",NOT(ISNUMBER(SEARCH("Ideas",$F86)))),$W86,NA())</f>
      </c>
      <c r="AE86" s="0">
        <f>IF(AND($V86&lt;&gt;"No",$E86="Rare",NOT(ISNUMBER(SEARCH("Ideas",$F86)))),$W86,NA())</f>
      </c>
      <c r="AF86" s="0">
        <f>IF(AND($V86&lt;&gt;"No",$E86="Legendary",NOT(ISNUMBER(SEARCH("Ideas",$F86)))),$W86,NA())</f>
      </c>
      <c r="AG86" s="0">
        <f>IF(AND($V86&lt;&gt;"No",ISNUMBER(SEARCH("Knight",$C86)),NOT(ISNUMBER(SEARCH("Ideas",$F86)))),$X86,NA())</f>
      </c>
      <c r="AH86" s="0">
        <f>IF(AND($V86&lt;&gt;"No",ISNUMBER(SEARCH("Mage",$C86)),NOT(ISNUMBER(SEARCH("Ideas",$F86)))),$X86,NA())</f>
      </c>
      <c r="AI86" s="0">
        <f>IF(AND($V86&lt;&gt;"No",ISNUMBER(SEARCH("Rogue",$C86)),NOT(ISNUMBER(SEARCH("Ideas",$F86)))),$X86,NA())</f>
      </c>
      <c r="AJ86" s="0">
        <f>IF($V86&lt;&gt;"No",$Y86,NA())</f>
      </c>
      <c r="AK86" s="0">
        <f>IF(AND($V86&lt;&gt;"No",ISNUMBER(SEARCH("Ideas",$F86))),$W86,NA())</f>
      </c>
      <c r="AL86" s="0">
        <f>IF(AND($V86&lt;&gt;"No",ISNUMBER(SEARCH("Cleric",$C86)),NOT(ISNUMBER(SEARCH("Ideas",$F86)))),$X86,NA())</f>
      </c>
    </row>
    <row r="87">
      <c r="A87" s="0" t="s">
        <v>399</v>
      </c>
      <c r="B87" s="0" t="s">
        <v>399</v>
      </c>
      <c r="C87" s="0" t="s">
        <v>363</v>
      </c>
      <c r="D87" s="0">
        <v>1</v>
      </c>
      <c r="E87" s="0" t="s">
        <v>81</v>
      </c>
      <c r="F87" s="0" t="s">
        <v>363</v>
      </c>
      <c r="G87" s="0">
        <v>1</v>
      </c>
      <c r="H87" s="0">
        <v>1</v>
      </c>
      <c r="I87" s="0">
        <v>0</v>
      </c>
      <c r="J87" s="0">
        <v>0</v>
      </c>
      <c r="K87" s="0">
        <v>0</v>
      </c>
      <c r="L87" s="0">
        <v>0</v>
      </c>
      <c r="M87" s="0">
        <v>0</v>
      </c>
      <c r="N87" s="0">
        <v>10</v>
      </c>
      <c r="O87" s="0">
        <v>0</v>
      </c>
      <c r="P87" s="0">
        <v>0</v>
      </c>
      <c r="Q87" s="0">
        <v>0</v>
      </c>
      <c r="R87" s="0">
        <v>0</v>
      </c>
      <c r="S87" s="0">
        <v>0</v>
      </c>
      <c r="T87" s="0" t="s">
        <v>34</v>
      </c>
      <c r="U87" s="0" t="s">
        <v>34</v>
      </c>
      <c r="V87" s="0" t="s">
        <v>882</v>
      </c>
      <c r="W87" s="11">
        <f>IF($V87="No","",ROUND((I87*w_Damage + N87*w_Poison + P87*w_Weaken*w_Horizon)*MIN(1+(G87-1)*w_OccEnemy,w_MaxEnemies) + (J87*w_Heal + K87*w_Shield + L87*w_Block + M87*w_Parry + O87*w_Strength*w_Horizon + S87*w_Combo)*MIN(1+(H87-1)*w_OccAlly,w_MaxAllies) + Q87*w_Draw + R87*w_Move,2))</f>
      </c>
      <c r="X87" s="11">
        <f>IF(W87="","",ROUND(W87/MAX(D87,1),2))</f>
      </c>
      <c r="Y87" s="11">
        <f>IF($V87="No","",ROUND((curve_Base+curve_Slope*D87)*IFERROR(VLOOKUP(E87,rarity_Mult,2,FALSE),1),2))</f>
      </c>
      <c r="Z87" s="11">
        <f>IF(OR(W87="",Y87=""),"",ROUND(W87-Y87,2))</f>
      </c>
      <c r="AA87" s="0">
        <f>IF(Z87="","",IF($V87="Partial","RIDER",IF(ABS(Z87)&lt;=Y87*tol_Pct,"OK",IF(Z87&gt;0,"OVER","UNDER"))))</f>
      </c>
      <c r="AB87" s="0" t="s">
        <v>34</v>
      </c>
      <c r="AC87" s="0">
        <f>IF(AND($V87&lt;&gt;"No",$E87="Common",NOT(ISNUMBER(SEARCH("Ideas",$F87)))),$W87,NA())</f>
      </c>
      <c r="AD87" s="0">
        <f>IF(AND($V87&lt;&gt;"No",$E87="Uncommon",NOT(ISNUMBER(SEARCH("Ideas",$F87)))),$W87,NA())</f>
      </c>
      <c r="AE87" s="0">
        <f>IF(AND($V87&lt;&gt;"No",$E87="Rare",NOT(ISNUMBER(SEARCH("Ideas",$F87)))),$W87,NA())</f>
      </c>
      <c r="AF87" s="0">
        <f>IF(AND($V87&lt;&gt;"No",$E87="Legendary",NOT(ISNUMBER(SEARCH("Ideas",$F87)))),$W87,NA())</f>
      </c>
      <c r="AG87" s="0">
        <f>IF(AND($V87&lt;&gt;"No",ISNUMBER(SEARCH("Knight",$C87)),NOT(ISNUMBER(SEARCH("Ideas",$F87)))),$X87,NA())</f>
      </c>
      <c r="AH87" s="0">
        <f>IF(AND($V87&lt;&gt;"No",ISNUMBER(SEARCH("Mage",$C87)),NOT(ISNUMBER(SEARCH("Ideas",$F87)))),$X87,NA())</f>
      </c>
      <c r="AI87" s="0">
        <f>IF(AND($V87&lt;&gt;"No",ISNUMBER(SEARCH("Rogue",$C87)),NOT(ISNUMBER(SEARCH("Ideas",$F87)))),$X87,NA())</f>
      </c>
      <c r="AJ87" s="0">
        <f>IF($V87&lt;&gt;"No",$Y87,NA())</f>
      </c>
      <c r="AK87" s="0">
        <f>IF(AND($V87&lt;&gt;"No",ISNUMBER(SEARCH("Ideas",$F87))),$W87,NA())</f>
      </c>
      <c r="AL87" s="0">
        <f>IF(AND($V87&lt;&gt;"No",ISNUMBER(SEARCH("Cleric",$C87)),NOT(ISNUMBER(SEARCH("Ideas",$F87)))),$X87,NA())</f>
      </c>
    </row>
    <row r="88">
      <c r="A88" s="0" t="s">
        <v>403</v>
      </c>
      <c r="B88" s="0" t="s">
        <v>403</v>
      </c>
      <c r="C88" s="0" t="s">
        <v>363</v>
      </c>
      <c r="D88" s="0">
        <v>1</v>
      </c>
      <c r="E88" s="0" t="s">
        <v>32</v>
      </c>
      <c r="F88" s="0" t="s">
        <v>363</v>
      </c>
      <c r="G88" s="0">
        <v>1</v>
      </c>
      <c r="H88" s="0">
        <v>1</v>
      </c>
      <c r="I88" s="0">
        <v>0</v>
      </c>
      <c r="J88" s="0">
        <v>0</v>
      </c>
      <c r="K88" s="0">
        <v>0</v>
      </c>
      <c r="L88" s="0">
        <v>0</v>
      </c>
      <c r="M88" s="0">
        <v>0</v>
      </c>
      <c r="N88" s="0">
        <v>0</v>
      </c>
      <c r="O88" s="0">
        <v>0</v>
      </c>
      <c r="P88" s="0">
        <v>0</v>
      </c>
      <c r="Q88" s="0">
        <v>0</v>
      </c>
      <c r="R88" s="0">
        <v>0</v>
      </c>
      <c r="S88" s="0">
        <v>0</v>
      </c>
      <c r="T88" s="0" t="s">
        <v>1940</v>
      </c>
      <c r="U88" s="0" t="s">
        <v>1914</v>
      </c>
      <c r="V88" s="0" t="s">
        <v>1407</v>
      </c>
      <c r="W88" s="11">
        <f>IF($V88="No","",ROUND((I88*w_Damage + N88*w_Poison + P88*w_Weaken*w_Horizon)*MIN(1+(G88-1)*w_OccEnemy,w_MaxEnemies) + (J88*w_Heal + K88*w_Shield + L88*w_Block + M88*w_Parry + O88*w_Strength*w_Horizon + S88*w_Combo)*MIN(1+(H88-1)*w_OccAlly,w_MaxAllies) + Q88*w_Draw + R88*w_Move,2))</f>
      </c>
      <c r="X88" s="11">
        <f>IF(W88="","",ROUND(W88/MAX(D88,1),2))</f>
      </c>
      <c r="Y88" s="11">
        <f>IF($V88="No","",ROUND((curve_Base+curve_Slope*D88)*IFERROR(VLOOKUP(E88,rarity_Mult,2,FALSE),1),2))</f>
      </c>
      <c r="Z88" s="11">
        <f>IF(OR(W88="",Y88=""),"",ROUND(W88-Y88,2))</f>
      </c>
      <c r="AA88" s="0">
        <f>IF(Z88="","",IF($V88="Partial","RIDER",IF(ABS(Z88)&lt;=Y88*tol_Pct,"OK",IF(Z88&gt;0,"OVER","UNDER"))))</f>
      </c>
      <c r="AB88" s="0" t="s">
        <v>34</v>
      </c>
      <c r="AC88" s="0">
        <f>IF(AND($V88&lt;&gt;"No",$E88="Common",NOT(ISNUMBER(SEARCH("Ideas",$F88)))),$W88,NA())</f>
      </c>
      <c r="AD88" s="0">
        <f>IF(AND($V88&lt;&gt;"No",$E88="Uncommon",NOT(ISNUMBER(SEARCH("Ideas",$F88)))),$W88,NA())</f>
      </c>
      <c r="AE88" s="0">
        <f>IF(AND($V88&lt;&gt;"No",$E88="Rare",NOT(ISNUMBER(SEARCH("Ideas",$F88)))),$W88,NA())</f>
      </c>
      <c r="AF88" s="0">
        <f>IF(AND($V88&lt;&gt;"No",$E88="Legendary",NOT(ISNUMBER(SEARCH("Ideas",$F88)))),$W88,NA())</f>
      </c>
      <c r="AG88" s="0">
        <f>IF(AND($V88&lt;&gt;"No",ISNUMBER(SEARCH("Knight",$C88)),NOT(ISNUMBER(SEARCH("Ideas",$F88)))),$X88,NA())</f>
      </c>
      <c r="AH88" s="0">
        <f>IF(AND($V88&lt;&gt;"No",ISNUMBER(SEARCH("Mage",$C88)),NOT(ISNUMBER(SEARCH("Ideas",$F88)))),$X88,NA())</f>
      </c>
      <c r="AI88" s="0">
        <f>IF(AND($V88&lt;&gt;"No",ISNUMBER(SEARCH("Rogue",$C88)),NOT(ISNUMBER(SEARCH("Ideas",$F88)))),$X88,NA())</f>
      </c>
      <c r="AJ88" s="0">
        <f>IF($V88&lt;&gt;"No",$Y88,NA())</f>
      </c>
      <c r="AK88" s="0">
        <f>IF(AND($V88&lt;&gt;"No",ISNUMBER(SEARCH("Ideas",$F88))),$W88,NA())</f>
      </c>
      <c r="AL88" s="0">
        <f>IF(AND($V88&lt;&gt;"No",ISNUMBER(SEARCH("Cleric",$C88)),NOT(ISNUMBER(SEARCH("Ideas",$F88)))),$X88,NA())</f>
      </c>
    </row>
    <row r="89">
      <c r="A89" s="0" t="s">
        <v>407</v>
      </c>
      <c r="B89" s="0" t="s">
        <v>407</v>
      </c>
      <c r="C89" s="0" t="s">
        <v>363</v>
      </c>
      <c r="D89" s="0">
        <v>2</v>
      </c>
      <c r="E89" s="0" t="s">
        <v>32</v>
      </c>
      <c r="F89" s="0" t="s">
        <v>363</v>
      </c>
      <c r="G89" s="0">
        <v>1</v>
      </c>
      <c r="H89" s="0">
        <v>1</v>
      </c>
      <c r="I89" s="0">
        <v>0</v>
      </c>
      <c r="J89" s="0">
        <v>0</v>
      </c>
      <c r="K89" s="0">
        <v>0</v>
      </c>
      <c r="L89" s="0">
        <v>0</v>
      </c>
      <c r="M89" s="0">
        <v>0</v>
      </c>
      <c r="N89" s="0">
        <v>0</v>
      </c>
      <c r="O89" s="0">
        <v>0</v>
      </c>
      <c r="P89" s="0">
        <v>0</v>
      </c>
      <c r="Q89" s="0">
        <v>0</v>
      </c>
      <c r="R89" s="0">
        <v>0</v>
      </c>
      <c r="S89" s="0">
        <v>0</v>
      </c>
      <c r="T89" s="0" t="s">
        <v>1941</v>
      </c>
      <c r="U89" s="0" t="s">
        <v>1926</v>
      </c>
      <c r="V89" s="0" t="s">
        <v>1407</v>
      </c>
      <c r="W89" s="11">
        <f>IF($V89="No","",ROUND((I89*w_Damage + N89*w_Poison + P89*w_Weaken*w_Horizon)*MIN(1+(G89-1)*w_OccEnemy,w_MaxEnemies) + (J89*w_Heal + K89*w_Shield + L89*w_Block + M89*w_Parry + O89*w_Strength*w_Horizon + S89*w_Combo)*MIN(1+(H89-1)*w_OccAlly,w_MaxAllies) + Q89*w_Draw + R89*w_Move,2))</f>
      </c>
      <c r="X89" s="11">
        <f>IF(W89="","",ROUND(W89/MAX(D89,1),2))</f>
      </c>
      <c r="Y89" s="11">
        <f>IF($V89="No","",ROUND((curve_Base+curve_Slope*D89)*IFERROR(VLOOKUP(E89,rarity_Mult,2,FALSE),1),2))</f>
      </c>
      <c r="Z89" s="11">
        <f>IF(OR(W89="",Y89=""),"",ROUND(W89-Y89,2))</f>
      </c>
      <c r="AA89" s="0">
        <f>IF(Z89="","",IF($V89="Partial","RIDER",IF(ABS(Z89)&lt;=Y89*tol_Pct,"OK",IF(Z89&gt;0,"OVER","UNDER"))))</f>
      </c>
      <c r="AB89" s="0" t="s">
        <v>34</v>
      </c>
      <c r="AC89" s="0">
        <f>IF(AND($V89&lt;&gt;"No",$E89="Common",NOT(ISNUMBER(SEARCH("Ideas",$F89)))),$W89,NA())</f>
      </c>
      <c r="AD89" s="0">
        <f>IF(AND($V89&lt;&gt;"No",$E89="Uncommon",NOT(ISNUMBER(SEARCH("Ideas",$F89)))),$W89,NA())</f>
      </c>
      <c r="AE89" s="0">
        <f>IF(AND($V89&lt;&gt;"No",$E89="Rare",NOT(ISNUMBER(SEARCH("Ideas",$F89)))),$W89,NA())</f>
      </c>
      <c r="AF89" s="0">
        <f>IF(AND($V89&lt;&gt;"No",$E89="Legendary",NOT(ISNUMBER(SEARCH("Ideas",$F89)))),$W89,NA())</f>
      </c>
      <c r="AG89" s="0">
        <f>IF(AND($V89&lt;&gt;"No",ISNUMBER(SEARCH("Knight",$C89)),NOT(ISNUMBER(SEARCH("Ideas",$F89)))),$X89,NA())</f>
      </c>
      <c r="AH89" s="0">
        <f>IF(AND($V89&lt;&gt;"No",ISNUMBER(SEARCH("Mage",$C89)),NOT(ISNUMBER(SEARCH("Ideas",$F89)))),$X89,NA())</f>
      </c>
      <c r="AI89" s="0">
        <f>IF(AND($V89&lt;&gt;"No",ISNUMBER(SEARCH("Rogue",$C89)),NOT(ISNUMBER(SEARCH("Ideas",$F89)))),$X89,NA())</f>
      </c>
      <c r="AJ89" s="0">
        <f>IF($V89&lt;&gt;"No",$Y89,NA())</f>
      </c>
      <c r="AK89" s="0">
        <f>IF(AND($V89&lt;&gt;"No",ISNUMBER(SEARCH("Ideas",$F89))),$W89,NA())</f>
      </c>
      <c r="AL89" s="0">
        <f>IF(AND($V89&lt;&gt;"No",ISNUMBER(SEARCH("Cleric",$C89)),NOT(ISNUMBER(SEARCH("Ideas",$F89)))),$X89,NA())</f>
      </c>
    </row>
    <row r="90">
      <c r="A90" s="0" t="s">
        <v>411</v>
      </c>
      <c r="B90" s="0" t="s">
        <v>411</v>
      </c>
      <c r="C90" s="0" t="s">
        <v>363</v>
      </c>
      <c r="D90" s="0">
        <v>2</v>
      </c>
      <c r="E90" s="0" t="s">
        <v>32</v>
      </c>
      <c r="F90" s="0" t="s">
        <v>363</v>
      </c>
      <c r="G90" s="0">
        <v>1</v>
      </c>
      <c r="H90" s="0">
        <v>1</v>
      </c>
      <c r="I90" s="0">
        <v>0</v>
      </c>
      <c r="J90" s="0">
        <v>0</v>
      </c>
      <c r="K90" s="0">
        <v>0</v>
      </c>
      <c r="L90" s="0">
        <v>0</v>
      </c>
      <c r="M90" s="0">
        <v>0</v>
      </c>
      <c r="N90" s="0">
        <v>0</v>
      </c>
      <c r="O90" s="0">
        <v>0</v>
      </c>
      <c r="P90" s="0">
        <v>0</v>
      </c>
      <c r="Q90" s="0">
        <v>0</v>
      </c>
      <c r="R90" s="0">
        <v>0</v>
      </c>
      <c r="S90" s="0">
        <v>0</v>
      </c>
      <c r="T90" s="0" t="s">
        <v>1942</v>
      </c>
      <c r="U90" s="0" t="s">
        <v>1926</v>
      </c>
      <c r="V90" s="0" t="s">
        <v>1407</v>
      </c>
      <c r="W90" s="11">
        <f>IF($V90="No","",ROUND((I90*w_Damage + N90*w_Poison + P90*w_Weaken*w_Horizon)*MIN(1+(G90-1)*w_OccEnemy,w_MaxEnemies) + (J90*w_Heal + K90*w_Shield + L90*w_Block + M90*w_Parry + O90*w_Strength*w_Horizon + S90*w_Combo)*MIN(1+(H90-1)*w_OccAlly,w_MaxAllies) + Q90*w_Draw + R90*w_Move,2))</f>
      </c>
      <c r="X90" s="11">
        <f>IF(W90="","",ROUND(W90/MAX(D90,1),2))</f>
      </c>
      <c r="Y90" s="11">
        <f>IF($V90="No","",ROUND((curve_Base+curve_Slope*D90)*IFERROR(VLOOKUP(E90,rarity_Mult,2,FALSE),1),2))</f>
      </c>
      <c r="Z90" s="11">
        <f>IF(OR(W90="",Y90=""),"",ROUND(W90-Y90,2))</f>
      </c>
      <c r="AA90" s="0">
        <f>IF(Z90="","",IF($V90="Partial","RIDER",IF(ABS(Z90)&lt;=Y90*tol_Pct,"OK",IF(Z90&gt;0,"OVER","UNDER"))))</f>
      </c>
      <c r="AB90" s="0" t="s">
        <v>34</v>
      </c>
      <c r="AC90" s="0">
        <f>IF(AND($V90&lt;&gt;"No",$E90="Common",NOT(ISNUMBER(SEARCH("Ideas",$F90)))),$W90,NA())</f>
      </c>
      <c r="AD90" s="0">
        <f>IF(AND($V90&lt;&gt;"No",$E90="Uncommon",NOT(ISNUMBER(SEARCH("Ideas",$F90)))),$W90,NA())</f>
      </c>
      <c r="AE90" s="0">
        <f>IF(AND($V90&lt;&gt;"No",$E90="Rare",NOT(ISNUMBER(SEARCH("Ideas",$F90)))),$W90,NA())</f>
      </c>
      <c r="AF90" s="0">
        <f>IF(AND($V90&lt;&gt;"No",$E90="Legendary",NOT(ISNUMBER(SEARCH("Ideas",$F90)))),$W90,NA())</f>
      </c>
      <c r="AG90" s="0">
        <f>IF(AND($V90&lt;&gt;"No",ISNUMBER(SEARCH("Knight",$C90)),NOT(ISNUMBER(SEARCH("Ideas",$F90)))),$X90,NA())</f>
      </c>
      <c r="AH90" s="0">
        <f>IF(AND($V90&lt;&gt;"No",ISNUMBER(SEARCH("Mage",$C90)),NOT(ISNUMBER(SEARCH("Ideas",$F90)))),$X90,NA())</f>
      </c>
      <c r="AI90" s="0">
        <f>IF(AND($V90&lt;&gt;"No",ISNUMBER(SEARCH("Rogue",$C90)),NOT(ISNUMBER(SEARCH("Ideas",$F90)))),$X90,NA())</f>
      </c>
      <c r="AJ90" s="0">
        <f>IF($V90&lt;&gt;"No",$Y90,NA())</f>
      </c>
      <c r="AK90" s="0">
        <f>IF(AND($V90&lt;&gt;"No",ISNUMBER(SEARCH("Ideas",$F90))),$W90,NA())</f>
      </c>
      <c r="AL90" s="0">
        <f>IF(AND($V90&lt;&gt;"No",ISNUMBER(SEARCH("Cleric",$C90)),NOT(ISNUMBER(SEARCH("Ideas",$F90)))),$X90,NA())</f>
      </c>
    </row>
    <row r="91">
      <c r="A91" s="0" t="s">
        <v>415</v>
      </c>
      <c r="B91" s="0" t="s">
        <v>415</v>
      </c>
      <c r="C91" s="0" t="s">
        <v>363</v>
      </c>
      <c r="D91" s="0">
        <v>2</v>
      </c>
      <c r="E91" s="0" t="s">
        <v>32</v>
      </c>
      <c r="F91" s="0" t="s">
        <v>363</v>
      </c>
      <c r="G91" s="0">
        <v>1</v>
      </c>
      <c r="H91" s="0">
        <v>1</v>
      </c>
      <c r="I91" s="0">
        <v>0</v>
      </c>
      <c r="J91" s="0">
        <v>0</v>
      </c>
      <c r="K91" s="0">
        <v>0</v>
      </c>
      <c r="L91" s="0">
        <v>0</v>
      </c>
      <c r="M91" s="0">
        <v>0</v>
      </c>
      <c r="N91" s="0">
        <v>0</v>
      </c>
      <c r="O91" s="0">
        <v>0</v>
      </c>
      <c r="P91" s="0">
        <v>0</v>
      </c>
      <c r="Q91" s="0">
        <v>0</v>
      </c>
      <c r="R91" s="0">
        <v>0</v>
      </c>
      <c r="S91" s="0">
        <v>0</v>
      </c>
      <c r="T91" s="0" t="s">
        <v>1943</v>
      </c>
      <c r="U91" s="0" t="s">
        <v>1911</v>
      </c>
      <c r="V91" s="0" t="s">
        <v>1407</v>
      </c>
      <c r="W91" s="11">
        <f>IF($V91="No","",ROUND((I91*w_Damage + N91*w_Poison + P91*w_Weaken*w_Horizon)*MIN(1+(G91-1)*w_OccEnemy,w_MaxEnemies) + (J91*w_Heal + K91*w_Shield + L91*w_Block + M91*w_Parry + O91*w_Strength*w_Horizon + S91*w_Combo)*MIN(1+(H91-1)*w_OccAlly,w_MaxAllies) + Q91*w_Draw + R91*w_Move,2))</f>
      </c>
      <c r="X91" s="11">
        <f>IF(W91="","",ROUND(W91/MAX(D91,1),2))</f>
      </c>
      <c r="Y91" s="11">
        <f>IF($V91="No","",ROUND((curve_Base+curve_Slope*D91)*IFERROR(VLOOKUP(E91,rarity_Mult,2,FALSE),1),2))</f>
      </c>
      <c r="Z91" s="11">
        <f>IF(OR(W91="",Y91=""),"",ROUND(W91-Y91,2))</f>
      </c>
      <c r="AA91" s="0">
        <f>IF(Z91="","",IF($V91="Partial","RIDER",IF(ABS(Z91)&lt;=Y91*tol_Pct,"OK",IF(Z91&gt;0,"OVER","UNDER"))))</f>
      </c>
      <c r="AB91" s="0" t="s">
        <v>34</v>
      </c>
      <c r="AC91" s="0">
        <f>IF(AND($V91&lt;&gt;"No",$E91="Common",NOT(ISNUMBER(SEARCH("Ideas",$F91)))),$W91,NA())</f>
      </c>
      <c r="AD91" s="0">
        <f>IF(AND($V91&lt;&gt;"No",$E91="Uncommon",NOT(ISNUMBER(SEARCH("Ideas",$F91)))),$W91,NA())</f>
      </c>
      <c r="AE91" s="0">
        <f>IF(AND($V91&lt;&gt;"No",$E91="Rare",NOT(ISNUMBER(SEARCH("Ideas",$F91)))),$W91,NA())</f>
      </c>
      <c r="AF91" s="0">
        <f>IF(AND($V91&lt;&gt;"No",$E91="Legendary",NOT(ISNUMBER(SEARCH("Ideas",$F91)))),$W91,NA())</f>
      </c>
      <c r="AG91" s="0">
        <f>IF(AND($V91&lt;&gt;"No",ISNUMBER(SEARCH("Knight",$C91)),NOT(ISNUMBER(SEARCH("Ideas",$F91)))),$X91,NA())</f>
      </c>
      <c r="AH91" s="0">
        <f>IF(AND($V91&lt;&gt;"No",ISNUMBER(SEARCH("Mage",$C91)),NOT(ISNUMBER(SEARCH("Ideas",$F91)))),$X91,NA())</f>
      </c>
      <c r="AI91" s="0">
        <f>IF(AND($V91&lt;&gt;"No",ISNUMBER(SEARCH("Rogue",$C91)),NOT(ISNUMBER(SEARCH("Ideas",$F91)))),$X91,NA())</f>
      </c>
      <c r="AJ91" s="0">
        <f>IF($V91&lt;&gt;"No",$Y91,NA())</f>
      </c>
      <c r="AK91" s="0">
        <f>IF(AND($V91&lt;&gt;"No",ISNUMBER(SEARCH("Ideas",$F91))),$W91,NA())</f>
      </c>
      <c r="AL91" s="0">
        <f>IF(AND($V91&lt;&gt;"No",ISNUMBER(SEARCH("Cleric",$C91)),NOT(ISNUMBER(SEARCH("Ideas",$F91)))),$X91,NA())</f>
      </c>
    </row>
    <row r="92">
      <c r="A92" s="0" t="s">
        <v>419</v>
      </c>
      <c r="B92" s="0" t="s">
        <v>419</v>
      </c>
      <c r="C92" s="0" t="s">
        <v>363</v>
      </c>
      <c r="D92" s="0">
        <v>2</v>
      </c>
      <c r="E92" s="0" t="s">
        <v>32</v>
      </c>
      <c r="F92" s="0" t="s">
        <v>363</v>
      </c>
      <c r="G92" s="0">
        <v>1</v>
      </c>
      <c r="H92" s="0">
        <v>1</v>
      </c>
      <c r="I92" s="0">
        <v>0</v>
      </c>
      <c r="J92" s="0">
        <v>0</v>
      </c>
      <c r="K92" s="0">
        <v>0</v>
      </c>
      <c r="L92" s="0">
        <v>0</v>
      </c>
      <c r="M92" s="0">
        <v>0</v>
      </c>
      <c r="N92" s="0">
        <v>0</v>
      </c>
      <c r="O92" s="0">
        <v>0</v>
      </c>
      <c r="P92" s="0">
        <v>0</v>
      </c>
      <c r="Q92" s="0">
        <v>0</v>
      </c>
      <c r="R92" s="0">
        <v>0</v>
      </c>
      <c r="S92" s="0">
        <v>0</v>
      </c>
      <c r="T92" s="0" t="s">
        <v>1944</v>
      </c>
      <c r="U92" s="0" t="s">
        <v>1945</v>
      </c>
      <c r="V92" s="0" t="s">
        <v>1407</v>
      </c>
      <c r="W92" s="11">
        <f>IF($V92="No","",ROUND((I92*w_Damage + N92*w_Poison + P92*w_Weaken*w_Horizon)*MIN(1+(G92-1)*w_OccEnemy,w_MaxEnemies) + (J92*w_Heal + K92*w_Shield + L92*w_Block + M92*w_Parry + O92*w_Strength*w_Horizon + S92*w_Combo)*MIN(1+(H92-1)*w_OccAlly,w_MaxAllies) + Q92*w_Draw + R92*w_Move,2))</f>
      </c>
      <c r="X92" s="11">
        <f>IF(W92="","",ROUND(W92/MAX(D92,1),2))</f>
      </c>
      <c r="Y92" s="11">
        <f>IF($V92="No","",ROUND((curve_Base+curve_Slope*D92)*IFERROR(VLOOKUP(E92,rarity_Mult,2,FALSE),1),2))</f>
      </c>
      <c r="Z92" s="11">
        <f>IF(OR(W92="",Y92=""),"",ROUND(W92-Y92,2))</f>
      </c>
      <c r="AA92" s="0">
        <f>IF(Z92="","",IF($V92="Partial","RIDER",IF(ABS(Z92)&lt;=Y92*tol_Pct,"OK",IF(Z92&gt;0,"OVER","UNDER"))))</f>
      </c>
      <c r="AB92" s="0" t="s">
        <v>34</v>
      </c>
      <c r="AC92" s="0">
        <f>IF(AND($V92&lt;&gt;"No",$E92="Common",NOT(ISNUMBER(SEARCH("Ideas",$F92)))),$W92,NA())</f>
      </c>
      <c r="AD92" s="0">
        <f>IF(AND($V92&lt;&gt;"No",$E92="Uncommon",NOT(ISNUMBER(SEARCH("Ideas",$F92)))),$W92,NA())</f>
      </c>
      <c r="AE92" s="0">
        <f>IF(AND($V92&lt;&gt;"No",$E92="Rare",NOT(ISNUMBER(SEARCH("Ideas",$F92)))),$W92,NA())</f>
      </c>
      <c r="AF92" s="0">
        <f>IF(AND($V92&lt;&gt;"No",$E92="Legendary",NOT(ISNUMBER(SEARCH("Ideas",$F92)))),$W92,NA())</f>
      </c>
      <c r="AG92" s="0">
        <f>IF(AND($V92&lt;&gt;"No",ISNUMBER(SEARCH("Knight",$C92)),NOT(ISNUMBER(SEARCH("Ideas",$F92)))),$X92,NA())</f>
      </c>
      <c r="AH92" s="0">
        <f>IF(AND($V92&lt;&gt;"No",ISNUMBER(SEARCH("Mage",$C92)),NOT(ISNUMBER(SEARCH("Ideas",$F92)))),$X92,NA())</f>
      </c>
      <c r="AI92" s="0">
        <f>IF(AND($V92&lt;&gt;"No",ISNUMBER(SEARCH("Rogue",$C92)),NOT(ISNUMBER(SEARCH("Ideas",$F92)))),$X92,NA())</f>
      </c>
      <c r="AJ92" s="0">
        <f>IF($V92&lt;&gt;"No",$Y92,NA())</f>
      </c>
      <c r="AK92" s="0">
        <f>IF(AND($V92&lt;&gt;"No",ISNUMBER(SEARCH("Ideas",$F92))),$W92,NA())</f>
      </c>
      <c r="AL92" s="0">
        <f>IF(AND($V92&lt;&gt;"No",ISNUMBER(SEARCH("Cleric",$C92)),NOT(ISNUMBER(SEARCH("Ideas",$F92)))),$X92,NA())</f>
      </c>
    </row>
    <row r="93">
      <c r="A93" s="0" t="s">
        <v>423</v>
      </c>
      <c r="B93" s="0" t="s">
        <v>423</v>
      </c>
      <c r="C93" s="0" t="s">
        <v>363</v>
      </c>
      <c r="D93" s="0">
        <v>2</v>
      </c>
      <c r="E93" s="0" t="s">
        <v>62</v>
      </c>
      <c r="F93" s="0" t="s">
        <v>363</v>
      </c>
      <c r="G93" s="0">
        <v>1</v>
      </c>
      <c r="H93" s="0">
        <v>1</v>
      </c>
      <c r="I93" s="0">
        <v>0</v>
      </c>
      <c r="J93" s="0">
        <v>0</v>
      </c>
      <c r="K93" s="0">
        <v>0</v>
      </c>
      <c r="L93" s="0">
        <v>0</v>
      </c>
      <c r="M93" s="0">
        <v>0</v>
      </c>
      <c r="N93" s="0">
        <v>0</v>
      </c>
      <c r="O93" s="0">
        <v>0</v>
      </c>
      <c r="P93" s="0">
        <v>0</v>
      </c>
      <c r="Q93" s="0">
        <v>0</v>
      </c>
      <c r="R93" s="0">
        <v>0</v>
      </c>
      <c r="S93" s="0">
        <v>0</v>
      </c>
      <c r="T93" s="0" t="s">
        <v>1946</v>
      </c>
      <c r="U93" s="0" t="s">
        <v>1911</v>
      </c>
      <c r="V93" s="0" t="s">
        <v>1407</v>
      </c>
      <c r="W93" s="11">
        <f>IF($V93="No","",ROUND((I93*w_Damage + N93*w_Poison + P93*w_Weaken*w_Horizon)*MIN(1+(G93-1)*w_OccEnemy,w_MaxEnemies) + (J93*w_Heal + K93*w_Shield + L93*w_Block + M93*w_Parry + O93*w_Strength*w_Horizon + S93*w_Combo)*MIN(1+(H93-1)*w_OccAlly,w_MaxAllies) + Q93*w_Draw + R93*w_Move,2))</f>
      </c>
      <c r="X93" s="11">
        <f>IF(W93="","",ROUND(W93/MAX(D93,1),2))</f>
      </c>
      <c r="Y93" s="11">
        <f>IF($V93="No","",ROUND((curve_Base+curve_Slope*D93)*IFERROR(VLOOKUP(E93,rarity_Mult,2,FALSE),1),2))</f>
      </c>
      <c r="Z93" s="11">
        <f>IF(OR(W93="",Y93=""),"",ROUND(W93-Y93,2))</f>
      </c>
      <c r="AA93" s="0">
        <f>IF(Z93="","",IF($V93="Partial","RIDER",IF(ABS(Z93)&lt;=Y93*tol_Pct,"OK",IF(Z93&gt;0,"OVER","UNDER"))))</f>
      </c>
      <c r="AB93" s="0" t="s">
        <v>34</v>
      </c>
      <c r="AC93" s="0">
        <f>IF(AND($V93&lt;&gt;"No",$E93="Common",NOT(ISNUMBER(SEARCH("Ideas",$F93)))),$W93,NA())</f>
      </c>
      <c r="AD93" s="0">
        <f>IF(AND($V93&lt;&gt;"No",$E93="Uncommon",NOT(ISNUMBER(SEARCH("Ideas",$F93)))),$W93,NA())</f>
      </c>
      <c r="AE93" s="0">
        <f>IF(AND($V93&lt;&gt;"No",$E93="Rare",NOT(ISNUMBER(SEARCH("Ideas",$F93)))),$W93,NA())</f>
      </c>
      <c r="AF93" s="0">
        <f>IF(AND($V93&lt;&gt;"No",$E93="Legendary",NOT(ISNUMBER(SEARCH("Ideas",$F93)))),$W93,NA())</f>
      </c>
      <c r="AG93" s="0">
        <f>IF(AND($V93&lt;&gt;"No",ISNUMBER(SEARCH("Knight",$C93)),NOT(ISNUMBER(SEARCH("Ideas",$F93)))),$X93,NA())</f>
      </c>
      <c r="AH93" s="0">
        <f>IF(AND($V93&lt;&gt;"No",ISNUMBER(SEARCH("Mage",$C93)),NOT(ISNUMBER(SEARCH("Ideas",$F93)))),$X93,NA())</f>
      </c>
      <c r="AI93" s="0">
        <f>IF(AND($V93&lt;&gt;"No",ISNUMBER(SEARCH("Rogue",$C93)),NOT(ISNUMBER(SEARCH("Ideas",$F93)))),$X93,NA())</f>
      </c>
      <c r="AJ93" s="0">
        <f>IF($V93&lt;&gt;"No",$Y93,NA())</f>
      </c>
      <c r="AK93" s="0">
        <f>IF(AND($V93&lt;&gt;"No",ISNUMBER(SEARCH("Ideas",$F93))),$W93,NA())</f>
      </c>
      <c r="AL93" s="0">
        <f>IF(AND($V93&lt;&gt;"No",ISNUMBER(SEARCH("Cleric",$C93)),NOT(ISNUMBER(SEARCH("Ideas",$F93)))),$X93,NA())</f>
      </c>
    </row>
    <row r="94">
      <c r="A94" s="0" t="s">
        <v>427</v>
      </c>
      <c r="B94" s="0" t="s">
        <v>427</v>
      </c>
      <c r="C94" s="0" t="s">
        <v>363</v>
      </c>
      <c r="D94" s="0">
        <v>2</v>
      </c>
      <c r="E94" s="0" t="s">
        <v>32</v>
      </c>
      <c r="F94" s="0" t="s">
        <v>363</v>
      </c>
      <c r="G94" s="0">
        <v>1</v>
      </c>
      <c r="H94" s="0">
        <v>1</v>
      </c>
      <c r="I94" s="0">
        <v>6</v>
      </c>
      <c r="J94" s="0">
        <v>0</v>
      </c>
      <c r="K94" s="0">
        <v>0</v>
      </c>
      <c r="L94" s="0">
        <v>0</v>
      </c>
      <c r="M94" s="0">
        <v>0</v>
      </c>
      <c r="N94" s="0">
        <v>0</v>
      </c>
      <c r="O94" s="0">
        <v>0</v>
      </c>
      <c r="P94" s="0">
        <v>0</v>
      </c>
      <c r="Q94" s="0">
        <v>0</v>
      </c>
      <c r="R94" s="0">
        <v>0</v>
      </c>
      <c r="S94" s="0">
        <v>0</v>
      </c>
      <c r="T94" s="0" t="s">
        <v>1947</v>
      </c>
      <c r="U94" s="0" t="s">
        <v>34</v>
      </c>
      <c r="V94" s="0" t="s">
        <v>1905</v>
      </c>
      <c r="W94" s="11">
        <f>IF($V94="No","",ROUND((I94*w_Damage + N94*w_Poison + P94*w_Weaken*w_Horizon)*MIN(1+(G94-1)*w_OccEnemy,w_MaxEnemies) + (J94*w_Heal + K94*w_Shield + L94*w_Block + M94*w_Parry + O94*w_Strength*w_Horizon + S94*w_Combo)*MIN(1+(H94-1)*w_OccAlly,w_MaxAllies) + Q94*w_Draw + R94*w_Move,2))</f>
      </c>
      <c r="X94" s="11">
        <f>IF(W94="","",ROUND(W94/MAX(D94,1),2))</f>
      </c>
      <c r="Y94" s="11">
        <f>IF($V94="No","",ROUND((curve_Base+curve_Slope*D94)*IFERROR(VLOOKUP(E94,rarity_Mult,2,FALSE),1),2))</f>
      </c>
      <c r="Z94" s="11">
        <f>IF(OR(W94="",Y94=""),"",ROUND(W94-Y94,2))</f>
      </c>
      <c r="AA94" s="0">
        <f>IF(Z94="","",IF($V94="Partial","RIDER",IF(ABS(Z94)&lt;=Y94*tol_Pct,"OK",IF(Z94&gt;0,"OVER","UNDER"))))</f>
      </c>
      <c r="AB94" s="0" t="s">
        <v>34</v>
      </c>
      <c r="AC94" s="0">
        <f>IF(AND($V94&lt;&gt;"No",$E94="Common",NOT(ISNUMBER(SEARCH("Ideas",$F94)))),$W94,NA())</f>
      </c>
      <c r="AD94" s="0">
        <f>IF(AND($V94&lt;&gt;"No",$E94="Uncommon",NOT(ISNUMBER(SEARCH("Ideas",$F94)))),$W94,NA())</f>
      </c>
      <c r="AE94" s="0">
        <f>IF(AND($V94&lt;&gt;"No",$E94="Rare",NOT(ISNUMBER(SEARCH("Ideas",$F94)))),$W94,NA())</f>
      </c>
      <c r="AF94" s="0">
        <f>IF(AND($V94&lt;&gt;"No",$E94="Legendary",NOT(ISNUMBER(SEARCH("Ideas",$F94)))),$W94,NA())</f>
      </c>
      <c r="AG94" s="0">
        <f>IF(AND($V94&lt;&gt;"No",ISNUMBER(SEARCH("Knight",$C94)),NOT(ISNUMBER(SEARCH("Ideas",$F94)))),$X94,NA())</f>
      </c>
      <c r="AH94" s="0">
        <f>IF(AND($V94&lt;&gt;"No",ISNUMBER(SEARCH("Mage",$C94)),NOT(ISNUMBER(SEARCH("Ideas",$F94)))),$X94,NA())</f>
      </c>
      <c r="AI94" s="0">
        <f>IF(AND($V94&lt;&gt;"No",ISNUMBER(SEARCH("Rogue",$C94)),NOT(ISNUMBER(SEARCH("Ideas",$F94)))),$X94,NA())</f>
      </c>
      <c r="AJ94" s="0">
        <f>IF($V94&lt;&gt;"No",$Y94,NA())</f>
      </c>
      <c r="AK94" s="0">
        <f>IF(AND($V94&lt;&gt;"No",ISNUMBER(SEARCH("Ideas",$F94))),$W94,NA())</f>
      </c>
      <c r="AL94" s="0">
        <f>IF(AND($V94&lt;&gt;"No",ISNUMBER(SEARCH("Cleric",$C94)),NOT(ISNUMBER(SEARCH("Ideas",$F94)))),$X94,NA())</f>
      </c>
    </row>
    <row r="95">
      <c r="A95" s="0" t="s">
        <v>431</v>
      </c>
      <c r="B95" s="0" t="s">
        <v>431</v>
      </c>
      <c r="C95" s="0" t="s">
        <v>363</v>
      </c>
      <c r="D95" s="0">
        <v>2</v>
      </c>
      <c r="E95" s="0" t="s">
        <v>32</v>
      </c>
      <c r="F95" s="0" t="s">
        <v>363</v>
      </c>
      <c r="G95" s="0">
        <v>1</v>
      </c>
      <c r="H95" s="0">
        <v>1</v>
      </c>
      <c r="I95" s="0">
        <v>0</v>
      </c>
      <c r="J95" s="0">
        <v>0</v>
      </c>
      <c r="K95" s="0">
        <v>0</v>
      </c>
      <c r="L95" s="0">
        <v>0</v>
      </c>
      <c r="M95" s="0">
        <v>0</v>
      </c>
      <c r="N95" s="0">
        <v>0</v>
      </c>
      <c r="O95" s="0">
        <v>0</v>
      </c>
      <c r="P95" s="0">
        <v>0</v>
      </c>
      <c r="Q95" s="0">
        <v>0</v>
      </c>
      <c r="R95" s="0">
        <v>0</v>
      </c>
      <c r="S95" s="0">
        <v>0</v>
      </c>
      <c r="T95" s="0" t="s">
        <v>1948</v>
      </c>
      <c r="U95" s="0" t="s">
        <v>1949</v>
      </c>
      <c r="V95" s="0" t="s">
        <v>1407</v>
      </c>
      <c r="W95" s="11">
        <f>IF($V95="No","",ROUND((I95*w_Damage + N95*w_Poison + P95*w_Weaken*w_Horizon)*MIN(1+(G95-1)*w_OccEnemy,w_MaxEnemies) + (J95*w_Heal + K95*w_Shield + L95*w_Block + M95*w_Parry + O95*w_Strength*w_Horizon + S95*w_Combo)*MIN(1+(H95-1)*w_OccAlly,w_MaxAllies) + Q95*w_Draw + R95*w_Move,2))</f>
      </c>
      <c r="X95" s="11">
        <f>IF(W95="","",ROUND(W95/MAX(D95,1),2))</f>
      </c>
      <c r="Y95" s="11">
        <f>IF($V95="No","",ROUND((curve_Base+curve_Slope*D95)*IFERROR(VLOOKUP(E95,rarity_Mult,2,FALSE),1),2))</f>
      </c>
      <c r="Z95" s="11">
        <f>IF(OR(W95="",Y95=""),"",ROUND(W95-Y95,2))</f>
      </c>
      <c r="AA95" s="0">
        <f>IF(Z95="","",IF($V95="Partial","RIDER",IF(ABS(Z95)&lt;=Y95*tol_Pct,"OK",IF(Z95&gt;0,"OVER","UNDER"))))</f>
      </c>
      <c r="AB95" s="0" t="s">
        <v>34</v>
      </c>
      <c r="AC95" s="0">
        <f>IF(AND($V95&lt;&gt;"No",$E95="Common",NOT(ISNUMBER(SEARCH("Ideas",$F95)))),$W95,NA())</f>
      </c>
      <c r="AD95" s="0">
        <f>IF(AND($V95&lt;&gt;"No",$E95="Uncommon",NOT(ISNUMBER(SEARCH("Ideas",$F95)))),$W95,NA())</f>
      </c>
      <c r="AE95" s="0">
        <f>IF(AND($V95&lt;&gt;"No",$E95="Rare",NOT(ISNUMBER(SEARCH("Ideas",$F95)))),$W95,NA())</f>
      </c>
      <c r="AF95" s="0">
        <f>IF(AND($V95&lt;&gt;"No",$E95="Legendary",NOT(ISNUMBER(SEARCH("Ideas",$F95)))),$W95,NA())</f>
      </c>
      <c r="AG95" s="0">
        <f>IF(AND($V95&lt;&gt;"No",ISNUMBER(SEARCH("Knight",$C95)),NOT(ISNUMBER(SEARCH("Ideas",$F95)))),$X95,NA())</f>
      </c>
      <c r="AH95" s="0">
        <f>IF(AND($V95&lt;&gt;"No",ISNUMBER(SEARCH("Mage",$C95)),NOT(ISNUMBER(SEARCH("Ideas",$F95)))),$X95,NA())</f>
      </c>
      <c r="AI95" s="0">
        <f>IF(AND($V95&lt;&gt;"No",ISNUMBER(SEARCH("Rogue",$C95)),NOT(ISNUMBER(SEARCH("Ideas",$F95)))),$X95,NA())</f>
      </c>
      <c r="AJ95" s="0">
        <f>IF($V95&lt;&gt;"No",$Y95,NA())</f>
      </c>
      <c r="AK95" s="0">
        <f>IF(AND($V95&lt;&gt;"No",ISNUMBER(SEARCH("Ideas",$F95))),$W95,NA())</f>
      </c>
      <c r="AL95" s="0">
        <f>IF(AND($V95&lt;&gt;"No",ISNUMBER(SEARCH("Cleric",$C95)),NOT(ISNUMBER(SEARCH("Ideas",$F95)))),$X95,NA())</f>
      </c>
    </row>
    <row r="96">
      <c r="A96" s="0" t="s">
        <v>435</v>
      </c>
      <c r="B96" s="0" t="s">
        <v>435</v>
      </c>
      <c r="C96" s="0" t="s">
        <v>363</v>
      </c>
      <c r="D96" s="0">
        <v>2</v>
      </c>
      <c r="E96" s="0" t="s">
        <v>62</v>
      </c>
      <c r="F96" s="0" t="s">
        <v>363</v>
      </c>
      <c r="G96" s="0">
        <v>1</v>
      </c>
      <c r="H96" s="0">
        <v>1</v>
      </c>
      <c r="I96" s="0">
        <v>0</v>
      </c>
      <c r="J96" s="0">
        <v>0</v>
      </c>
      <c r="K96" s="0">
        <v>0</v>
      </c>
      <c r="L96" s="0">
        <v>0</v>
      </c>
      <c r="M96" s="0">
        <v>0</v>
      </c>
      <c r="N96" s="0">
        <v>0</v>
      </c>
      <c r="O96" s="0">
        <v>0</v>
      </c>
      <c r="P96" s="0">
        <v>0</v>
      </c>
      <c r="Q96" s="0">
        <v>0</v>
      </c>
      <c r="R96" s="0">
        <v>0</v>
      </c>
      <c r="S96" s="0">
        <v>0</v>
      </c>
      <c r="T96" s="0" t="s">
        <v>1950</v>
      </c>
      <c r="U96" s="0" t="s">
        <v>1911</v>
      </c>
      <c r="V96" s="0" t="s">
        <v>1407</v>
      </c>
      <c r="W96" s="11">
        <f>IF($V96="No","",ROUND((I96*w_Damage + N96*w_Poison + P96*w_Weaken*w_Horizon)*MIN(1+(G96-1)*w_OccEnemy,w_MaxEnemies) + (J96*w_Heal + K96*w_Shield + L96*w_Block + M96*w_Parry + O96*w_Strength*w_Horizon + S96*w_Combo)*MIN(1+(H96-1)*w_OccAlly,w_MaxAllies) + Q96*w_Draw + R96*w_Move,2))</f>
      </c>
      <c r="X96" s="11">
        <f>IF(W96="","",ROUND(W96/MAX(D96,1),2))</f>
      </c>
      <c r="Y96" s="11">
        <f>IF($V96="No","",ROUND((curve_Base+curve_Slope*D96)*IFERROR(VLOOKUP(E96,rarity_Mult,2,FALSE),1),2))</f>
      </c>
      <c r="Z96" s="11">
        <f>IF(OR(W96="",Y96=""),"",ROUND(W96-Y96,2))</f>
      </c>
      <c r="AA96" s="0">
        <f>IF(Z96="","",IF($V96="Partial","RIDER",IF(ABS(Z96)&lt;=Y96*tol_Pct,"OK",IF(Z96&gt;0,"OVER","UNDER"))))</f>
      </c>
      <c r="AB96" s="0" t="s">
        <v>34</v>
      </c>
      <c r="AC96" s="0">
        <f>IF(AND($V96&lt;&gt;"No",$E96="Common",NOT(ISNUMBER(SEARCH("Ideas",$F96)))),$W96,NA())</f>
      </c>
      <c r="AD96" s="0">
        <f>IF(AND($V96&lt;&gt;"No",$E96="Uncommon",NOT(ISNUMBER(SEARCH("Ideas",$F96)))),$W96,NA())</f>
      </c>
      <c r="AE96" s="0">
        <f>IF(AND($V96&lt;&gt;"No",$E96="Rare",NOT(ISNUMBER(SEARCH("Ideas",$F96)))),$W96,NA())</f>
      </c>
      <c r="AF96" s="0">
        <f>IF(AND($V96&lt;&gt;"No",$E96="Legendary",NOT(ISNUMBER(SEARCH("Ideas",$F96)))),$W96,NA())</f>
      </c>
      <c r="AG96" s="0">
        <f>IF(AND($V96&lt;&gt;"No",ISNUMBER(SEARCH("Knight",$C96)),NOT(ISNUMBER(SEARCH("Ideas",$F96)))),$X96,NA())</f>
      </c>
      <c r="AH96" s="0">
        <f>IF(AND($V96&lt;&gt;"No",ISNUMBER(SEARCH("Mage",$C96)),NOT(ISNUMBER(SEARCH("Ideas",$F96)))),$X96,NA())</f>
      </c>
      <c r="AI96" s="0">
        <f>IF(AND($V96&lt;&gt;"No",ISNUMBER(SEARCH("Rogue",$C96)),NOT(ISNUMBER(SEARCH("Ideas",$F96)))),$X96,NA())</f>
      </c>
      <c r="AJ96" s="0">
        <f>IF($V96&lt;&gt;"No",$Y96,NA())</f>
      </c>
      <c r="AK96" s="0">
        <f>IF(AND($V96&lt;&gt;"No",ISNUMBER(SEARCH("Ideas",$F96))),$W96,NA())</f>
      </c>
      <c r="AL96" s="0">
        <f>IF(AND($V96&lt;&gt;"No",ISNUMBER(SEARCH("Cleric",$C96)),NOT(ISNUMBER(SEARCH("Ideas",$F96)))),$X96,NA())</f>
      </c>
    </row>
    <row r="97">
      <c r="A97" s="0" t="s">
        <v>440</v>
      </c>
      <c r="B97" s="0" t="s">
        <v>440</v>
      </c>
      <c r="C97" s="0" t="s">
        <v>363</v>
      </c>
      <c r="D97" s="0">
        <v>2</v>
      </c>
      <c r="E97" s="0" t="s">
        <v>32</v>
      </c>
      <c r="F97" s="0" t="s">
        <v>363</v>
      </c>
      <c r="G97" s="0">
        <v>1</v>
      </c>
      <c r="H97" s="0">
        <v>1</v>
      </c>
      <c r="I97" s="0">
        <v>0</v>
      </c>
      <c r="J97" s="0">
        <v>0</v>
      </c>
      <c r="K97" s="0">
        <v>0</v>
      </c>
      <c r="L97" s="0">
        <v>0</v>
      </c>
      <c r="M97" s="0">
        <v>0</v>
      </c>
      <c r="N97" s="0">
        <v>0</v>
      </c>
      <c r="O97" s="0">
        <v>0</v>
      </c>
      <c r="P97" s="0">
        <v>0</v>
      </c>
      <c r="Q97" s="0">
        <v>0</v>
      </c>
      <c r="R97" s="0">
        <v>0</v>
      </c>
      <c r="S97" s="0">
        <v>0</v>
      </c>
      <c r="T97" s="0" t="s">
        <v>1951</v>
      </c>
      <c r="U97" s="0" t="s">
        <v>1952</v>
      </c>
      <c r="V97" s="0" t="s">
        <v>1407</v>
      </c>
      <c r="W97" s="11">
        <f>IF($V97="No","",ROUND((I97*w_Damage + N97*w_Poison + P97*w_Weaken*w_Horizon)*MIN(1+(G97-1)*w_OccEnemy,w_MaxEnemies) + (J97*w_Heal + K97*w_Shield + L97*w_Block + M97*w_Parry + O97*w_Strength*w_Horizon + S97*w_Combo)*MIN(1+(H97-1)*w_OccAlly,w_MaxAllies) + Q97*w_Draw + R97*w_Move,2))</f>
      </c>
      <c r="X97" s="11">
        <f>IF(W97="","",ROUND(W97/MAX(D97,1),2))</f>
      </c>
      <c r="Y97" s="11">
        <f>IF($V97="No","",ROUND((curve_Base+curve_Slope*D97)*IFERROR(VLOOKUP(E97,rarity_Mult,2,FALSE),1),2))</f>
      </c>
      <c r="Z97" s="11">
        <f>IF(OR(W97="",Y97=""),"",ROUND(W97-Y97,2))</f>
      </c>
      <c r="AA97" s="0">
        <f>IF(Z97="","",IF($V97="Partial","RIDER",IF(ABS(Z97)&lt;=Y97*tol_Pct,"OK",IF(Z97&gt;0,"OVER","UNDER"))))</f>
      </c>
      <c r="AB97" s="0" t="s">
        <v>34</v>
      </c>
      <c r="AC97" s="0">
        <f>IF(AND($V97&lt;&gt;"No",$E97="Common",NOT(ISNUMBER(SEARCH("Ideas",$F97)))),$W97,NA())</f>
      </c>
      <c r="AD97" s="0">
        <f>IF(AND($V97&lt;&gt;"No",$E97="Uncommon",NOT(ISNUMBER(SEARCH("Ideas",$F97)))),$W97,NA())</f>
      </c>
      <c r="AE97" s="0">
        <f>IF(AND($V97&lt;&gt;"No",$E97="Rare",NOT(ISNUMBER(SEARCH("Ideas",$F97)))),$W97,NA())</f>
      </c>
      <c r="AF97" s="0">
        <f>IF(AND($V97&lt;&gt;"No",$E97="Legendary",NOT(ISNUMBER(SEARCH("Ideas",$F97)))),$W97,NA())</f>
      </c>
      <c r="AG97" s="0">
        <f>IF(AND($V97&lt;&gt;"No",ISNUMBER(SEARCH("Knight",$C97)),NOT(ISNUMBER(SEARCH("Ideas",$F97)))),$X97,NA())</f>
      </c>
      <c r="AH97" s="0">
        <f>IF(AND($V97&lt;&gt;"No",ISNUMBER(SEARCH("Mage",$C97)),NOT(ISNUMBER(SEARCH("Ideas",$F97)))),$X97,NA())</f>
      </c>
      <c r="AI97" s="0">
        <f>IF(AND($V97&lt;&gt;"No",ISNUMBER(SEARCH("Rogue",$C97)),NOT(ISNUMBER(SEARCH("Ideas",$F97)))),$X97,NA())</f>
      </c>
      <c r="AJ97" s="0">
        <f>IF($V97&lt;&gt;"No",$Y97,NA())</f>
      </c>
      <c r="AK97" s="0">
        <f>IF(AND($V97&lt;&gt;"No",ISNUMBER(SEARCH("Ideas",$F97))),$W97,NA())</f>
      </c>
      <c r="AL97" s="0">
        <f>IF(AND($V97&lt;&gt;"No",ISNUMBER(SEARCH("Cleric",$C97)),NOT(ISNUMBER(SEARCH("Ideas",$F97)))),$X97,NA())</f>
      </c>
    </row>
    <row r="98">
      <c r="A98" s="0" t="s">
        <v>444</v>
      </c>
      <c r="B98" s="0" t="s">
        <v>444</v>
      </c>
      <c r="C98" s="0" t="s">
        <v>446</v>
      </c>
      <c r="D98" s="0">
        <v>1</v>
      </c>
      <c r="E98" s="0" t="s">
        <v>32</v>
      </c>
      <c r="F98" s="0" t="s">
        <v>446</v>
      </c>
      <c r="G98" s="0">
        <v>1</v>
      </c>
      <c r="H98" s="0">
        <v>1</v>
      </c>
      <c r="I98" s="0">
        <v>0</v>
      </c>
      <c r="J98" s="0">
        <v>0</v>
      </c>
      <c r="K98" s="0">
        <v>0</v>
      </c>
      <c r="L98" s="0">
        <v>5</v>
      </c>
      <c r="M98" s="0">
        <v>0</v>
      </c>
      <c r="N98" s="0">
        <v>0</v>
      </c>
      <c r="O98" s="0">
        <v>0</v>
      </c>
      <c r="P98" s="0">
        <v>0</v>
      </c>
      <c r="Q98" s="0">
        <v>0</v>
      </c>
      <c r="R98" s="0">
        <v>0</v>
      </c>
      <c r="S98" s="0">
        <v>0</v>
      </c>
      <c r="T98" s="0" t="s">
        <v>34</v>
      </c>
      <c r="U98" s="0" t="s">
        <v>34</v>
      </c>
      <c r="V98" s="0" t="s">
        <v>882</v>
      </c>
      <c r="W98" s="11">
        <f>IF($V98="No","",ROUND((I98*w_Damage + N98*w_Poison + P98*w_Weaken*w_Horizon)*MIN(1+(G98-1)*w_OccEnemy,w_MaxEnemies) + (J98*w_Heal + K98*w_Shield + L98*w_Block + M98*w_Parry + O98*w_Strength*w_Horizon + S98*w_Combo)*MIN(1+(H98-1)*w_OccAlly,w_MaxAllies) + Q98*w_Draw + R98*w_Move,2))</f>
      </c>
      <c r="X98" s="11">
        <f>IF(W98="","",ROUND(W98/MAX(D98,1),2))</f>
      </c>
      <c r="Y98" s="11">
        <f>IF($V98="No","",ROUND((curve_Base+curve_Slope*D98)*IFERROR(VLOOKUP(E98,rarity_Mult,2,FALSE),1),2))</f>
      </c>
      <c r="Z98" s="11">
        <f>IF(OR(W98="",Y98=""),"",ROUND(W98-Y98,2))</f>
      </c>
      <c r="AA98" s="0">
        <f>IF(Z98="","",IF($V98="Partial","RIDER",IF(ABS(Z98)&lt;=Y98*tol_Pct,"OK",IF(Z98&gt;0,"OVER","UNDER"))))</f>
      </c>
      <c r="AB98" s="0" t="s">
        <v>34</v>
      </c>
      <c r="AC98" s="0">
        <f>IF(AND($V98&lt;&gt;"No",$E98="Common",NOT(ISNUMBER(SEARCH("Ideas",$F98)))),$W98,NA())</f>
      </c>
      <c r="AD98" s="0">
        <f>IF(AND($V98&lt;&gt;"No",$E98="Uncommon",NOT(ISNUMBER(SEARCH("Ideas",$F98)))),$W98,NA())</f>
      </c>
      <c r="AE98" s="0">
        <f>IF(AND($V98&lt;&gt;"No",$E98="Rare",NOT(ISNUMBER(SEARCH("Ideas",$F98)))),$W98,NA())</f>
      </c>
      <c r="AF98" s="0">
        <f>IF(AND($V98&lt;&gt;"No",$E98="Legendary",NOT(ISNUMBER(SEARCH("Ideas",$F98)))),$W98,NA())</f>
      </c>
      <c r="AG98" s="0">
        <f>IF(AND($V98&lt;&gt;"No",ISNUMBER(SEARCH("Knight",$C98)),NOT(ISNUMBER(SEARCH("Ideas",$F98)))),$X98,NA())</f>
      </c>
      <c r="AH98" s="0">
        <f>IF(AND($V98&lt;&gt;"No",ISNUMBER(SEARCH("Mage",$C98)),NOT(ISNUMBER(SEARCH("Ideas",$F98)))),$X98,NA())</f>
      </c>
      <c r="AI98" s="0">
        <f>IF(AND($V98&lt;&gt;"No",ISNUMBER(SEARCH("Rogue",$C98)),NOT(ISNUMBER(SEARCH("Ideas",$F98)))),$X98,NA())</f>
      </c>
      <c r="AJ98" s="0">
        <f>IF($V98&lt;&gt;"No",$Y98,NA())</f>
      </c>
      <c r="AK98" s="0">
        <f>IF(AND($V98&lt;&gt;"No",ISNUMBER(SEARCH("Ideas",$F98))),$W98,NA())</f>
      </c>
      <c r="AL98" s="0">
        <f>IF(AND($V98&lt;&gt;"No",ISNUMBER(SEARCH("Cleric",$C98)),NOT(ISNUMBER(SEARCH("Ideas",$F98)))),$X98,NA())</f>
      </c>
    </row>
    <row r="99">
      <c r="A99" s="0" t="s">
        <v>448</v>
      </c>
      <c r="B99" s="0" t="s">
        <v>448</v>
      </c>
      <c r="C99" s="0" t="s">
        <v>446</v>
      </c>
      <c r="D99" s="0">
        <v>1</v>
      </c>
      <c r="E99" s="0" t="s">
        <v>32</v>
      </c>
      <c r="F99" s="0" t="s">
        <v>446</v>
      </c>
      <c r="G99" s="0">
        <v>1</v>
      </c>
      <c r="H99" s="0">
        <v>1</v>
      </c>
      <c r="I99" s="0">
        <v>0</v>
      </c>
      <c r="J99" s="0">
        <v>0</v>
      </c>
      <c r="K99" s="0">
        <v>10</v>
      </c>
      <c r="L99" s="0">
        <v>0</v>
      </c>
      <c r="M99" s="0">
        <v>0</v>
      </c>
      <c r="N99" s="0">
        <v>0</v>
      </c>
      <c r="O99" s="0">
        <v>0</v>
      </c>
      <c r="P99" s="0">
        <v>0</v>
      </c>
      <c r="Q99" s="0">
        <v>0</v>
      </c>
      <c r="R99" s="0">
        <v>0</v>
      </c>
      <c r="S99" s="0">
        <v>0</v>
      </c>
      <c r="T99" s="0" t="s">
        <v>34</v>
      </c>
      <c r="U99" s="0" t="s">
        <v>34</v>
      </c>
      <c r="V99" s="0" t="s">
        <v>882</v>
      </c>
      <c r="W99" s="11">
        <f>IF($V99="No","",ROUND((I99*w_Damage + N99*w_Poison + P99*w_Weaken*w_Horizon)*MIN(1+(G99-1)*w_OccEnemy,w_MaxEnemies) + (J99*w_Heal + K99*w_Shield + L99*w_Block + M99*w_Parry + O99*w_Strength*w_Horizon + S99*w_Combo)*MIN(1+(H99-1)*w_OccAlly,w_MaxAllies) + Q99*w_Draw + R99*w_Move,2))</f>
      </c>
      <c r="X99" s="11">
        <f>IF(W99="","",ROUND(W99/MAX(D99,1),2))</f>
      </c>
      <c r="Y99" s="11">
        <f>IF($V99="No","",ROUND((curve_Base+curve_Slope*D99)*IFERROR(VLOOKUP(E99,rarity_Mult,2,FALSE),1),2))</f>
      </c>
      <c r="Z99" s="11">
        <f>IF(OR(W99="",Y99=""),"",ROUND(W99-Y99,2))</f>
      </c>
      <c r="AA99" s="0">
        <f>IF(Z99="","",IF($V99="Partial","RIDER",IF(ABS(Z99)&lt;=Y99*tol_Pct,"OK",IF(Z99&gt;0,"OVER","UNDER"))))</f>
      </c>
      <c r="AB99" s="0" t="s">
        <v>34</v>
      </c>
      <c r="AC99" s="0">
        <f>IF(AND($V99&lt;&gt;"No",$E99="Common",NOT(ISNUMBER(SEARCH("Ideas",$F99)))),$W99,NA())</f>
      </c>
      <c r="AD99" s="0">
        <f>IF(AND($V99&lt;&gt;"No",$E99="Uncommon",NOT(ISNUMBER(SEARCH("Ideas",$F99)))),$W99,NA())</f>
      </c>
      <c r="AE99" s="0">
        <f>IF(AND($V99&lt;&gt;"No",$E99="Rare",NOT(ISNUMBER(SEARCH("Ideas",$F99)))),$W99,NA())</f>
      </c>
      <c r="AF99" s="0">
        <f>IF(AND($V99&lt;&gt;"No",$E99="Legendary",NOT(ISNUMBER(SEARCH("Ideas",$F99)))),$W99,NA())</f>
      </c>
      <c r="AG99" s="0">
        <f>IF(AND($V99&lt;&gt;"No",ISNUMBER(SEARCH("Knight",$C99)),NOT(ISNUMBER(SEARCH("Ideas",$F99)))),$X99,NA())</f>
      </c>
      <c r="AH99" s="0">
        <f>IF(AND($V99&lt;&gt;"No",ISNUMBER(SEARCH("Mage",$C99)),NOT(ISNUMBER(SEARCH("Ideas",$F99)))),$X99,NA())</f>
      </c>
      <c r="AI99" s="0">
        <f>IF(AND($V99&lt;&gt;"No",ISNUMBER(SEARCH("Rogue",$C99)),NOT(ISNUMBER(SEARCH("Ideas",$F99)))),$X99,NA())</f>
      </c>
      <c r="AJ99" s="0">
        <f>IF($V99&lt;&gt;"No",$Y99,NA())</f>
      </c>
      <c r="AK99" s="0">
        <f>IF(AND($V99&lt;&gt;"No",ISNUMBER(SEARCH("Ideas",$F99))),$W99,NA())</f>
      </c>
      <c r="AL99" s="0">
        <f>IF(AND($V99&lt;&gt;"No",ISNUMBER(SEARCH("Cleric",$C99)),NOT(ISNUMBER(SEARCH("Ideas",$F99)))),$X99,NA())</f>
      </c>
    </row>
    <row r="100">
      <c r="A100" s="0" t="s">
        <v>452</v>
      </c>
      <c r="B100" s="0" t="s">
        <v>452</v>
      </c>
      <c r="C100" s="0" t="s">
        <v>446</v>
      </c>
      <c r="D100" s="0">
        <v>1</v>
      </c>
      <c r="E100" s="0" t="s">
        <v>32</v>
      </c>
      <c r="F100" s="0" t="s">
        <v>446</v>
      </c>
      <c r="G100" s="0">
        <v>1</v>
      </c>
      <c r="H100" s="0">
        <v>1</v>
      </c>
      <c r="I100" s="0">
        <v>0</v>
      </c>
      <c r="J100" s="0">
        <v>0</v>
      </c>
      <c r="K100" s="0">
        <v>6</v>
      </c>
      <c r="L100" s="0">
        <v>0</v>
      </c>
      <c r="M100" s="0">
        <v>0</v>
      </c>
      <c r="N100" s="0">
        <v>0</v>
      </c>
      <c r="O100" s="0">
        <v>0</v>
      </c>
      <c r="P100" s="0">
        <v>0</v>
      </c>
      <c r="Q100" s="0">
        <v>0</v>
      </c>
      <c r="R100" s="0">
        <v>0</v>
      </c>
      <c r="S100" s="0">
        <v>0</v>
      </c>
      <c r="T100" s="0" t="s">
        <v>34</v>
      </c>
      <c r="U100" s="0" t="s">
        <v>34</v>
      </c>
      <c r="V100" s="0" t="s">
        <v>882</v>
      </c>
      <c r="W100" s="11">
        <f>IF($V100="No","",ROUND((I100*w_Damage + N100*w_Poison + P100*w_Weaken*w_Horizon)*MIN(1+(G100-1)*w_OccEnemy,w_MaxEnemies) + (J100*w_Heal + K100*w_Shield + L100*w_Block + M100*w_Parry + O100*w_Strength*w_Horizon + S100*w_Combo)*MIN(1+(H100-1)*w_OccAlly,w_MaxAllies) + Q100*w_Draw + R100*w_Move,2))</f>
      </c>
      <c r="X100" s="11">
        <f>IF(W100="","",ROUND(W100/MAX(D100,1),2))</f>
      </c>
      <c r="Y100" s="11">
        <f>IF($V100="No","",ROUND((curve_Base+curve_Slope*D100)*IFERROR(VLOOKUP(E100,rarity_Mult,2,FALSE),1),2))</f>
      </c>
      <c r="Z100" s="11">
        <f>IF(OR(W100="",Y100=""),"",ROUND(W100-Y100,2))</f>
      </c>
      <c r="AA100" s="0">
        <f>IF(Z100="","",IF($V100="Partial","RIDER",IF(ABS(Z100)&lt;=Y100*tol_Pct,"OK",IF(Z100&gt;0,"OVER","UNDER"))))</f>
      </c>
      <c r="AB100" s="0" t="s">
        <v>34</v>
      </c>
      <c r="AC100" s="0">
        <f>IF(AND($V100&lt;&gt;"No",$E100="Common",NOT(ISNUMBER(SEARCH("Ideas",$F100)))),$W100,NA())</f>
      </c>
      <c r="AD100" s="0">
        <f>IF(AND($V100&lt;&gt;"No",$E100="Uncommon",NOT(ISNUMBER(SEARCH("Ideas",$F100)))),$W100,NA())</f>
      </c>
      <c r="AE100" s="0">
        <f>IF(AND($V100&lt;&gt;"No",$E100="Rare",NOT(ISNUMBER(SEARCH("Ideas",$F100)))),$W100,NA())</f>
      </c>
      <c r="AF100" s="0">
        <f>IF(AND($V100&lt;&gt;"No",$E100="Legendary",NOT(ISNUMBER(SEARCH("Ideas",$F100)))),$W100,NA())</f>
      </c>
      <c r="AG100" s="0">
        <f>IF(AND($V100&lt;&gt;"No",ISNUMBER(SEARCH("Knight",$C100)),NOT(ISNUMBER(SEARCH("Ideas",$F100)))),$X100,NA())</f>
      </c>
      <c r="AH100" s="0">
        <f>IF(AND($V100&lt;&gt;"No",ISNUMBER(SEARCH("Mage",$C100)),NOT(ISNUMBER(SEARCH("Ideas",$F100)))),$X100,NA())</f>
      </c>
      <c r="AI100" s="0">
        <f>IF(AND($V100&lt;&gt;"No",ISNUMBER(SEARCH("Rogue",$C100)),NOT(ISNUMBER(SEARCH("Ideas",$F100)))),$X100,NA())</f>
      </c>
      <c r="AJ100" s="0">
        <f>IF($V100&lt;&gt;"No",$Y100,NA())</f>
      </c>
      <c r="AK100" s="0">
        <f>IF(AND($V100&lt;&gt;"No",ISNUMBER(SEARCH("Ideas",$F100))),$W100,NA())</f>
      </c>
      <c r="AL100" s="0">
        <f>IF(AND($V100&lt;&gt;"No",ISNUMBER(SEARCH("Cleric",$C100)),NOT(ISNUMBER(SEARCH("Ideas",$F100)))),$X100,NA())</f>
      </c>
    </row>
    <row r="101">
      <c r="A101" s="0" t="s">
        <v>457</v>
      </c>
      <c r="B101" s="0" t="s">
        <v>457</v>
      </c>
      <c r="C101" s="0" t="s">
        <v>446</v>
      </c>
      <c r="D101" s="0">
        <v>1</v>
      </c>
      <c r="E101" s="0" t="s">
        <v>32</v>
      </c>
      <c r="F101" s="0" t="s">
        <v>446</v>
      </c>
      <c r="G101" s="0">
        <v>1</v>
      </c>
      <c r="H101" s="0">
        <v>1</v>
      </c>
      <c r="I101" s="0">
        <v>0</v>
      </c>
      <c r="J101" s="0">
        <v>0</v>
      </c>
      <c r="K101" s="0">
        <v>5</v>
      </c>
      <c r="L101" s="0">
        <v>0</v>
      </c>
      <c r="M101" s="0">
        <v>0</v>
      </c>
      <c r="N101" s="0">
        <v>0</v>
      </c>
      <c r="O101" s="0">
        <v>0</v>
      </c>
      <c r="P101" s="0">
        <v>0</v>
      </c>
      <c r="Q101" s="0">
        <v>1</v>
      </c>
      <c r="R101" s="0">
        <v>0</v>
      </c>
      <c r="S101" s="0">
        <v>0</v>
      </c>
      <c r="T101" s="0" t="s">
        <v>34</v>
      </c>
      <c r="U101" s="0" t="s">
        <v>34</v>
      </c>
      <c r="V101" s="0" t="s">
        <v>882</v>
      </c>
      <c r="W101" s="11">
        <f>IF($V101="No","",ROUND((I101*w_Damage + N101*w_Poison + P101*w_Weaken*w_Horizon)*MIN(1+(G101-1)*w_OccEnemy,w_MaxEnemies) + (J101*w_Heal + K101*w_Shield + L101*w_Block + M101*w_Parry + O101*w_Strength*w_Horizon + S101*w_Combo)*MIN(1+(H101-1)*w_OccAlly,w_MaxAllies) + Q101*w_Draw + R101*w_Move,2))</f>
      </c>
      <c r="X101" s="11">
        <f>IF(W101="","",ROUND(W101/MAX(D101,1),2))</f>
      </c>
      <c r="Y101" s="11">
        <f>IF($V101="No","",ROUND((curve_Base+curve_Slope*D101)*IFERROR(VLOOKUP(E101,rarity_Mult,2,FALSE),1),2))</f>
      </c>
      <c r="Z101" s="11">
        <f>IF(OR(W101="",Y101=""),"",ROUND(W101-Y101,2))</f>
      </c>
      <c r="AA101" s="0">
        <f>IF(Z101="","",IF($V101="Partial","RIDER",IF(ABS(Z101)&lt;=Y101*tol_Pct,"OK",IF(Z101&gt;0,"OVER","UNDER"))))</f>
      </c>
      <c r="AB101" s="0" t="s">
        <v>34</v>
      </c>
      <c r="AC101" s="0">
        <f>IF(AND($V101&lt;&gt;"No",$E101="Common",NOT(ISNUMBER(SEARCH("Ideas",$F101)))),$W101,NA())</f>
      </c>
      <c r="AD101" s="0">
        <f>IF(AND($V101&lt;&gt;"No",$E101="Uncommon",NOT(ISNUMBER(SEARCH("Ideas",$F101)))),$W101,NA())</f>
      </c>
      <c r="AE101" s="0">
        <f>IF(AND($V101&lt;&gt;"No",$E101="Rare",NOT(ISNUMBER(SEARCH("Ideas",$F101)))),$W101,NA())</f>
      </c>
      <c r="AF101" s="0">
        <f>IF(AND($V101&lt;&gt;"No",$E101="Legendary",NOT(ISNUMBER(SEARCH("Ideas",$F101)))),$W101,NA())</f>
      </c>
      <c r="AG101" s="0">
        <f>IF(AND($V101&lt;&gt;"No",ISNUMBER(SEARCH("Knight",$C101)),NOT(ISNUMBER(SEARCH("Ideas",$F101)))),$X101,NA())</f>
      </c>
      <c r="AH101" s="0">
        <f>IF(AND($V101&lt;&gt;"No",ISNUMBER(SEARCH("Mage",$C101)),NOT(ISNUMBER(SEARCH("Ideas",$F101)))),$X101,NA())</f>
      </c>
      <c r="AI101" s="0">
        <f>IF(AND($V101&lt;&gt;"No",ISNUMBER(SEARCH("Rogue",$C101)),NOT(ISNUMBER(SEARCH("Ideas",$F101)))),$X101,NA())</f>
      </c>
      <c r="AJ101" s="0">
        <f>IF($V101&lt;&gt;"No",$Y101,NA())</f>
      </c>
      <c r="AK101" s="0">
        <f>IF(AND($V101&lt;&gt;"No",ISNUMBER(SEARCH("Ideas",$F101))),$W101,NA())</f>
      </c>
      <c r="AL101" s="0">
        <f>IF(AND($V101&lt;&gt;"No",ISNUMBER(SEARCH("Cleric",$C101)),NOT(ISNUMBER(SEARCH("Ideas",$F101)))),$X101,NA())</f>
      </c>
    </row>
    <row r="102">
      <c r="A102" s="0" t="s">
        <v>461</v>
      </c>
      <c r="B102" s="0" t="s">
        <v>461</v>
      </c>
      <c r="C102" s="0" t="s">
        <v>446</v>
      </c>
      <c r="D102" s="0">
        <v>1</v>
      </c>
      <c r="E102" s="0" t="s">
        <v>32</v>
      </c>
      <c r="F102" s="0" t="s">
        <v>446</v>
      </c>
      <c r="G102" s="0">
        <v>1</v>
      </c>
      <c r="H102" s="0">
        <v>1</v>
      </c>
      <c r="I102" s="0">
        <v>0</v>
      </c>
      <c r="J102" s="0">
        <v>0</v>
      </c>
      <c r="K102" s="0">
        <v>9</v>
      </c>
      <c r="L102" s="0">
        <v>0</v>
      </c>
      <c r="M102" s="0">
        <v>0</v>
      </c>
      <c r="N102" s="0">
        <v>0</v>
      </c>
      <c r="O102" s="0">
        <v>0</v>
      </c>
      <c r="P102" s="0">
        <v>0</v>
      </c>
      <c r="Q102" s="0">
        <v>1</v>
      </c>
      <c r="R102" s="0">
        <v>0</v>
      </c>
      <c r="S102" s="0">
        <v>0</v>
      </c>
      <c r="T102" s="0" t="s">
        <v>34</v>
      </c>
      <c r="U102" s="0" t="s">
        <v>34</v>
      </c>
      <c r="V102" s="0" t="s">
        <v>882</v>
      </c>
      <c r="W102" s="11">
        <f>IF($V102="No","",ROUND((I102*w_Damage + N102*w_Poison + P102*w_Weaken*w_Horizon)*MIN(1+(G102-1)*w_OccEnemy,w_MaxEnemies) + (J102*w_Heal + K102*w_Shield + L102*w_Block + M102*w_Parry + O102*w_Strength*w_Horizon + S102*w_Combo)*MIN(1+(H102-1)*w_OccAlly,w_MaxAllies) + Q102*w_Draw + R102*w_Move,2))</f>
      </c>
      <c r="X102" s="11">
        <f>IF(W102="","",ROUND(W102/MAX(D102,1),2))</f>
      </c>
      <c r="Y102" s="11">
        <f>IF($V102="No","",ROUND((curve_Base+curve_Slope*D102)*IFERROR(VLOOKUP(E102,rarity_Mult,2,FALSE),1),2))</f>
      </c>
      <c r="Z102" s="11">
        <f>IF(OR(W102="",Y102=""),"",ROUND(W102-Y102,2))</f>
      </c>
      <c r="AA102" s="0">
        <f>IF(Z102="","",IF($V102="Partial","RIDER",IF(ABS(Z102)&lt;=Y102*tol_Pct,"OK",IF(Z102&gt;0,"OVER","UNDER"))))</f>
      </c>
      <c r="AB102" s="0" t="s">
        <v>34</v>
      </c>
      <c r="AC102" s="0">
        <f>IF(AND($V102&lt;&gt;"No",$E102="Common",NOT(ISNUMBER(SEARCH("Ideas",$F102)))),$W102,NA())</f>
      </c>
      <c r="AD102" s="0">
        <f>IF(AND($V102&lt;&gt;"No",$E102="Uncommon",NOT(ISNUMBER(SEARCH("Ideas",$F102)))),$W102,NA())</f>
      </c>
      <c r="AE102" s="0">
        <f>IF(AND($V102&lt;&gt;"No",$E102="Rare",NOT(ISNUMBER(SEARCH("Ideas",$F102)))),$W102,NA())</f>
      </c>
      <c r="AF102" s="0">
        <f>IF(AND($V102&lt;&gt;"No",$E102="Legendary",NOT(ISNUMBER(SEARCH("Ideas",$F102)))),$W102,NA())</f>
      </c>
      <c r="AG102" s="0">
        <f>IF(AND($V102&lt;&gt;"No",ISNUMBER(SEARCH("Knight",$C102)),NOT(ISNUMBER(SEARCH("Ideas",$F102)))),$X102,NA())</f>
      </c>
      <c r="AH102" s="0">
        <f>IF(AND($V102&lt;&gt;"No",ISNUMBER(SEARCH("Mage",$C102)),NOT(ISNUMBER(SEARCH("Ideas",$F102)))),$X102,NA())</f>
      </c>
      <c r="AI102" s="0">
        <f>IF(AND($V102&lt;&gt;"No",ISNUMBER(SEARCH("Rogue",$C102)),NOT(ISNUMBER(SEARCH("Ideas",$F102)))),$X102,NA())</f>
      </c>
      <c r="AJ102" s="0">
        <f>IF($V102&lt;&gt;"No",$Y102,NA())</f>
      </c>
      <c r="AK102" s="0">
        <f>IF(AND($V102&lt;&gt;"No",ISNUMBER(SEARCH("Ideas",$F102))),$W102,NA())</f>
      </c>
      <c r="AL102" s="0">
        <f>IF(AND($V102&lt;&gt;"No",ISNUMBER(SEARCH("Cleric",$C102)),NOT(ISNUMBER(SEARCH("Ideas",$F102)))),$X102,NA())</f>
      </c>
    </row>
    <row r="103">
      <c r="A103" s="0" t="s">
        <v>465</v>
      </c>
      <c r="B103" s="0" t="s">
        <v>465</v>
      </c>
      <c r="C103" s="0" t="s">
        <v>446</v>
      </c>
      <c r="D103" s="0">
        <v>1</v>
      </c>
      <c r="E103" s="0" t="s">
        <v>32</v>
      </c>
      <c r="F103" s="0" t="s">
        <v>446</v>
      </c>
      <c r="G103" s="0">
        <v>1</v>
      </c>
      <c r="H103" s="0">
        <v>1</v>
      </c>
      <c r="I103" s="0">
        <v>0</v>
      </c>
      <c r="J103" s="0">
        <v>0</v>
      </c>
      <c r="K103" s="0">
        <v>5</v>
      </c>
      <c r="L103" s="0">
        <v>0</v>
      </c>
      <c r="M103" s="0">
        <v>0</v>
      </c>
      <c r="N103" s="0">
        <v>0</v>
      </c>
      <c r="O103" s="0">
        <v>0</v>
      </c>
      <c r="P103" s="0">
        <v>0</v>
      </c>
      <c r="Q103" s="0">
        <v>0</v>
      </c>
      <c r="R103" s="0">
        <v>0</v>
      </c>
      <c r="S103" s="0">
        <v>0</v>
      </c>
      <c r="T103" s="0" t="s">
        <v>34</v>
      </c>
      <c r="U103" s="0" t="s">
        <v>34</v>
      </c>
      <c r="V103" s="0" t="s">
        <v>882</v>
      </c>
      <c r="W103" s="11">
        <f>IF($V103="No","",ROUND((I103*w_Damage + N103*w_Poison + P103*w_Weaken*w_Horizon)*MIN(1+(G103-1)*w_OccEnemy,w_MaxEnemies) + (J103*w_Heal + K103*w_Shield + L103*w_Block + M103*w_Parry + O103*w_Strength*w_Horizon + S103*w_Combo)*MIN(1+(H103-1)*w_OccAlly,w_MaxAllies) + Q103*w_Draw + R103*w_Move,2))</f>
      </c>
      <c r="X103" s="11">
        <f>IF(W103="","",ROUND(W103/MAX(D103,1),2))</f>
      </c>
      <c r="Y103" s="11">
        <f>IF($V103="No","",ROUND((curve_Base+curve_Slope*D103)*IFERROR(VLOOKUP(E103,rarity_Mult,2,FALSE),1),2))</f>
      </c>
      <c r="Z103" s="11">
        <f>IF(OR(W103="",Y103=""),"",ROUND(W103-Y103,2))</f>
      </c>
      <c r="AA103" s="0">
        <f>IF(Z103="","",IF($V103="Partial","RIDER",IF(ABS(Z103)&lt;=Y103*tol_Pct,"OK",IF(Z103&gt;0,"OVER","UNDER"))))</f>
      </c>
      <c r="AB103" s="0" t="s">
        <v>34</v>
      </c>
      <c r="AC103" s="0">
        <f>IF(AND($V103&lt;&gt;"No",$E103="Common",NOT(ISNUMBER(SEARCH("Ideas",$F103)))),$W103,NA())</f>
      </c>
      <c r="AD103" s="0">
        <f>IF(AND($V103&lt;&gt;"No",$E103="Uncommon",NOT(ISNUMBER(SEARCH("Ideas",$F103)))),$W103,NA())</f>
      </c>
      <c r="AE103" s="0">
        <f>IF(AND($V103&lt;&gt;"No",$E103="Rare",NOT(ISNUMBER(SEARCH("Ideas",$F103)))),$W103,NA())</f>
      </c>
      <c r="AF103" s="0">
        <f>IF(AND($V103&lt;&gt;"No",$E103="Legendary",NOT(ISNUMBER(SEARCH("Ideas",$F103)))),$W103,NA())</f>
      </c>
      <c r="AG103" s="0">
        <f>IF(AND($V103&lt;&gt;"No",ISNUMBER(SEARCH("Knight",$C103)),NOT(ISNUMBER(SEARCH("Ideas",$F103)))),$X103,NA())</f>
      </c>
      <c r="AH103" s="0">
        <f>IF(AND($V103&lt;&gt;"No",ISNUMBER(SEARCH("Mage",$C103)),NOT(ISNUMBER(SEARCH("Ideas",$F103)))),$X103,NA())</f>
      </c>
      <c r="AI103" s="0">
        <f>IF(AND($V103&lt;&gt;"No",ISNUMBER(SEARCH("Rogue",$C103)),NOT(ISNUMBER(SEARCH("Ideas",$F103)))),$X103,NA())</f>
      </c>
      <c r="AJ103" s="0">
        <f>IF($V103&lt;&gt;"No",$Y103,NA())</f>
      </c>
      <c r="AK103" s="0">
        <f>IF(AND($V103&lt;&gt;"No",ISNUMBER(SEARCH("Ideas",$F103))),$W103,NA())</f>
      </c>
      <c r="AL103" s="0">
        <f>IF(AND($V103&lt;&gt;"No",ISNUMBER(SEARCH("Cleric",$C103)),NOT(ISNUMBER(SEARCH("Ideas",$F103)))),$X103,NA())</f>
      </c>
    </row>
    <row r="104">
      <c r="A104" s="0" t="s">
        <v>468</v>
      </c>
      <c r="B104" s="0" t="s">
        <v>468</v>
      </c>
      <c r="C104" s="0" t="s">
        <v>446</v>
      </c>
      <c r="D104" s="0">
        <v>1</v>
      </c>
      <c r="E104" s="0" t="s">
        <v>32</v>
      </c>
      <c r="F104" s="0" t="s">
        <v>446</v>
      </c>
      <c r="G104" s="0">
        <v>1</v>
      </c>
      <c r="H104" s="0">
        <v>1</v>
      </c>
      <c r="I104" s="0">
        <v>0</v>
      </c>
      <c r="J104" s="0">
        <v>0</v>
      </c>
      <c r="K104" s="0">
        <v>0</v>
      </c>
      <c r="L104" s="0">
        <v>0</v>
      </c>
      <c r="M104" s="0">
        <v>0</v>
      </c>
      <c r="N104" s="0">
        <v>0</v>
      </c>
      <c r="O104" s="0">
        <v>0</v>
      </c>
      <c r="P104" s="0">
        <v>0</v>
      </c>
      <c r="Q104" s="0">
        <v>0</v>
      </c>
      <c r="R104" s="0">
        <v>0</v>
      </c>
      <c r="S104" s="0">
        <v>0</v>
      </c>
      <c r="T104" s="0" t="s">
        <v>34</v>
      </c>
      <c r="U104" s="0" t="s">
        <v>1838</v>
      </c>
      <c r="V104" s="0" t="s">
        <v>1407</v>
      </c>
      <c r="W104" s="11">
        <f>IF($V104="No","",ROUND((I104*w_Damage + N104*w_Poison + P104*w_Weaken*w_Horizon)*MIN(1+(G104-1)*w_OccEnemy,w_MaxEnemies) + (J104*w_Heal + K104*w_Shield + L104*w_Block + M104*w_Parry + O104*w_Strength*w_Horizon + S104*w_Combo)*MIN(1+(H104-1)*w_OccAlly,w_MaxAllies) + Q104*w_Draw + R104*w_Move,2))</f>
      </c>
      <c r="X104" s="11">
        <f>IF(W104="","",ROUND(W104/MAX(D104,1),2))</f>
      </c>
      <c r="Y104" s="11">
        <f>IF($V104="No","",ROUND((curve_Base+curve_Slope*D104)*IFERROR(VLOOKUP(E104,rarity_Mult,2,FALSE),1),2))</f>
      </c>
      <c r="Z104" s="11">
        <f>IF(OR(W104="",Y104=""),"",ROUND(W104-Y104,2))</f>
      </c>
      <c r="AA104" s="0">
        <f>IF(Z104="","",IF($V104="Partial","RIDER",IF(ABS(Z104)&lt;=Y104*tol_Pct,"OK",IF(Z104&gt;0,"OVER","UNDER"))))</f>
      </c>
      <c r="AB104" s="0" t="s">
        <v>34</v>
      </c>
      <c r="AC104" s="0">
        <f>IF(AND($V104&lt;&gt;"No",$E104="Common",NOT(ISNUMBER(SEARCH("Ideas",$F104)))),$W104,NA())</f>
      </c>
      <c r="AD104" s="0">
        <f>IF(AND($V104&lt;&gt;"No",$E104="Uncommon",NOT(ISNUMBER(SEARCH("Ideas",$F104)))),$W104,NA())</f>
      </c>
      <c r="AE104" s="0">
        <f>IF(AND($V104&lt;&gt;"No",$E104="Rare",NOT(ISNUMBER(SEARCH("Ideas",$F104)))),$W104,NA())</f>
      </c>
      <c r="AF104" s="0">
        <f>IF(AND($V104&lt;&gt;"No",$E104="Legendary",NOT(ISNUMBER(SEARCH("Ideas",$F104)))),$W104,NA())</f>
      </c>
      <c r="AG104" s="0">
        <f>IF(AND($V104&lt;&gt;"No",ISNUMBER(SEARCH("Knight",$C104)),NOT(ISNUMBER(SEARCH("Ideas",$F104)))),$X104,NA())</f>
      </c>
      <c r="AH104" s="0">
        <f>IF(AND($V104&lt;&gt;"No",ISNUMBER(SEARCH("Mage",$C104)),NOT(ISNUMBER(SEARCH("Ideas",$F104)))),$X104,NA())</f>
      </c>
      <c r="AI104" s="0">
        <f>IF(AND($V104&lt;&gt;"No",ISNUMBER(SEARCH("Rogue",$C104)),NOT(ISNUMBER(SEARCH("Ideas",$F104)))),$X104,NA())</f>
      </c>
      <c r="AJ104" s="0">
        <f>IF($V104&lt;&gt;"No",$Y104,NA())</f>
      </c>
      <c r="AK104" s="0">
        <f>IF(AND($V104&lt;&gt;"No",ISNUMBER(SEARCH("Ideas",$F104))),$W104,NA())</f>
      </c>
      <c r="AL104" s="0">
        <f>IF(AND($V104&lt;&gt;"No",ISNUMBER(SEARCH("Cleric",$C104)),NOT(ISNUMBER(SEARCH("Ideas",$F104)))),$X104,NA())</f>
      </c>
    </row>
    <row r="105">
      <c r="A105" s="0" t="s">
        <v>472</v>
      </c>
      <c r="B105" s="0" t="s">
        <v>472</v>
      </c>
      <c r="C105" s="0" t="s">
        <v>446</v>
      </c>
      <c r="D105" s="0">
        <v>1</v>
      </c>
      <c r="E105" s="0" t="s">
        <v>32</v>
      </c>
      <c r="F105" s="0" t="s">
        <v>446</v>
      </c>
      <c r="G105" s="0">
        <v>1</v>
      </c>
      <c r="H105" s="0">
        <v>1</v>
      </c>
      <c r="I105" s="0">
        <v>0</v>
      </c>
      <c r="J105" s="0">
        <v>0</v>
      </c>
      <c r="K105" s="0">
        <v>0</v>
      </c>
      <c r="L105" s="0">
        <v>0</v>
      </c>
      <c r="M105" s="0">
        <v>0</v>
      </c>
      <c r="N105" s="0">
        <v>0</v>
      </c>
      <c r="O105" s="0">
        <v>0</v>
      </c>
      <c r="P105" s="0">
        <v>0</v>
      </c>
      <c r="Q105" s="0">
        <v>0</v>
      </c>
      <c r="R105" s="0">
        <v>0</v>
      </c>
      <c r="S105" s="0">
        <v>0</v>
      </c>
      <c r="T105" s="0" t="s">
        <v>34</v>
      </c>
      <c r="U105" s="0" t="s">
        <v>34</v>
      </c>
      <c r="V105" s="0" t="s">
        <v>1407</v>
      </c>
      <c r="W105" s="11">
        <f>IF($V105="No","",ROUND((I105*w_Damage + N105*w_Poison + P105*w_Weaken*w_Horizon)*MIN(1+(G105-1)*w_OccEnemy,w_MaxEnemies) + (J105*w_Heal + K105*w_Shield + L105*w_Block + M105*w_Parry + O105*w_Strength*w_Horizon + S105*w_Combo)*MIN(1+(H105-1)*w_OccAlly,w_MaxAllies) + Q105*w_Draw + R105*w_Move,2))</f>
      </c>
      <c r="X105" s="11">
        <f>IF(W105="","",ROUND(W105/MAX(D105,1),2))</f>
      </c>
      <c r="Y105" s="11">
        <f>IF($V105="No","",ROUND((curve_Base+curve_Slope*D105)*IFERROR(VLOOKUP(E105,rarity_Mult,2,FALSE),1),2))</f>
      </c>
      <c r="Z105" s="11">
        <f>IF(OR(W105="",Y105=""),"",ROUND(W105-Y105,2))</f>
      </c>
      <c r="AA105" s="0">
        <f>IF(Z105="","",IF($V105="Partial","RIDER",IF(ABS(Z105)&lt;=Y105*tol_Pct,"OK",IF(Z105&gt;0,"OVER","UNDER"))))</f>
      </c>
      <c r="AB105" s="0" t="s">
        <v>34</v>
      </c>
      <c r="AC105" s="0">
        <f>IF(AND($V105&lt;&gt;"No",$E105="Common",NOT(ISNUMBER(SEARCH("Ideas",$F105)))),$W105,NA())</f>
      </c>
      <c r="AD105" s="0">
        <f>IF(AND($V105&lt;&gt;"No",$E105="Uncommon",NOT(ISNUMBER(SEARCH("Ideas",$F105)))),$W105,NA())</f>
      </c>
      <c r="AE105" s="0">
        <f>IF(AND($V105&lt;&gt;"No",$E105="Rare",NOT(ISNUMBER(SEARCH("Ideas",$F105)))),$W105,NA())</f>
      </c>
      <c r="AF105" s="0">
        <f>IF(AND($V105&lt;&gt;"No",$E105="Legendary",NOT(ISNUMBER(SEARCH("Ideas",$F105)))),$W105,NA())</f>
      </c>
      <c r="AG105" s="0">
        <f>IF(AND($V105&lt;&gt;"No",ISNUMBER(SEARCH("Knight",$C105)),NOT(ISNUMBER(SEARCH("Ideas",$F105)))),$X105,NA())</f>
      </c>
      <c r="AH105" s="0">
        <f>IF(AND($V105&lt;&gt;"No",ISNUMBER(SEARCH("Mage",$C105)),NOT(ISNUMBER(SEARCH("Ideas",$F105)))),$X105,NA())</f>
      </c>
      <c r="AI105" s="0">
        <f>IF(AND($V105&lt;&gt;"No",ISNUMBER(SEARCH("Rogue",$C105)),NOT(ISNUMBER(SEARCH("Ideas",$F105)))),$X105,NA())</f>
      </c>
      <c r="AJ105" s="0">
        <f>IF($V105&lt;&gt;"No",$Y105,NA())</f>
      </c>
      <c r="AK105" s="0">
        <f>IF(AND($V105&lt;&gt;"No",ISNUMBER(SEARCH("Ideas",$F105))),$W105,NA())</f>
      </c>
      <c r="AL105" s="0">
        <f>IF(AND($V105&lt;&gt;"No",ISNUMBER(SEARCH("Cleric",$C105)),NOT(ISNUMBER(SEARCH("Ideas",$F105)))),$X105,NA())</f>
      </c>
    </row>
    <row r="106">
      <c r="A106" s="0" t="s">
        <v>476</v>
      </c>
      <c r="B106" s="0" t="s">
        <v>476</v>
      </c>
      <c r="C106" s="0" t="s">
        <v>446</v>
      </c>
      <c r="D106" s="0">
        <v>1</v>
      </c>
      <c r="E106" s="0" t="s">
        <v>32</v>
      </c>
      <c r="F106" s="0" t="s">
        <v>446</v>
      </c>
      <c r="G106" s="0">
        <v>1</v>
      </c>
      <c r="H106" s="0">
        <v>9</v>
      </c>
      <c r="I106" s="0">
        <v>0</v>
      </c>
      <c r="J106" s="0">
        <v>4</v>
      </c>
      <c r="K106" s="0">
        <v>0</v>
      </c>
      <c r="L106" s="0">
        <v>0</v>
      </c>
      <c r="M106" s="0">
        <v>0</v>
      </c>
      <c r="N106" s="0">
        <v>0</v>
      </c>
      <c r="O106" s="0">
        <v>0</v>
      </c>
      <c r="P106" s="0">
        <v>0</v>
      </c>
      <c r="Q106" s="0">
        <v>1</v>
      </c>
      <c r="R106" s="0">
        <v>0</v>
      </c>
      <c r="S106" s="0">
        <v>0</v>
      </c>
      <c r="T106" s="0" t="s">
        <v>34</v>
      </c>
      <c r="U106" s="0" t="s">
        <v>34</v>
      </c>
      <c r="V106" s="0" t="s">
        <v>882</v>
      </c>
      <c r="W106" s="11">
        <f>IF($V106="No","",ROUND((I106*w_Damage + N106*w_Poison + P106*w_Weaken*w_Horizon)*MIN(1+(G106-1)*w_OccEnemy,w_MaxEnemies) + (J106*w_Heal + K106*w_Shield + L106*w_Block + M106*w_Parry + O106*w_Strength*w_Horizon + S106*w_Combo)*MIN(1+(H106-1)*w_OccAlly,w_MaxAllies) + Q106*w_Draw + R106*w_Move,2))</f>
      </c>
      <c r="X106" s="11">
        <f>IF(W106="","",ROUND(W106/MAX(D106,1),2))</f>
      </c>
      <c r="Y106" s="11">
        <f>IF($V106="No","",ROUND((curve_Base+curve_Slope*D106)*IFERROR(VLOOKUP(E106,rarity_Mult,2,FALSE),1),2))</f>
      </c>
      <c r="Z106" s="11">
        <f>IF(OR(W106="",Y106=""),"",ROUND(W106-Y106,2))</f>
      </c>
      <c r="AA106" s="0">
        <f>IF(Z106="","",IF($V106="Partial","RIDER",IF(ABS(Z106)&lt;=Y106*tol_Pct,"OK",IF(Z106&gt;0,"OVER","UNDER"))))</f>
      </c>
      <c r="AB106" s="0" t="s">
        <v>34</v>
      </c>
      <c r="AC106" s="0">
        <f>IF(AND($V106&lt;&gt;"No",$E106="Common",NOT(ISNUMBER(SEARCH("Ideas",$F106)))),$W106,NA())</f>
      </c>
      <c r="AD106" s="0">
        <f>IF(AND($V106&lt;&gt;"No",$E106="Uncommon",NOT(ISNUMBER(SEARCH("Ideas",$F106)))),$W106,NA())</f>
      </c>
      <c r="AE106" s="0">
        <f>IF(AND($V106&lt;&gt;"No",$E106="Rare",NOT(ISNUMBER(SEARCH("Ideas",$F106)))),$W106,NA())</f>
      </c>
      <c r="AF106" s="0">
        <f>IF(AND($V106&lt;&gt;"No",$E106="Legendary",NOT(ISNUMBER(SEARCH("Ideas",$F106)))),$W106,NA())</f>
      </c>
      <c r="AG106" s="0">
        <f>IF(AND($V106&lt;&gt;"No",ISNUMBER(SEARCH("Knight",$C106)),NOT(ISNUMBER(SEARCH("Ideas",$F106)))),$X106,NA())</f>
      </c>
      <c r="AH106" s="0">
        <f>IF(AND($V106&lt;&gt;"No",ISNUMBER(SEARCH("Mage",$C106)),NOT(ISNUMBER(SEARCH("Ideas",$F106)))),$X106,NA())</f>
      </c>
      <c r="AI106" s="0">
        <f>IF(AND($V106&lt;&gt;"No",ISNUMBER(SEARCH("Rogue",$C106)),NOT(ISNUMBER(SEARCH("Ideas",$F106)))),$X106,NA())</f>
      </c>
      <c r="AJ106" s="0">
        <f>IF($V106&lt;&gt;"No",$Y106,NA())</f>
      </c>
      <c r="AK106" s="0">
        <f>IF(AND($V106&lt;&gt;"No",ISNUMBER(SEARCH("Ideas",$F106))),$W106,NA())</f>
      </c>
      <c r="AL106" s="0">
        <f>IF(AND($V106&lt;&gt;"No",ISNUMBER(SEARCH("Cleric",$C106)),NOT(ISNUMBER(SEARCH("Ideas",$F106)))),$X106,NA())</f>
      </c>
    </row>
    <row r="107">
      <c r="A107" s="0" t="s">
        <v>480</v>
      </c>
      <c r="B107" s="0" t="s">
        <v>480</v>
      </c>
      <c r="C107" s="0" t="s">
        <v>446</v>
      </c>
      <c r="D107" s="0">
        <v>1</v>
      </c>
      <c r="E107" s="0" t="s">
        <v>81</v>
      </c>
      <c r="F107" s="0" t="s">
        <v>446</v>
      </c>
      <c r="G107" s="0">
        <v>1</v>
      </c>
      <c r="H107" s="0">
        <v>1</v>
      </c>
      <c r="I107" s="0">
        <v>0</v>
      </c>
      <c r="J107" s="0">
        <v>0</v>
      </c>
      <c r="K107" s="0">
        <v>0</v>
      </c>
      <c r="L107" s="0">
        <v>0</v>
      </c>
      <c r="M107" s="0">
        <v>0</v>
      </c>
      <c r="N107" s="0">
        <v>0</v>
      </c>
      <c r="O107" s="0">
        <v>0</v>
      </c>
      <c r="P107" s="0">
        <v>0</v>
      </c>
      <c r="Q107" s="0">
        <v>0</v>
      </c>
      <c r="R107" s="0">
        <v>0</v>
      </c>
      <c r="S107" s="0">
        <v>0</v>
      </c>
      <c r="T107" s="0" t="s">
        <v>34</v>
      </c>
      <c r="U107" s="0" t="s">
        <v>34</v>
      </c>
      <c r="V107" s="0" t="s">
        <v>1407</v>
      </c>
      <c r="W107" s="11">
        <f>IF($V107="No","",ROUND((I107*w_Damage + N107*w_Poison + P107*w_Weaken*w_Horizon)*MIN(1+(G107-1)*w_OccEnemy,w_MaxEnemies) + (J107*w_Heal + K107*w_Shield + L107*w_Block + M107*w_Parry + O107*w_Strength*w_Horizon + S107*w_Combo)*MIN(1+(H107-1)*w_OccAlly,w_MaxAllies) + Q107*w_Draw + R107*w_Move,2))</f>
      </c>
      <c r="X107" s="11">
        <f>IF(W107="","",ROUND(W107/MAX(D107,1),2))</f>
      </c>
      <c r="Y107" s="11">
        <f>IF($V107="No","",ROUND((curve_Base+curve_Slope*D107)*IFERROR(VLOOKUP(E107,rarity_Mult,2,FALSE),1),2))</f>
      </c>
      <c r="Z107" s="11">
        <f>IF(OR(W107="",Y107=""),"",ROUND(W107-Y107,2))</f>
      </c>
      <c r="AA107" s="0">
        <f>IF(Z107="","",IF($V107="Partial","RIDER",IF(ABS(Z107)&lt;=Y107*tol_Pct,"OK",IF(Z107&gt;0,"OVER","UNDER"))))</f>
      </c>
      <c r="AB107" s="0" t="s">
        <v>34</v>
      </c>
      <c r="AC107" s="0">
        <f>IF(AND($V107&lt;&gt;"No",$E107="Common",NOT(ISNUMBER(SEARCH("Ideas",$F107)))),$W107,NA())</f>
      </c>
      <c r="AD107" s="0">
        <f>IF(AND($V107&lt;&gt;"No",$E107="Uncommon",NOT(ISNUMBER(SEARCH("Ideas",$F107)))),$W107,NA())</f>
      </c>
      <c r="AE107" s="0">
        <f>IF(AND($V107&lt;&gt;"No",$E107="Rare",NOT(ISNUMBER(SEARCH("Ideas",$F107)))),$W107,NA())</f>
      </c>
      <c r="AF107" s="0">
        <f>IF(AND($V107&lt;&gt;"No",$E107="Legendary",NOT(ISNUMBER(SEARCH("Ideas",$F107)))),$W107,NA())</f>
      </c>
      <c r="AG107" s="0">
        <f>IF(AND($V107&lt;&gt;"No",ISNUMBER(SEARCH("Knight",$C107)),NOT(ISNUMBER(SEARCH("Ideas",$F107)))),$X107,NA())</f>
      </c>
      <c r="AH107" s="0">
        <f>IF(AND($V107&lt;&gt;"No",ISNUMBER(SEARCH("Mage",$C107)),NOT(ISNUMBER(SEARCH("Ideas",$F107)))),$X107,NA())</f>
      </c>
      <c r="AI107" s="0">
        <f>IF(AND($V107&lt;&gt;"No",ISNUMBER(SEARCH("Rogue",$C107)),NOT(ISNUMBER(SEARCH("Ideas",$F107)))),$X107,NA())</f>
      </c>
      <c r="AJ107" s="0">
        <f>IF($V107&lt;&gt;"No",$Y107,NA())</f>
      </c>
      <c r="AK107" s="0">
        <f>IF(AND($V107&lt;&gt;"No",ISNUMBER(SEARCH("Ideas",$F107))),$W107,NA())</f>
      </c>
      <c r="AL107" s="0">
        <f>IF(AND($V107&lt;&gt;"No",ISNUMBER(SEARCH("Cleric",$C107)),NOT(ISNUMBER(SEARCH("Ideas",$F107)))),$X107,NA())</f>
      </c>
    </row>
    <row r="108">
      <c r="A108" s="0" t="s">
        <v>484</v>
      </c>
      <c r="B108" s="0" t="s">
        <v>484</v>
      </c>
      <c r="C108" s="0" t="s">
        <v>446</v>
      </c>
      <c r="D108" s="0">
        <v>1</v>
      </c>
      <c r="E108" s="0" t="s">
        <v>32</v>
      </c>
      <c r="F108" s="0" t="s">
        <v>446</v>
      </c>
      <c r="G108" s="0">
        <v>1</v>
      </c>
      <c r="H108" s="0">
        <v>1</v>
      </c>
      <c r="I108" s="0">
        <v>0</v>
      </c>
      <c r="J108" s="0">
        <v>7</v>
      </c>
      <c r="K108" s="0">
        <v>0</v>
      </c>
      <c r="L108" s="0">
        <v>0</v>
      </c>
      <c r="M108" s="0">
        <v>0</v>
      </c>
      <c r="N108" s="0">
        <v>0</v>
      </c>
      <c r="O108" s="0">
        <v>0</v>
      </c>
      <c r="P108" s="0">
        <v>0</v>
      </c>
      <c r="Q108" s="0">
        <v>1</v>
      </c>
      <c r="R108" s="0">
        <v>0</v>
      </c>
      <c r="S108" s="0">
        <v>0</v>
      </c>
      <c r="T108" s="0" t="s">
        <v>34</v>
      </c>
      <c r="U108" s="0" t="s">
        <v>34</v>
      </c>
      <c r="V108" s="0" t="s">
        <v>882</v>
      </c>
      <c r="W108" s="11">
        <f>IF($V108="No","",ROUND((I108*w_Damage + N108*w_Poison + P108*w_Weaken*w_Horizon)*MIN(1+(G108-1)*w_OccEnemy,w_MaxEnemies) + (J108*w_Heal + K108*w_Shield + L108*w_Block + M108*w_Parry + O108*w_Strength*w_Horizon + S108*w_Combo)*MIN(1+(H108-1)*w_OccAlly,w_MaxAllies) + Q108*w_Draw + R108*w_Move,2))</f>
      </c>
      <c r="X108" s="11">
        <f>IF(W108="","",ROUND(W108/MAX(D108,1),2))</f>
      </c>
      <c r="Y108" s="11">
        <f>IF($V108="No","",ROUND((curve_Base+curve_Slope*D108)*IFERROR(VLOOKUP(E108,rarity_Mult,2,FALSE),1),2))</f>
      </c>
      <c r="Z108" s="11">
        <f>IF(OR(W108="",Y108=""),"",ROUND(W108-Y108,2))</f>
      </c>
      <c r="AA108" s="0">
        <f>IF(Z108="","",IF($V108="Partial","RIDER",IF(ABS(Z108)&lt;=Y108*tol_Pct,"OK",IF(Z108&gt;0,"OVER","UNDER"))))</f>
      </c>
      <c r="AB108" s="0" t="s">
        <v>34</v>
      </c>
      <c r="AC108" s="0">
        <f>IF(AND($V108&lt;&gt;"No",$E108="Common",NOT(ISNUMBER(SEARCH("Ideas",$F108)))),$W108,NA())</f>
      </c>
      <c r="AD108" s="0">
        <f>IF(AND($V108&lt;&gt;"No",$E108="Uncommon",NOT(ISNUMBER(SEARCH("Ideas",$F108)))),$W108,NA())</f>
      </c>
      <c r="AE108" s="0">
        <f>IF(AND($V108&lt;&gt;"No",$E108="Rare",NOT(ISNUMBER(SEARCH("Ideas",$F108)))),$W108,NA())</f>
      </c>
      <c r="AF108" s="0">
        <f>IF(AND($V108&lt;&gt;"No",$E108="Legendary",NOT(ISNUMBER(SEARCH("Ideas",$F108)))),$W108,NA())</f>
      </c>
      <c r="AG108" s="0">
        <f>IF(AND($V108&lt;&gt;"No",ISNUMBER(SEARCH("Knight",$C108)),NOT(ISNUMBER(SEARCH("Ideas",$F108)))),$X108,NA())</f>
      </c>
      <c r="AH108" s="0">
        <f>IF(AND($V108&lt;&gt;"No",ISNUMBER(SEARCH("Mage",$C108)),NOT(ISNUMBER(SEARCH("Ideas",$F108)))),$X108,NA())</f>
      </c>
      <c r="AI108" s="0">
        <f>IF(AND($V108&lt;&gt;"No",ISNUMBER(SEARCH("Rogue",$C108)),NOT(ISNUMBER(SEARCH("Ideas",$F108)))),$X108,NA())</f>
      </c>
      <c r="AJ108" s="0">
        <f>IF($V108&lt;&gt;"No",$Y108,NA())</f>
      </c>
      <c r="AK108" s="0">
        <f>IF(AND($V108&lt;&gt;"No",ISNUMBER(SEARCH("Ideas",$F108))),$W108,NA())</f>
      </c>
      <c r="AL108" s="0">
        <f>IF(AND($V108&lt;&gt;"No",ISNUMBER(SEARCH("Cleric",$C108)),NOT(ISNUMBER(SEARCH("Ideas",$F108)))),$X108,NA())</f>
      </c>
    </row>
    <row r="109">
      <c r="A109" s="0" t="s">
        <v>491</v>
      </c>
      <c r="B109" s="0" t="s">
        <v>488</v>
      </c>
      <c r="C109" s="0" t="s">
        <v>446</v>
      </c>
      <c r="D109" s="0">
        <v>1</v>
      </c>
      <c r="E109" s="0" t="s">
        <v>32</v>
      </c>
      <c r="F109" s="0" t="s">
        <v>446</v>
      </c>
      <c r="G109" s="0">
        <v>1</v>
      </c>
      <c r="H109" s="0">
        <v>1</v>
      </c>
      <c r="I109" s="0">
        <v>0</v>
      </c>
      <c r="J109" s="0">
        <v>10</v>
      </c>
      <c r="K109" s="0">
        <v>0</v>
      </c>
      <c r="L109" s="0">
        <v>0</v>
      </c>
      <c r="M109" s="0">
        <v>0</v>
      </c>
      <c r="N109" s="0">
        <v>0</v>
      </c>
      <c r="O109" s="0">
        <v>0</v>
      </c>
      <c r="P109" s="0">
        <v>0</v>
      </c>
      <c r="Q109" s="0">
        <v>0</v>
      </c>
      <c r="R109" s="0">
        <v>0</v>
      </c>
      <c r="S109" s="0">
        <v>0</v>
      </c>
      <c r="T109" s="0" t="s">
        <v>34</v>
      </c>
      <c r="U109" s="0" t="s">
        <v>34</v>
      </c>
      <c r="V109" s="0" t="s">
        <v>882</v>
      </c>
      <c r="W109" s="11">
        <f>IF($V109="No","",ROUND((I109*w_Damage + N109*w_Poison + P109*w_Weaken*w_Horizon)*MIN(1+(G109-1)*w_OccEnemy,w_MaxEnemies) + (J109*w_Heal + K109*w_Shield + L109*w_Block + M109*w_Parry + O109*w_Strength*w_Horizon + S109*w_Combo)*MIN(1+(H109-1)*w_OccAlly,w_MaxAllies) + Q109*w_Draw + R109*w_Move,2))</f>
      </c>
      <c r="X109" s="11">
        <f>IF(W109="","",ROUND(W109/MAX(D109,1),2))</f>
      </c>
      <c r="Y109" s="11">
        <f>IF($V109="No","",ROUND((curve_Base+curve_Slope*D109)*IFERROR(VLOOKUP(E109,rarity_Mult,2,FALSE),1),2))</f>
      </c>
      <c r="Z109" s="11">
        <f>IF(OR(W109="",Y109=""),"",ROUND(W109-Y109,2))</f>
      </c>
      <c r="AA109" s="0">
        <f>IF(Z109="","",IF($V109="Partial","RIDER",IF(ABS(Z109)&lt;=Y109*tol_Pct,"OK",IF(Z109&gt;0,"OVER","UNDER"))))</f>
      </c>
      <c r="AB109" s="0" t="s">
        <v>34</v>
      </c>
      <c r="AC109" s="0">
        <f>IF(AND($V109&lt;&gt;"No",$E109="Common",NOT(ISNUMBER(SEARCH("Ideas",$F109)))),$W109,NA())</f>
      </c>
      <c r="AD109" s="0">
        <f>IF(AND($V109&lt;&gt;"No",$E109="Uncommon",NOT(ISNUMBER(SEARCH("Ideas",$F109)))),$W109,NA())</f>
      </c>
      <c r="AE109" s="0">
        <f>IF(AND($V109&lt;&gt;"No",$E109="Rare",NOT(ISNUMBER(SEARCH("Ideas",$F109)))),$W109,NA())</f>
      </c>
      <c r="AF109" s="0">
        <f>IF(AND($V109&lt;&gt;"No",$E109="Legendary",NOT(ISNUMBER(SEARCH("Ideas",$F109)))),$W109,NA())</f>
      </c>
      <c r="AG109" s="0">
        <f>IF(AND($V109&lt;&gt;"No",ISNUMBER(SEARCH("Knight",$C109)),NOT(ISNUMBER(SEARCH("Ideas",$F109)))),$X109,NA())</f>
      </c>
      <c r="AH109" s="0">
        <f>IF(AND($V109&lt;&gt;"No",ISNUMBER(SEARCH("Mage",$C109)),NOT(ISNUMBER(SEARCH("Ideas",$F109)))),$X109,NA())</f>
      </c>
      <c r="AI109" s="0">
        <f>IF(AND($V109&lt;&gt;"No",ISNUMBER(SEARCH("Rogue",$C109)),NOT(ISNUMBER(SEARCH("Ideas",$F109)))),$X109,NA())</f>
      </c>
      <c r="AJ109" s="0">
        <f>IF($V109&lt;&gt;"No",$Y109,NA())</f>
      </c>
      <c r="AK109" s="0">
        <f>IF(AND($V109&lt;&gt;"No",ISNUMBER(SEARCH("Ideas",$F109))),$W109,NA())</f>
      </c>
      <c r="AL109" s="0">
        <f>IF(AND($V109&lt;&gt;"No",ISNUMBER(SEARCH("Cleric",$C109)),NOT(ISNUMBER(SEARCH("Ideas",$F109)))),$X109,NA())</f>
      </c>
    </row>
    <row r="110">
      <c r="A110" s="0" t="s">
        <v>493</v>
      </c>
      <c r="B110" s="0" t="s">
        <v>493</v>
      </c>
      <c r="C110" s="0" t="s">
        <v>446</v>
      </c>
      <c r="D110" s="0">
        <v>1</v>
      </c>
      <c r="E110" s="0" t="s">
        <v>32</v>
      </c>
      <c r="F110" s="0" t="s">
        <v>446</v>
      </c>
      <c r="G110" s="0">
        <v>1</v>
      </c>
      <c r="H110" s="0">
        <v>1</v>
      </c>
      <c r="I110" s="0">
        <v>0</v>
      </c>
      <c r="J110" s="0">
        <v>7</v>
      </c>
      <c r="K110" s="0">
        <v>0</v>
      </c>
      <c r="L110" s="0">
        <v>0</v>
      </c>
      <c r="M110" s="0">
        <v>0</v>
      </c>
      <c r="N110" s="0">
        <v>0</v>
      </c>
      <c r="O110" s="0">
        <v>0</v>
      </c>
      <c r="P110" s="0">
        <v>0</v>
      </c>
      <c r="Q110" s="0">
        <v>1</v>
      </c>
      <c r="R110" s="0">
        <v>0</v>
      </c>
      <c r="S110" s="0">
        <v>0</v>
      </c>
      <c r="T110" s="0" t="s">
        <v>34</v>
      </c>
      <c r="U110" s="0" t="s">
        <v>34</v>
      </c>
      <c r="V110" s="0" t="s">
        <v>882</v>
      </c>
      <c r="W110" s="11">
        <f>IF($V110="No","",ROUND((I110*w_Damage + N110*w_Poison + P110*w_Weaken*w_Horizon)*MIN(1+(G110-1)*w_OccEnemy,w_MaxEnemies) + (J110*w_Heal + K110*w_Shield + L110*w_Block + M110*w_Parry + O110*w_Strength*w_Horizon + S110*w_Combo)*MIN(1+(H110-1)*w_OccAlly,w_MaxAllies) + Q110*w_Draw + R110*w_Move,2))</f>
      </c>
      <c r="X110" s="11">
        <f>IF(W110="","",ROUND(W110/MAX(D110,1),2))</f>
      </c>
      <c r="Y110" s="11">
        <f>IF($V110="No","",ROUND((curve_Base+curve_Slope*D110)*IFERROR(VLOOKUP(E110,rarity_Mult,2,FALSE),1),2))</f>
      </c>
      <c r="Z110" s="11">
        <f>IF(OR(W110="",Y110=""),"",ROUND(W110-Y110,2))</f>
      </c>
      <c r="AA110" s="0">
        <f>IF(Z110="","",IF($V110="Partial","RIDER",IF(ABS(Z110)&lt;=Y110*tol_Pct,"OK",IF(Z110&gt;0,"OVER","UNDER"))))</f>
      </c>
      <c r="AB110" s="0" t="s">
        <v>34</v>
      </c>
      <c r="AC110" s="0">
        <f>IF(AND($V110&lt;&gt;"No",$E110="Common",NOT(ISNUMBER(SEARCH("Ideas",$F110)))),$W110,NA())</f>
      </c>
      <c r="AD110" s="0">
        <f>IF(AND($V110&lt;&gt;"No",$E110="Uncommon",NOT(ISNUMBER(SEARCH("Ideas",$F110)))),$W110,NA())</f>
      </c>
      <c r="AE110" s="0">
        <f>IF(AND($V110&lt;&gt;"No",$E110="Rare",NOT(ISNUMBER(SEARCH("Ideas",$F110)))),$W110,NA())</f>
      </c>
      <c r="AF110" s="0">
        <f>IF(AND($V110&lt;&gt;"No",$E110="Legendary",NOT(ISNUMBER(SEARCH("Ideas",$F110)))),$W110,NA())</f>
      </c>
      <c r="AG110" s="0">
        <f>IF(AND($V110&lt;&gt;"No",ISNUMBER(SEARCH("Knight",$C110)),NOT(ISNUMBER(SEARCH("Ideas",$F110)))),$X110,NA())</f>
      </c>
      <c r="AH110" s="0">
        <f>IF(AND($V110&lt;&gt;"No",ISNUMBER(SEARCH("Mage",$C110)),NOT(ISNUMBER(SEARCH("Ideas",$F110)))),$X110,NA())</f>
      </c>
      <c r="AI110" s="0">
        <f>IF(AND($V110&lt;&gt;"No",ISNUMBER(SEARCH("Rogue",$C110)),NOT(ISNUMBER(SEARCH("Ideas",$F110)))),$X110,NA())</f>
      </c>
      <c r="AJ110" s="0">
        <f>IF($V110&lt;&gt;"No",$Y110,NA())</f>
      </c>
      <c r="AK110" s="0">
        <f>IF(AND($V110&lt;&gt;"No",ISNUMBER(SEARCH("Ideas",$F110))),$W110,NA())</f>
      </c>
      <c r="AL110" s="0">
        <f>IF(AND($V110&lt;&gt;"No",ISNUMBER(SEARCH("Cleric",$C110)),NOT(ISNUMBER(SEARCH("Ideas",$F110)))),$X110,NA())</f>
      </c>
    </row>
    <row r="111">
      <c r="A111" s="0" t="s">
        <v>496</v>
      </c>
      <c r="B111" s="0" t="s">
        <v>496</v>
      </c>
      <c r="C111" s="0" t="s">
        <v>446</v>
      </c>
      <c r="D111" s="0">
        <v>1</v>
      </c>
      <c r="E111" s="0" t="s">
        <v>32</v>
      </c>
      <c r="F111" s="0" t="s">
        <v>446</v>
      </c>
      <c r="G111" s="0">
        <v>1</v>
      </c>
      <c r="H111" s="0">
        <v>9</v>
      </c>
      <c r="I111" s="0">
        <v>7</v>
      </c>
      <c r="J111" s="0">
        <v>4</v>
      </c>
      <c r="K111" s="0">
        <v>0</v>
      </c>
      <c r="L111" s="0">
        <v>0</v>
      </c>
      <c r="M111" s="0">
        <v>0</v>
      </c>
      <c r="N111" s="0">
        <v>0</v>
      </c>
      <c r="O111" s="0">
        <v>0</v>
      </c>
      <c r="P111" s="0">
        <v>0</v>
      </c>
      <c r="Q111" s="0">
        <v>0</v>
      </c>
      <c r="R111" s="0">
        <v>0</v>
      </c>
      <c r="S111" s="0">
        <v>0</v>
      </c>
      <c r="T111" s="0" t="s">
        <v>34</v>
      </c>
      <c r="U111" s="0" t="s">
        <v>34</v>
      </c>
      <c r="V111" s="0" t="s">
        <v>882</v>
      </c>
      <c r="W111" s="11">
        <f>IF($V111="No","",ROUND((I111*w_Damage + N111*w_Poison + P111*w_Weaken*w_Horizon)*MIN(1+(G111-1)*w_OccEnemy,w_MaxEnemies) + (J111*w_Heal + K111*w_Shield + L111*w_Block + M111*w_Parry + O111*w_Strength*w_Horizon + S111*w_Combo)*MIN(1+(H111-1)*w_OccAlly,w_MaxAllies) + Q111*w_Draw + R111*w_Move,2))</f>
      </c>
      <c r="X111" s="11">
        <f>IF(W111="","",ROUND(W111/MAX(D111,1),2))</f>
      </c>
      <c r="Y111" s="11">
        <f>IF($V111="No","",ROUND((curve_Base+curve_Slope*D111)*IFERROR(VLOOKUP(E111,rarity_Mult,2,FALSE),1),2))</f>
      </c>
      <c r="Z111" s="11">
        <f>IF(OR(W111="",Y111=""),"",ROUND(W111-Y111,2))</f>
      </c>
      <c r="AA111" s="0">
        <f>IF(Z111="","",IF($V111="Partial","RIDER",IF(ABS(Z111)&lt;=Y111*tol_Pct,"OK",IF(Z111&gt;0,"OVER","UNDER"))))</f>
      </c>
      <c r="AB111" s="0" t="s">
        <v>34</v>
      </c>
      <c r="AC111" s="0">
        <f>IF(AND($V111&lt;&gt;"No",$E111="Common",NOT(ISNUMBER(SEARCH("Ideas",$F111)))),$W111,NA())</f>
      </c>
      <c r="AD111" s="0">
        <f>IF(AND($V111&lt;&gt;"No",$E111="Uncommon",NOT(ISNUMBER(SEARCH("Ideas",$F111)))),$W111,NA())</f>
      </c>
      <c r="AE111" s="0">
        <f>IF(AND($V111&lt;&gt;"No",$E111="Rare",NOT(ISNUMBER(SEARCH("Ideas",$F111)))),$W111,NA())</f>
      </c>
      <c r="AF111" s="0">
        <f>IF(AND($V111&lt;&gt;"No",$E111="Legendary",NOT(ISNUMBER(SEARCH("Ideas",$F111)))),$W111,NA())</f>
      </c>
      <c r="AG111" s="0">
        <f>IF(AND($V111&lt;&gt;"No",ISNUMBER(SEARCH("Knight",$C111)),NOT(ISNUMBER(SEARCH("Ideas",$F111)))),$X111,NA())</f>
      </c>
      <c r="AH111" s="0">
        <f>IF(AND($V111&lt;&gt;"No",ISNUMBER(SEARCH("Mage",$C111)),NOT(ISNUMBER(SEARCH("Ideas",$F111)))),$X111,NA())</f>
      </c>
      <c r="AI111" s="0">
        <f>IF(AND($V111&lt;&gt;"No",ISNUMBER(SEARCH("Rogue",$C111)),NOT(ISNUMBER(SEARCH("Ideas",$F111)))),$X111,NA())</f>
      </c>
      <c r="AJ111" s="0">
        <f>IF($V111&lt;&gt;"No",$Y111,NA())</f>
      </c>
      <c r="AK111" s="0">
        <f>IF(AND($V111&lt;&gt;"No",ISNUMBER(SEARCH("Ideas",$F111))),$W111,NA())</f>
      </c>
      <c r="AL111" s="0">
        <f>IF(AND($V111&lt;&gt;"No",ISNUMBER(SEARCH("Cleric",$C111)),NOT(ISNUMBER(SEARCH("Ideas",$F111)))),$X111,NA())</f>
      </c>
    </row>
    <row r="112">
      <c r="A112" s="0" t="s">
        <v>499</v>
      </c>
      <c r="B112" s="0" t="s">
        <v>499</v>
      </c>
      <c r="C112" s="0" t="s">
        <v>446</v>
      </c>
      <c r="D112" s="0">
        <v>1</v>
      </c>
      <c r="E112" s="0" t="s">
        <v>81</v>
      </c>
      <c r="F112" s="0" t="s">
        <v>446</v>
      </c>
      <c r="G112" s="0">
        <v>1</v>
      </c>
      <c r="H112" s="0">
        <v>1</v>
      </c>
      <c r="I112" s="0">
        <v>0</v>
      </c>
      <c r="J112" s="0">
        <v>5</v>
      </c>
      <c r="K112" s="0">
        <v>0</v>
      </c>
      <c r="L112" s="0">
        <v>0</v>
      </c>
      <c r="M112" s="0">
        <v>0</v>
      </c>
      <c r="N112" s="0">
        <v>0</v>
      </c>
      <c r="O112" s="0">
        <v>0</v>
      </c>
      <c r="P112" s="0">
        <v>0</v>
      </c>
      <c r="Q112" s="0">
        <v>0</v>
      </c>
      <c r="R112" s="0">
        <v>0</v>
      </c>
      <c r="S112" s="0">
        <v>0</v>
      </c>
      <c r="T112" s="0" t="s">
        <v>34</v>
      </c>
      <c r="U112" s="0" t="s">
        <v>34</v>
      </c>
      <c r="V112" s="0" t="s">
        <v>882</v>
      </c>
      <c r="W112" s="11">
        <f>IF($V112="No","",ROUND((I112*w_Damage + N112*w_Poison + P112*w_Weaken*w_Horizon)*MIN(1+(G112-1)*w_OccEnemy,w_MaxEnemies) + (J112*w_Heal + K112*w_Shield + L112*w_Block + M112*w_Parry + O112*w_Strength*w_Horizon + S112*w_Combo)*MIN(1+(H112-1)*w_OccAlly,w_MaxAllies) + Q112*w_Draw + R112*w_Move,2))</f>
      </c>
      <c r="X112" s="11">
        <f>IF(W112="","",ROUND(W112/MAX(D112,1),2))</f>
      </c>
      <c r="Y112" s="11">
        <f>IF($V112="No","",ROUND((curve_Base+curve_Slope*D112)*IFERROR(VLOOKUP(E112,rarity_Mult,2,FALSE),1),2))</f>
      </c>
      <c r="Z112" s="11">
        <f>IF(OR(W112="",Y112=""),"",ROUND(W112-Y112,2))</f>
      </c>
      <c r="AA112" s="0">
        <f>IF(Z112="","",IF($V112="Partial","RIDER",IF(ABS(Z112)&lt;=Y112*tol_Pct,"OK",IF(Z112&gt;0,"OVER","UNDER"))))</f>
      </c>
      <c r="AB112" s="0" t="s">
        <v>34</v>
      </c>
      <c r="AC112" s="0">
        <f>IF(AND($V112&lt;&gt;"No",$E112="Common",NOT(ISNUMBER(SEARCH("Ideas",$F112)))),$W112,NA())</f>
      </c>
      <c r="AD112" s="0">
        <f>IF(AND($V112&lt;&gt;"No",$E112="Uncommon",NOT(ISNUMBER(SEARCH("Ideas",$F112)))),$W112,NA())</f>
      </c>
      <c r="AE112" s="0">
        <f>IF(AND($V112&lt;&gt;"No",$E112="Rare",NOT(ISNUMBER(SEARCH("Ideas",$F112)))),$W112,NA())</f>
      </c>
      <c r="AF112" s="0">
        <f>IF(AND($V112&lt;&gt;"No",$E112="Legendary",NOT(ISNUMBER(SEARCH("Ideas",$F112)))),$W112,NA())</f>
      </c>
      <c r="AG112" s="0">
        <f>IF(AND($V112&lt;&gt;"No",ISNUMBER(SEARCH("Knight",$C112)),NOT(ISNUMBER(SEARCH("Ideas",$F112)))),$X112,NA())</f>
      </c>
      <c r="AH112" s="0">
        <f>IF(AND($V112&lt;&gt;"No",ISNUMBER(SEARCH("Mage",$C112)),NOT(ISNUMBER(SEARCH("Ideas",$F112)))),$X112,NA())</f>
      </c>
      <c r="AI112" s="0">
        <f>IF(AND($V112&lt;&gt;"No",ISNUMBER(SEARCH("Rogue",$C112)),NOT(ISNUMBER(SEARCH("Ideas",$F112)))),$X112,NA())</f>
      </c>
      <c r="AJ112" s="0">
        <f>IF($V112&lt;&gt;"No",$Y112,NA())</f>
      </c>
      <c r="AK112" s="0">
        <f>IF(AND($V112&lt;&gt;"No",ISNUMBER(SEARCH("Ideas",$F112))),$W112,NA())</f>
      </c>
      <c r="AL112" s="0">
        <f>IF(AND($V112&lt;&gt;"No",ISNUMBER(SEARCH("Cleric",$C112)),NOT(ISNUMBER(SEARCH("Ideas",$F112)))),$X112,NA())</f>
      </c>
    </row>
    <row r="113">
      <c r="A113" s="0" t="s">
        <v>502</v>
      </c>
      <c r="B113" s="0" t="s">
        <v>502</v>
      </c>
      <c r="C113" s="0" t="s">
        <v>446</v>
      </c>
      <c r="D113" s="0">
        <v>1</v>
      </c>
      <c r="E113" s="0" t="s">
        <v>32</v>
      </c>
      <c r="F113" s="0" t="s">
        <v>446</v>
      </c>
      <c r="G113" s="0">
        <v>1</v>
      </c>
      <c r="H113" s="0">
        <v>1</v>
      </c>
      <c r="I113" s="0">
        <v>8</v>
      </c>
      <c r="J113" s="0">
        <v>3</v>
      </c>
      <c r="K113" s="0">
        <v>0</v>
      </c>
      <c r="L113" s="0">
        <v>0</v>
      </c>
      <c r="M113" s="0">
        <v>0</v>
      </c>
      <c r="N113" s="0">
        <v>0</v>
      </c>
      <c r="O113" s="0">
        <v>0</v>
      </c>
      <c r="P113" s="0">
        <v>0</v>
      </c>
      <c r="Q113" s="0">
        <v>0</v>
      </c>
      <c r="R113" s="0">
        <v>0</v>
      </c>
      <c r="S113" s="0">
        <v>0</v>
      </c>
      <c r="T113" s="0" t="s">
        <v>34</v>
      </c>
      <c r="U113" s="0" t="s">
        <v>34</v>
      </c>
      <c r="V113" s="0" t="s">
        <v>882</v>
      </c>
      <c r="W113" s="11">
        <f>IF($V113="No","",ROUND((I113*w_Damage + N113*w_Poison + P113*w_Weaken*w_Horizon)*MIN(1+(G113-1)*w_OccEnemy,w_MaxEnemies) + (J113*w_Heal + K113*w_Shield + L113*w_Block + M113*w_Parry + O113*w_Strength*w_Horizon + S113*w_Combo)*MIN(1+(H113-1)*w_OccAlly,w_MaxAllies) + Q113*w_Draw + R113*w_Move,2))</f>
      </c>
      <c r="X113" s="11">
        <f>IF(W113="","",ROUND(W113/MAX(D113,1),2))</f>
      </c>
      <c r="Y113" s="11">
        <f>IF($V113="No","",ROUND((curve_Base+curve_Slope*D113)*IFERROR(VLOOKUP(E113,rarity_Mult,2,FALSE),1),2))</f>
      </c>
      <c r="Z113" s="11">
        <f>IF(OR(W113="",Y113=""),"",ROUND(W113-Y113,2))</f>
      </c>
      <c r="AA113" s="0">
        <f>IF(Z113="","",IF($V113="Partial","RIDER",IF(ABS(Z113)&lt;=Y113*tol_Pct,"OK",IF(Z113&gt;0,"OVER","UNDER"))))</f>
      </c>
      <c r="AB113" s="0" t="s">
        <v>34</v>
      </c>
      <c r="AC113" s="0">
        <f>IF(AND($V113&lt;&gt;"No",$E113="Common",NOT(ISNUMBER(SEARCH("Ideas",$F113)))),$W113,NA())</f>
      </c>
      <c r="AD113" s="0">
        <f>IF(AND($V113&lt;&gt;"No",$E113="Uncommon",NOT(ISNUMBER(SEARCH("Ideas",$F113)))),$W113,NA())</f>
      </c>
      <c r="AE113" s="0">
        <f>IF(AND($V113&lt;&gt;"No",$E113="Rare",NOT(ISNUMBER(SEARCH("Ideas",$F113)))),$W113,NA())</f>
      </c>
      <c r="AF113" s="0">
        <f>IF(AND($V113&lt;&gt;"No",$E113="Legendary",NOT(ISNUMBER(SEARCH("Ideas",$F113)))),$W113,NA())</f>
      </c>
      <c r="AG113" s="0">
        <f>IF(AND($V113&lt;&gt;"No",ISNUMBER(SEARCH("Knight",$C113)),NOT(ISNUMBER(SEARCH("Ideas",$F113)))),$X113,NA())</f>
      </c>
      <c r="AH113" s="0">
        <f>IF(AND($V113&lt;&gt;"No",ISNUMBER(SEARCH("Mage",$C113)),NOT(ISNUMBER(SEARCH("Ideas",$F113)))),$X113,NA())</f>
      </c>
      <c r="AI113" s="0">
        <f>IF(AND($V113&lt;&gt;"No",ISNUMBER(SEARCH("Rogue",$C113)),NOT(ISNUMBER(SEARCH("Ideas",$F113)))),$X113,NA())</f>
      </c>
      <c r="AJ113" s="0">
        <f>IF($V113&lt;&gt;"No",$Y113,NA())</f>
      </c>
      <c r="AK113" s="0">
        <f>IF(AND($V113&lt;&gt;"No",ISNUMBER(SEARCH("Ideas",$F113))),$W113,NA())</f>
      </c>
      <c r="AL113" s="0">
        <f>IF(AND($V113&lt;&gt;"No",ISNUMBER(SEARCH("Cleric",$C113)),NOT(ISNUMBER(SEARCH("Ideas",$F113)))),$X113,NA())</f>
      </c>
    </row>
    <row r="114">
      <c r="A114" s="0" t="s">
        <v>505</v>
      </c>
      <c r="B114" s="0" t="s">
        <v>505</v>
      </c>
      <c r="C114" s="0" t="s">
        <v>446</v>
      </c>
      <c r="D114" s="0">
        <v>1</v>
      </c>
      <c r="E114" s="0" t="s">
        <v>32</v>
      </c>
      <c r="F114" s="0" t="s">
        <v>446</v>
      </c>
      <c r="G114" s="0">
        <v>1</v>
      </c>
      <c r="H114" s="0">
        <v>1</v>
      </c>
      <c r="I114" s="0">
        <v>8</v>
      </c>
      <c r="J114" s="0">
        <v>4</v>
      </c>
      <c r="K114" s="0">
        <v>0</v>
      </c>
      <c r="L114" s="0">
        <v>0</v>
      </c>
      <c r="M114" s="0">
        <v>0</v>
      </c>
      <c r="N114" s="0">
        <v>0</v>
      </c>
      <c r="O114" s="0">
        <v>0</v>
      </c>
      <c r="P114" s="0">
        <v>0</v>
      </c>
      <c r="Q114" s="0">
        <v>0</v>
      </c>
      <c r="R114" s="0">
        <v>0</v>
      </c>
      <c r="S114" s="0">
        <v>0</v>
      </c>
      <c r="T114" s="0" t="s">
        <v>34</v>
      </c>
      <c r="U114" s="0" t="s">
        <v>34</v>
      </c>
      <c r="V114" s="0" t="s">
        <v>882</v>
      </c>
      <c r="W114" s="11">
        <f>IF($V114="No","",ROUND((I114*w_Damage + N114*w_Poison + P114*w_Weaken*w_Horizon)*MIN(1+(G114-1)*w_OccEnemy,w_MaxEnemies) + (J114*w_Heal + K114*w_Shield + L114*w_Block + M114*w_Parry + O114*w_Strength*w_Horizon + S114*w_Combo)*MIN(1+(H114-1)*w_OccAlly,w_MaxAllies) + Q114*w_Draw + R114*w_Move,2))</f>
      </c>
      <c r="X114" s="11">
        <f>IF(W114="","",ROUND(W114/MAX(D114,1),2))</f>
      </c>
      <c r="Y114" s="11">
        <f>IF($V114="No","",ROUND((curve_Base+curve_Slope*D114)*IFERROR(VLOOKUP(E114,rarity_Mult,2,FALSE),1),2))</f>
      </c>
      <c r="Z114" s="11">
        <f>IF(OR(W114="",Y114=""),"",ROUND(W114-Y114,2))</f>
      </c>
      <c r="AA114" s="0">
        <f>IF(Z114="","",IF($V114="Partial","RIDER",IF(ABS(Z114)&lt;=Y114*tol_Pct,"OK",IF(Z114&gt;0,"OVER","UNDER"))))</f>
      </c>
      <c r="AB114" s="0" t="s">
        <v>34</v>
      </c>
      <c r="AC114" s="0">
        <f>IF(AND($V114&lt;&gt;"No",$E114="Common",NOT(ISNUMBER(SEARCH("Ideas",$F114)))),$W114,NA())</f>
      </c>
      <c r="AD114" s="0">
        <f>IF(AND($V114&lt;&gt;"No",$E114="Uncommon",NOT(ISNUMBER(SEARCH("Ideas",$F114)))),$W114,NA())</f>
      </c>
      <c r="AE114" s="0">
        <f>IF(AND($V114&lt;&gt;"No",$E114="Rare",NOT(ISNUMBER(SEARCH("Ideas",$F114)))),$W114,NA())</f>
      </c>
      <c r="AF114" s="0">
        <f>IF(AND($V114&lt;&gt;"No",$E114="Legendary",NOT(ISNUMBER(SEARCH("Ideas",$F114)))),$W114,NA())</f>
      </c>
      <c r="AG114" s="0">
        <f>IF(AND($V114&lt;&gt;"No",ISNUMBER(SEARCH("Knight",$C114)),NOT(ISNUMBER(SEARCH("Ideas",$F114)))),$X114,NA())</f>
      </c>
      <c r="AH114" s="0">
        <f>IF(AND($V114&lt;&gt;"No",ISNUMBER(SEARCH("Mage",$C114)),NOT(ISNUMBER(SEARCH("Ideas",$F114)))),$X114,NA())</f>
      </c>
      <c r="AI114" s="0">
        <f>IF(AND($V114&lt;&gt;"No",ISNUMBER(SEARCH("Rogue",$C114)),NOT(ISNUMBER(SEARCH("Ideas",$F114)))),$X114,NA())</f>
      </c>
      <c r="AJ114" s="0">
        <f>IF($V114&lt;&gt;"No",$Y114,NA())</f>
      </c>
      <c r="AK114" s="0">
        <f>IF(AND($V114&lt;&gt;"No",ISNUMBER(SEARCH("Ideas",$F114))),$W114,NA())</f>
      </c>
      <c r="AL114" s="0">
        <f>IF(AND($V114&lt;&gt;"No",ISNUMBER(SEARCH("Cleric",$C114)),NOT(ISNUMBER(SEARCH("Ideas",$F114)))),$X114,NA())</f>
      </c>
    </row>
    <row r="115">
      <c r="A115" s="0" t="s">
        <v>508</v>
      </c>
      <c r="B115" s="0" t="s">
        <v>508</v>
      </c>
      <c r="C115" s="0" t="s">
        <v>446</v>
      </c>
      <c r="D115" s="0">
        <v>1</v>
      </c>
      <c r="E115" s="0" t="s">
        <v>62</v>
      </c>
      <c r="F115" s="0" t="s">
        <v>446</v>
      </c>
      <c r="G115" s="0">
        <v>1</v>
      </c>
      <c r="H115" s="0">
        <v>1</v>
      </c>
      <c r="I115" s="0">
        <v>9</v>
      </c>
      <c r="J115" s="0">
        <v>0</v>
      </c>
      <c r="K115" s="0">
        <v>0</v>
      </c>
      <c r="L115" s="0">
        <v>0</v>
      </c>
      <c r="M115" s="0">
        <v>0</v>
      </c>
      <c r="N115" s="0">
        <v>0</v>
      </c>
      <c r="O115" s="0">
        <v>0</v>
      </c>
      <c r="P115" s="0">
        <v>0</v>
      </c>
      <c r="Q115" s="0">
        <v>1</v>
      </c>
      <c r="R115" s="0">
        <v>0</v>
      </c>
      <c r="S115" s="0">
        <v>0</v>
      </c>
      <c r="T115" s="0" t="s">
        <v>34</v>
      </c>
      <c r="U115" s="0" t="s">
        <v>34</v>
      </c>
      <c r="V115" s="0" t="s">
        <v>882</v>
      </c>
      <c r="W115" s="11">
        <f>IF($V115="No","",ROUND((I115*w_Damage + N115*w_Poison + P115*w_Weaken*w_Horizon)*MIN(1+(G115-1)*w_OccEnemy,w_MaxEnemies) + (J115*w_Heal + K115*w_Shield + L115*w_Block + M115*w_Parry + O115*w_Strength*w_Horizon + S115*w_Combo)*MIN(1+(H115-1)*w_OccAlly,w_MaxAllies) + Q115*w_Draw + R115*w_Move,2))</f>
      </c>
      <c r="X115" s="11">
        <f>IF(W115="","",ROUND(W115/MAX(D115,1),2))</f>
      </c>
      <c r="Y115" s="11">
        <f>IF($V115="No","",ROUND((curve_Base+curve_Slope*D115)*IFERROR(VLOOKUP(E115,rarity_Mult,2,FALSE),1),2))</f>
      </c>
      <c r="Z115" s="11">
        <f>IF(OR(W115="",Y115=""),"",ROUND(W115-Y115,2))</f>
      </c>
      <c r="AA115" s="0">
        <f>IF(Z115="","",IF($V115="Partial","RIDER",IF(ABS(Z115)&lt;=Y115*tol_Pct,"OK",IF(Z115&gt;0,"OVER","UNDER"))))</f>
      </c>
      <c r="AB115" s="0" t="s">
        <v>34</v>
      </c>
      <c r="AC115" s="0">
        <f>IF(AND($V115&lt;&gt;"No",$E115="Common",NOT(ISNUMBER(SEARCH("Ideas",$F115)))),$W115,NA())</f>
      </c>
      <c r="AD115" s="0">
        <f>IF(AND($V115&lt;&gt;"No",$E115="Uncommon",NOT(ISNUMBER(SEARCH("Ideas",$F115)))),$W115,NA())</f>
      </c>
      <c r="AE115" s="0">
        <f>IF(AND($V115&lt;&gt;"No",$E115="Rare",NOT(ISNUMBER(SEARCH("Ideas",$F115)))),$W115,NA())</f>
      </c>
      <c r="AF115" s="0">
        <f>IF(AND($V115&lt;&gt;"No",$E115="Legendary",NOT(ISNUMBER(SEARCH("Ideas",$F115)))),$W115,NA())</f>
      </c>
      <c r="AG115" s="0">
        <f>IF(AND($V115&lt;&gt;"No",ISNUMBER(SEARCH("Knight",$C115)),NOT(ISNUMBER(SEARCH("Ideas",$F115)))),$X115,NA())</f>
      </c>
      <c r="AH115" s="0">
        <f>IF(AND($V115&lt;&gt;"No",ISNUMBER(SEARCH("Mage",$C115)),NOT(ISNUMBER(SEARCH("Ideas",$F115)))),$X115,NA())</f>
      </c>
      <c r="AI115" s="0">
        <f>IF(AND($V115&lt;&gt;"No",ISNUMBER(SEARCH("Rogue",$C115)),NOT(ISNUMBER(SEARCH("Ideas",$F115)))),$X115,NA())</f>
      </c>
      <c r="AJ115" s="0">
        <f>IF($V115&lt;&gt;"No",$Y115,NA())</f>
      </c>
      <c r="AK115" s="0">
        <f>IF(AND($V115&lt;&gt;"No",ISNUMBER(SEARCH("Ideas",$F115))),$W115,NA())</f>
      </c>
      <c r="AL115" s="0">
        <f>IF(AND($V115&lt;&gt;"No",ISNUMBER(SEARCH("Cleric",$C115)),NOT(ISNUMBER(SEARCH("Ideas",$F115)))),$X115,NA())</f>
      </c>
    </row>
    <row r="116">
      <c r="A116" s="0" t="s">
        <v>512</v>
      </c>
      <c r="B116" s="0" t="s">
        <v>512</v>
      </c>
      <c r="C116" s="0" t="s">
        <v>446</v>
      </c>
      <c r="D116" s="0">
        <v>1</v>
      </c>
      <c r="E116" s="0" t="s">
        <v>32</v>
      </c>
      <c r="F116" s="0" t="s">
        <v>446</v>
      </c>
      <c r="G116" s="0">
        <v>1</v>
      </c>
      <c r="H116" s="0">
        <v>1</v>
      </c>
      <c r="I116" s="0">
        <v>0</v>
      </c>
      <c r="J116" s="0">
        <v>0</v>
      </c>
      <c r="K116" s="0">
        <v>0</v>
      </c>
      <c r="L116" s="0">
        <v>0</v>
      </c>
      <c r="M116" s="0">
        <v>0</v>
      </c>
      <c r="N116" s="0">
        <v>0</v>
      </c>
      <c r="O116" s="0">
        <v>0</v>
      </c>
      <c r="P116" s="0">
        <v>0</v>
      </c>
      <c r="Q116" s="0">
        <v>0</v>
      </c>
      <c r="R116" s="0">
        <v>0</v>
      </c>
      <c r="S116" s="0">
        <v>0</v>
      </c>
      <c r="T116" s="0" t="s">
        <v>34</v>
      </c>
      <c r="U116" s="0" t="s">
        <v>1835</v>
      </c>
      <c r="V116" s="0" t="s">
        <v>1407</v>
      </c>
      <c r="W116" s="11">
        <f>IF($V116="No","",ROUND((I116*w_Damage + N116*w_Poison + P116*w_Weaken*w_Horizon)*MIN(1+(G116-1)*w_OccEnemy,w_MaxEnemies) + (J116*w_Heal + K116*w_Shield + L116*w_Block + M116*w_Parry + O116*w_Strength*w_Horizon + S116*w_Combo)*MIN(1+(H116-1)*w_OccAlly,w_MaxAllies) + Q116*w_Draw + R116*w_Move,2))</f>
      </c>
      <c r="X116" s="11">
        <f>IF(W116="","",ROUND(W116/MAX(D116,1),2))</f>
      </c>
      <c r="Y116" s="11">
        <f>IF($V116="No","",ROUND((curve_Base+curve_Slope*D116)*IFERROR(VLOOKUP(E116,rarity_Mult,2,FALSE),1),2))</f>
      </c>
      <c r="Z116" s="11">
        <f>IF(OR(W116="",Y116=""),"",ROUND(W116-Y116,2))</f>
      </c>
      <c r="AA116" s="0">
        <f>IF(Z116="","",IF($V116="Partial","RIDER",IF(ABS(Z116)&lt;=Y116*tol_Pct,"OK",IF(Z116&gt;0,"OVER","UNDER"))))</f>
      </c>
      <c r="AB116" s="0" t="s">
        <v>34</v>
      </c>
      <c r="AC116" s="0">
        <f>IF(AND($V116&lt;&gt;"No",$E116="Common",NOT(ISNUMBER(SEARCH("Ideas",$F116)))),$W116,NA())</f>
      </c>
      <c r="AD116" s="0">
        <f>IF(AND($V116&lt;&gt;"No",$E116="Uncommon",NOT(ISNUMBER(SEARCH("Ideas",$F116)))),$W116,NA())</f>
      </c>
      <c r="AE116" s="0">
        <f>IF(AND($V116&lt;&gt;"No",$E116="Rare",NOT(ISNUMBER(SEARCH("Ideas",$F116)))),$W116,NA())</f>
      </c>
      <c r="AF116" s="0">
        <f>IF(AND($V116&lt;&gt;"No",$E116="Legendary",NOT(ISNUMBER(SEARCH("Ideas",$F116)))),$W116,NA())</f>
      </c>
      <c r="AG116" s="0">
        <f>IF(AND($V116&lt;&gt;"No",ISNUMBER(SEARCH("Knight",$C116)),NOT(ISNUMBER(SEARCH("Ideas",$F116)))),$X116,NA())</f>
      </c>
      <c r="AH116" s="0">
        <f>IF(AND($V116&lt;&gt;"No",ISNUMBER(SEARCH("Mage",$C116)),NOT(ISNUMBER(SEARCH("Ideas",$F116)))),$X116,NA())</f>
      </c>
      <c r="AI116" s="0">
        <f>IF(AND($V116&lt;&gt;"No",ISNUMBER(SEARCH("Rogue",$C116)),NOT(ISNUMBER(SEARCH("Ideas",$F116)))),$X116,NA())</f>
      </c>
      <c r="AJ116" s="0">
        <f>IF($V116&lt;&gt;"No",$Y116,NA())</f>
      </c>
      <c r="AK116" s="0">
        <f>IF(AND($V116&lt;&gt;"No",ISNUMBER(SEARCH("Ideas",$F116))),$W116,NA())</f>
      </c>
      <c r="AL116" s="0">
        <f>IF(AND($V116&lt;&gt;"No",ISNUMBER(SEARCH("Cleric",$C116)),NOT(ISNUMBER(SEARCH("Ideas",$F116)))),$X116,NA())</f>
      </c>
    </row>
    <row r="117">
      <c r="A117" s="0" t="s">
        <v>516</v>
      </c>
      <c r="B117" s="0" t="s">
        <v>516</v>
      </c>
      <c r="C117" s="0" t="s">
        <v>446</v>
      </c>
      <c r="D117" s="0">
        <v>1</v>
      </c>
      <c r="E117" s="0" t="s">
        <v>32</v>
      </c>
      <c r="F117" s="0" t="s">
        <v>446</v>
      </c>
      <c r="G117" s="0">
        <v>1</v>
      </c>
      <c r="H117" s="0">
        <v>9</v>
      </c>
      <c r="I117" s="0">
        <v>0</v>
      </c>
      <c r="J117" s="0">
        <v>7</v>
      </c>
      <c r="K117" s="0">
        <v>0</v>
      </c>
      <c r="L117" s="0">
        <v>0</v>
      </c>
      <c r="M117" s="0">
        <v>0</v>
      </c>
      <c r="N117" s="0">
        <v>0</v>
      </c>
      <c r="O117" s="0">
        <v>0</v>
      </c>
      <c r="P117" s="0">
        <v>0</v>
      </c>
      <c r="Q117" s="0">
        <v>0</v>
      </c>
      <c r="R117" s="0">
        <v>0</v>
      </c>
      <c r="S117" s="0">
        <v>0</v>
      </c>
      <c r="T117" s="0" t="s">
        <v>34</v>
      </c>
      <c r="U117" s="0" t="s">
        <v>34</v>
      </c>
      <c r="V117" s="0" t="s">
        <v>882</v>
      </c>
      <c r="W117" s="11">
        <f>IF($V117="No","",ROUND((I117*w_Damage + N117*w_Poison + P117*w_Weaken*w_Horizon)*MIN(1+(G117-1)*w_OccEnemy,w_MaxEnemies) + (J117*w_Heal + K117*w_Shield + L117*w_Block + M117*w_Parry + O117*w_Strength*w_Horizon + S117*w_Combo)*MIN(1+(H117-1)*w_OccAlly,w_MaxAllies) + Q117*w_Draw + R117*w_Move,2))</f>
      </c>
      <c r="X117" s="11">
        <f>IF(W117="","",ROUND(W117/MAX(D117,1),2))</f>
      </c>
      <c r="Y117" s="11">
        <f>IF($V117="No","",ROUND((curve_Base+curve_Slope*D117)*IFERROR(VLOOKUP(E117,rarity_Mult,2,FALSE),1),2))</f>
      </c>
      <c r="Z117" s="11">
        <f>IF(OR(W117="",Y117=""),"",ROUND(W117-Y117,2))</f>
      </c>
      <c r="AA117" s="0">
        <f>IF(Z117="","",IF($V117="Partial","RIDER",IF(ABS(Z117)&lt;=Y117*tol_Pct,"OK",IF(Z117&gt;0,"OVER","UNDER"))))</f>
      </c>
      <c r="AB117" s="0" t="s">
        <v>34</v>
      </c>
      <c r="AC117" s="0">
        <f>IF(AND($V117&lt;&gt;"No",$E117="Common",NOT(ISNUMBER(SEARCH("Ideas",$F117)))),$W117,NA())</f>
      </c>
      <c r="AD117" s="0">
        <f>IF(AND($V117&lt;&gt;"No",$E117="Uncommon",NOT(ISNUMBER(SEARCH("Ideas",$F117)))),$W117,NA())</f>
      </c>
      <c r="AE117" s="0">
        <f>IF(AND($V117&lt;&gt;"No",$E117="Rare",NOT(ISNUMBER(SEARCH("Ideas",$F117)))),$W117,NA())</f>
      </c>
      <c r="AF117" s="0">
        <f>IF(AND($V117&lt;&gt;"No",$E117="Legendary",NOT(ISNUMBER(SEARCH("Ideas",$F117)))),$W117,NA())</f>
      </c>
      <c r="AG117" s="0">
        <f>IF(AND($V117&lt;&gt;"No",ISNUMBER(SEARCH("Knight",$C117)),NOT(ISNUMBER(SEARCH("Ideas",$F117)))),$X117,NA())</f>
      </c>
      <c r="AH117" s="0">
        <f>IF(AND($V117&lt;&gt;"No",ISNUMBER(SEARCH("Mage",$C117)),NOT(ISNUMBER(SEARCH("Ideas",$F117)))),$X117,NA())</f>
      </c>
      <c r="AI117" s="0">
        <f>IF(AND($V117&lt;&gt;"No",ISNUMBER(SEARCH("Rogue",$C117)),NOT(ISNUMBER(SEARCH("Ideas",$F117)))),$X117,NA())</f>
      </c>
      <c r="AJ117" s="0">
        <f>IF($V117&lt;&gt;"No",$Y117,NA())</f>
      </c>
      <c r="AK117" s="0">
        <f>IF(AND($V117&lt;&gt;"No",ISNUMBER(SEARCH("Ideas",$F117))),$W117,NA())</f>
      </c>
      <c r="AL117" s="0">
        <f>IF(AND($V117&lt;&gt;"No",ISNUMBER(SEARCH("Cleric",$C117)),NOT(ISNUMBER(SEARCH("Ideas",$F117)))),$X117,NA())</f>
      </c>
    </row>
    <row r="118">
      <c r="A118" s="0" t="s">
        <v>519</v>
      </c>
      <c r="B118" s="0" t="s">
        <v>519</v>
      </c>
      <c r="C118" s="0" t="s">
        <v>446</v>
      </c>
      <c r="D118" s="0">
        <v>1</v>
      </c>
      <c r="E118" s="0" t="s">
        <v>32</v>
      </c>
      <c r="F118" s="0" t="s">
        <v>446</v>
      </c>
      <c r="G118" s="0">
        <v>1</v>
      </c>
      <c r="H118" s="0">
        <v>1</v>
      </c>
      <c r="I118" s="0">
        <v>0</v>
      </c>
      <c r="J118" s="0">
        <v>4</v>
      </c>
      <c r="K118" s="0">
        <v>0</v>
      </c>
      <c r="L118" s="0">
        <v>0</v>
      </c>
      <c r="M118" s="0">
        <v>0</v>
      </c>
      <c r="N118" s="0">
        <v>0</v>
      </c>
      <c r="O118" s="0">
        <v>0</v>
      </c>
      <c r="P118" s="0">
        <v>0</v>
      </c>
      <c r="Q118" s="0">
        <v>0</v>
      </c>
      <c r="R118" s="0">
        <v>0</v>
      </c>
      <c r="S118" s="0">
        <v>0</v>
      </c>
      <c r="T118" s="0" t="s">
        <v>34</v>
      </c>
      <c r="U118" s="0" t="s">
        <v>34</v>
      </c>
      <c r="V118" s="0" t="s">
        <v>882</v>
      </c>
      <c r="W118" s="11">
        <f>IF($V118="No","",ROUND((I118*w_Damage + N118*w_Poison + P118*w_Weaken*w_Horizon)*MIN(1+(G118-1)*w_OccEnemy,w_MaxEnemies) + (J118*w_Heal + K118*w_Shield + L118*w_Block + M118*w_Parry + O118*w_Strength*w_Horizon + S118*w_Combo)*MIN(1+(H118-1)*w_OccAlly,w_MaxAllies) + Q118*w_Draw + R118*w_Move,2))</f>
      </c>
      <c r="X118" s="11">
        <f>IF(W118="","",ROUND(W118/MAX(D118,1),2))</f>
      </c>
      <c r="Y118" s="11">
        <f>IF($V118="No","",ROUND((curve_Base+curve_Slope*D118)*IFERROR(VLOOKUP(E118,rarity_Mult,2,FALSE),1),2))</f>
      </c>
      <c r="Z118" s="11">
        <f>IF(OR(W118="",Y118=""),"",ROUND(W118-Y118,2))</f>
      </c>
      <c r="AA118" s="0">
        <f>IF(Z118="","",IF($V118="Partial","RIDER",IF(ABS(Z118)&lt;=Y118*tol_Pct,"OK",IF(Z118&gt;0,"OVER","UNDER"))))</f>
      </c>
      <c r="AB118" s="0" t="s">
        <v>34</v>
      </c>
      <c r="AC118" s="0">
        <f>IF(AND($V118&lt;&gt;"No",$E118="Common",NOT(ISNUMBER(SEARCH("Ideas",$F118)))),$W118,NA())</f>
      </c>
      <c r="AD118" s="0">
        <f>IF(AND($V118&lt;&gt;"No",$E118="Uncommon",NOT(ISNUMBER(SEARCH("Ideas",$F118)))),$W118,NA())</f>
      </c>
      <c r="AE118" s="0">
        <f>IF(AND($V118&lt;&gt;"No",$E118="Rare",NOT(ISNUMBER(SEARCH("Ideas",$F118)))),$W118,NA())</f>
      </c>
      <c r="AF118" s="0">
        <f>IF(AND($V118&lt;&gt;"No",$E118="Legendary",NOT(ISNUMBER(SEARCH("Ideas",$F118)))),$W118,NA())</f>
      </c>
      <c r="AG118" s="0">
        <f>IF(AND($V118&lt;&gt;"No",ISNUMBER(SEARCH("Knight",$C118)),NOT(ISNUMBER(SEARCH("Ideas",$F118)))),$X118,NA())</f>
      </c>
      <c r="AH118" s="0">
        <f>IF(AND($V118&lt;&gt;"No",ISNUMBER(SEARCH("Mage",$C118)),NOT(ISNUMBER(SEARCH("Ideas",$F118)))),$X118,NA())</f>
      </c>
      <c r="AI118" s="0">
        <f>IF(AND($V118&lt;&gt;"No",ISNUMBER(SEARCH("Rogue",$C118)),NOT(ISNUMBER(SEARCH("Ideas",$F118)))),$X118,NA())</f>
      </c>
      <c r="AJ118" s="0">
        <f>IF($V118&lt;&gt;"No",$Y118,NA())</f>
      </c>
      <c r="AK118" s="0">
        <f>IF(AND($V118&lt;&gt;"No",ISNUMBER(SEARCH("Ideas",$F118))),$W118,NA())</f>
      </c>
      <c r="AL118" s="0">
        <f>IF(AND($V118&lt;&gt;"No",ISNUMBER(SEARCH("Cleric",$C118)),NOT(ISNUMBER(SEARCH("Ideas",$F118)))),$X118,NA())</f>
      </c>
    </row>
    <row r="119">
      <c r="A119" s="0" t="s">
        <v>522</v>
      </c>
      <c r="B119" s="0" t="s">
        <v>522</v>
      </c>
      <c r="C119" s="0" t="s">
        <v>446</v>
      </c>
      <c r="D119" s="0">
        <v>1</v>
      </c>
      <c r="E119" s="0" t="s">
        <v>32</v>
      </c>
      <c r="F119" s="0" t="s">
        <v>446</v>
      </c>
      <c r="G119" s="0">
        <v>1</v>
      </c>
      <c r="H119" s="0">
        <v>1</v>
      </c>
      <c r="I119" s="0">
        <v>0</v>
      </c>
      <c r="J119" s="0">
        <v>5</v>
      </c>
      <c r="K119" s="0">
        <v>0</v>
      </c>
      <c r="L119" s="0">
        <v>0</v>
      </c>
      <c r="M119" s="0">
        <v>0</v>
      </c>
      <c r="N119" s="0">
        <v>0</v>
      </c>
      <c r="O119" s="0">
        <v>0</v>
      </c>
      <c r="P119" s="0">
        <v>0</v>
      </c>
      <c r="Q119" s="0">
        <v>1</v>
      </c>
      <c r="R119" s="0">
        <v>0</v>
      </c>
      <c r="S119" s="0">
        <v>0</v>
      </c>
      <c r="T119" s="0" t="s">
        <v>34</v>
      </c>
      <c r="U119" s="0" t="s">
        <v>34</v>
      </c>
      <c r="V119" s="0" t="s">
        <v>882</v>
      </c>
      <c r="W119" s="11">
        <f>IF($V119="No","",ROUND((I119*w_Damage + N119*w_Poison + P119*w_Weaken*w_Horizon)*MIN(1+(G119-1)*w_OccEnemy,w_MaxEnemies) + (J119*w_Heal + K119*w_Shield + L119*w_Block + M119*w_Parry + O119*w_Strength*w_Horizon + S119*w_Combo)*MIN(1+(H119-1)*w_OccAlly,w_MaxAllies) + Q119*w_Draw + R119*w_Move,2))</f>
      </c>
      <c r="X119" s="11">
        <f>IF(W119="","",ROUND(W119/MAX(D119,1),2))</f>
      </c>
      <c r="Y119" s="11">
        <f>IF($V119="No","",ROUND((curve_Base+curve_Slope*D119)*IFERROR(VLOOKUP(E119,rarity_Mult,2,FALSE),1),2))</f>
      </c>
      <c r="Z119" s="11">
        <f>IF(OR(W119="",Y119=""),"",ROUND(W119-Y119,2))</f>
      </c>
      <c r="AA119" s="0">
        <f>IF(Z119="","",IF($V119="Partial","RIDER",IF(ABS(Z119)&lt;=Y119*tol_Pct,"OK",IF(Z119&gt;0,"OVER","UNDER"))))</f>
      </c>
      <c r="AB119" s="0" t="s">
        <v>34</v>
      </c>
      <c r="AC119" s="0">
        <f>IF(AND($V119&lt;&gt;"No",$E119="Common",NOT(ISNUMBER(SEARCH("Ideas",$F119)))),$W119,NA())</f>
      </c>
      <c r="AD119" s="0">
        <f>IF(AND($V119&lt;&gt;"No",$E119="Uncommon",NOT(ISNUMBER(SEARCH("Ideas",$F119)))),$W119,NA())</f>
      </c>
      <c r="AE119" s="0">
        <f>IF(AND($V119&lt;&gt;"No",$E119="Rare",NOT(ISNUMBER(SEARCH("Ideas",$F119)))),$W119,NA())</f>
      </c>
      <c r="AF119" s="0">
        <f>IF(AND($V119&lt;&gt;"No",$E119="Legendary",NOT(ISNUMBER(SEARCH("Ideas",$F119)))),$W119,NA())</f>
      </c>
      <c r="AG119" s="0">
        <f>IF(AND($V119&lt;&gt;"No",ISNUMBER(SEARCH("Knight",$C119)),NOT(ISNUMBER(SEARCH("Ideas",$F119)))),$X119,NA())</f>
      </c>
      <c r="AH119" s="0">
        <f>IF(AND($V119&lt;&gt;"No",ISNUMBER(SEARCH("Mage",$C119)),NOT(ISNUMBER(SEARCH("Ideas",$F119)))),$X119,NA())</f>
      </c>
      <c r="AI119" s="0">
        <f>IF(AND($V119&lt;&gt;"No",ISNUMBER(SEARCH("Rogue",$C119)),NOT(ISNUMBER(SEARCH("Ideas",$F119)))),$X119,NA())</f>
      </c>
      <c r="AJ119" s="0">
        <f>IF($V119&lt;&gt;"No",$Y119,NA())</f>
      </c>
      <c r="AK119" s="0">
        <f>IF(AND($V119&lt;&gt;"No",ISNUMBER(SEARCH("Ideas",$F119))),$W119,NA())</f>
      </c>
      <c r="AL119" s="0">
        <f>IF(AND($V119&lt;&gt;"No",ISNUMBER(SEARCH("Cleric",$C119)),NOT(ISNUMBER(SEARCH("Ideas",$F119)))),$X119,NA())</f>
      </c>
    </row>
    <row r="120">
      <c r="A120" s="0" t="s">
        <v>525</v>
      </c>
      <c r="B120" s="0" t="s">
        <v>525</v>
      </c>
      <c r="C120" s="0" t="s">
        <v>446</v>
      </c>
      <c r="D120" s="0">
        <v>1</v>
      </c>
      <c r="E120" s="0" t="s">
        <v>32</v>
      </c>
      <c r="F120" s="0" t="s">
        <v>446</v>
      </c>
      <c r="G120" s="0">
        <v>1</v>
      </c>
      <c r="H120" s="0">
        <v>1</v>
      </c>
      <c r="I120" s="0">
        <v>6</v>
      </c>
      <c r="J120" s="0">
        <v>3</v>
      </c>
      <c r="K120" s="0">
        <v>0</v>
      </c>
      <c r="L120" s="0">
        <v>0</v>
      </c>
      <c r="M120" s="0">
        <v>0</v>
      </c>
      <c r="N120" s="0">
        <v>0</v>
      </c>
      <c r="O120" s="0">
        <v>0</v>
      </c>
      <c r="P120" s="0">
        <v>0</v>
      </c>
      <c r="Q120" s="0">
        <v>1</v>
      </c>
      <c r="R120" s="0">
        <v>0</v>
      </c>
      <c r="S120" s="0">
        <v>0</v>
      </c>
      <c r="T120" s="0" t="s">
        <v>34</v>
      </c>
      <c r="U120" s="0" t="s">
        <v>34</v>
      </c>
      <c r="V120" s="0" t="s">
        <v>882</v>
      </c>
      <c r="W120" s="11">
        <f>IF($V120="No","",ROUND((I120*w_Damage + N120*w_Poison + P120*w_Weaken*w_Horizon)*MIN(1+(G120-1)*w_OccEnemy,w_MaxEnemies) + (J120*w_Heal + K120*w_Shield + L120*w_Block + M120*w_Parry + O120*w_Strength*w_Horizon + S120*w_Combo)*MIN(1+(H120-1)*w_OccAlly,w_MaxAllies) + Q120*w_Draw + R120*w_Move,2))</f>
      </c>
      <c r="X120" s="11">
        <f>IF(W120="","",ROUND(W120/MAX(D120,1),2))</f>
      </c>
      <c r="Y120" s="11">
        <f>IF($V120="No","",ROUND((curve_Base+curve_Slope*D120)*IFERROR(VLOOKUP(E120,rarity_Mult,2,FALSE),1),2))</f>
      </c>
      <c r="Z120" s="11">
        <f>IF(OR(W120="",Y120=""),"",ROUND(W120-Y120,2))</f>
      </c>
      <c r="AA120" s="0">
        <f>IF(Z120="","",IF($V120="Partial","RIDER",IF(ABS(Z120)&lt;=Y120*tol_Pct,"OK",IF(Z120&gt;0,"OVER","UNDER"))))</f>
      </c>
      <c r="AB120" s="0" t="s">
        <v>34</v>
      </c>
      <c r="AC120" s="0">
        <f>IF(AND($V120&lt;&gt;"No",$E120="Common",NOT(ISNUMBER(SEARCH("Ideas",$F120)))),$W120,NA())</f>
      </c>
      <c r="AD120" s="0">
        <f>IF(AND($V120&lt;&gt;"No",$E120="Uncommon",NOT(ISNUMBER(SEARCH("Ideas",$F120)))),$W120,NA())</f>
      </c>
      <c r="AE120" s="0">
        <f>IF(AND($V120&lt;&gt;"No",$E120="Rare",NOT(ISNUMBER(SEARCH("Ideas",$F120)))),$W120,NA())</f>
      </c>
      <c r="AF120" s="0">
        <f>IF(AND($V120&lt;&gt;"No",$E120="Legendary",NOT(ISNUMBER(SEARCH("Ideas",$F120)))),$W120,NA())</f>
      </c>
      <c r="AG120" s="0">
        <f>IF(AND($V120&lt;&gt;"No",ISNUMBER(SEARCH("Knight",$C120)),NOT(ISNUMBER(SEARCH("Ideas",$F120)))),$X120,NA())</f>
      </c>
      <c r="AH120" s="0">
        <f>IF(AND($V120&lt;&gt;"No",ISNUMBER(SEARCH("Mage",$C120)),NOT(ISNUMBER(SEARCH("Ideas",$F120)))),$X120,NA())</f>
      </c>
      <c r="AI120" s="0">
        <f>IF(AND($V120&lt;&gt;"No",ISNUMBER(SEARCH("Rogue",$C120)),NOT(ISNUMBER(SEARCH("Ideas",$F120)))),$X120,NA())</f>
      </c>
      <c r="AJ120" s="0">
        <f>IF($V120&lt;&gt;"No",$Y120,NA())</f>
      </c>
      <c r="AK120" s="0">
        <f>IF(AND($V120&lt;&gt;"No",ISNUMBER(SEARCH("Ideas",$F120))),$W120,NA())</f>
      </c>
      <c r="AL120" s="0">
        <f>IF(AND($V120&lt;&gt;"No",ISNUMBER(SEARCH("Cleric",$C120)),NOT(ISNUMBER(SEARCH("Ideas",$F120)))),$X120,NA())</f>
      </c>
    </row>
    <row r="121">
      <c r="A121" s="0" t="s">
        <v>528</v>
      </c>
      <c r="B121" s="0" t="s">
        <v>528</v>
      </c>
      <c r="C121" s="0" t="s">
        <v>446</v>
      </c>
      <c r="D121" s="0">
        <v>1</v>
      </c>
      <c r="E121" s="0" t="s">
        <v>32</v>
      </c>
      <c r="F121" s="0" t="s">
        <v>446</v>
      </c>
      <c r="G121" s="0">
        <v>1</v>
      </c>
      <c r="H121" s="0">
        <v>1</v>
      </c>
      <c r="I121" s="0">
        <v>0</v>
      </c>
      <c r="J121" s="0">
        <v>6</v>
      </c>
      <c r="K121" s="0">
        <v>0</v>
      </c>
      <c r="L121" s="0">
        <v>0</v>
      </c>
      <c r="M121" s="0">
        <v>0</v>
      </c>
      <c r="N121" s="0">
        <v>0</v>
      </c>
      <c r="O121" s="0">
        <v>0</v>
      </c>
      <c r="P121" s="0">
        <v>0</v>
      </c>
      <c r="Q121" s="0">
        <v>1</v>
      </c>
      <c r="R121" s="0">
        <v>0</v>
      </c>
      <c r="S121" s="0">
        <v>0</v>
      </c>
      <c r="T121" s="0" t="s">
        <v>34</v>
      </c>
      <c r="U121" s="0" t="s">
        <v>34</v>
      </c>
      <c r="V121" s="0" t="s">
        <v>882</v>
      </c>
      <c r="W121" s="11">
        <f>IF($V121="No","",ROUND((I121*w_Damage + N121*w_Poison + P121*w_Weaken*w_Horizon)*MIN(1+(G121-1)*w_OccEnemy,w_MaxEnemies) + (J121*w_Heal + K121*w_Shield + L121*w_Block + M121*w_Parry + O121*w_Strength*w_Horizon + S121*w_Combo)*MIN(1+(H121-1)*w_OccAlly,w_MaxAllies) + Q121*w_Draw + R121*w_Move,2))</f>
      </c>
      <c r="X121" s="11">
        <f>IF(W121="","",ROUND(W121/MAX(D121,1),2))</f>
      </c>
      <c r="Y121" s="11">
        <f>IF($V121="No","",ROUND((curve_Base+curve_Slope*D121)*IFERROR(VLOOKUP(E121,rarity_Mult,2,FALSE),1),2))</f>
      </c>
      <c r="Z121" s="11">
        <f>IF(OR(W121="",Y121=""),"",ROUND(W121-Y121,2))</f>
      </c>
      <c r="AA121" s="0">
        <f>IF(Z121="","",IF($V121="Partial","RIDER",IF(ABS(Z121)&lt;=Y121*tol_Pct,"OK",IF(Z121&gt;0,"OVER","UNDER"))))</f>
      </c>
      <c r="AB121" s="0" t="s">
        <v>34</v>
      </c>
      <c r="AC121" s="0">
        <f>IF(AND($V121&lt;&gt;"No",$E121="Common",NOT(ISNUMBER(SEARCH("Ideas",$F121)))),$W121,NA())</f>
      </c>
      <c r="AD121" s="0">
        <f>IF(AND($V121&lt;&gt;"No",$E121="Uncommon",NOT(ISNUMBER(SEARCH("Ideas",$F121)))),$W121,NA())</f>
      </c>
      <c r="AE121" s="0">
        <f>IF(AND($V121&lt;&gt;"No",$E121="Rare",NOT(ISNUMBER(SEARCH("Ideas",$F121)))),$W121,NA())</f>
      </c>
      <c r="AF121" s="0">
        <f>IF(AND($V121&lt;&gt;"No",$E121="Legendary",NOT(ISNUMBER(SEARCH("Ideas",$F121)))),$W121,NA())</f>
      </c>
      <c r="AG121" s="0">
        <f>IF(AND($V121&lt;&gt;"No",ISNUMBER(SEARCH("Knight",$C121)),NOT(ISNUMBER(SEARCH("Ideas",$F121)))),$X121,NA())</f>
      </c>
      <c r="AH121" s="0">
        <f>IF(AND($V121&lt;&gt;"No",ISNUMBER(SEARCH("Mage",$C121)),NOT(ISNUMBER(SEARCH("Ideas",$F121)))),$X121,NA())</f>
      </c>
      <c r="AI121" s="0">
        <f>IF(AND($V121&lt;&gt;"No",ISNUMBER(SEARCH("Rogue",$C121)),NOT(ISNUMBER(SEARCH("Ideas",$F121)))),$X121,NA())</f>
      </c>
      <c r="AJ121" s="0">
        <f>IF($V121&lt;&gt;"No",$Y121,NA())</f>
      </c>
      <c r="AK121" s="0">
        <f>IF(AND($V121&lt;&gt;"No",ISNUMBER(SEARCH("Ideas",$F121))),$W121,NA())</f>
      </c>
      <c r="AL121" s="0">
        <f>IF(AND($V121&lt;&gt;"No",ISNUMBER(SEARCH("Cleric",$C121)),NOT(ISNUMBER(SEARCH("Ideas",$F121)))),$X121,NA())</f>
      </c>
    </row>
    <row r="122">
      <c r="A122" s="0" t="s">
        <v>532</v>
      </c>
      <c r="B122" s="0" t="s">
        <v>532</v>
      </c>
      <c r="C122" s="0" t="s">
        <v>446</v>
      </c>
      <c r="D122" s="0">
        <v>1</v>
      </c>
      <c r="E122" s="0" t="s">
        <v>81</v>
      </c>
      <c r="F122" s="0" t="s">
        <v>446</v>
      </c>
      <c r="G122" s="0">
        <v>1</v>
      </c>
      <c r="H122" s="0">
        <v>1</v>
      </c>
      <c r="I122" s="0">
        <v>0</v>
      </c>
      <c r="J122" s="0">
        <v>3</v>
      </c>
      <c r="K122" s="0">
        <v>0</v>
      </c>
      <c r="L122" s="0">
        <v>0</v>
      </c>
      <c r="M122" s="0">
        <v>0</v>
      </c>
      <c r="N122" s="0">
        <v>0</v>
      </c>
      <c r="O122" s="0">
        <v>0</v>
      </c>
      <c r="P122" s="0">
        <v>0</v>
      </c>
      <c r="Q122" s="0">
        <v>1</v>
      </c>
      <c r="R122" s="0">
        <v>0</v>
      </c>
      <c r="S122" s="0">
        <v>0</v>
      </c>
      <c r="T122" s="0" t="s">
        <v>34</v>
      </c>
      <c r="U122" s="0" t="s">
        <v>34</v>
      </c>
      <c r="V122" s="0" t="s">
        <v>882</v>
      </c>
      <c r="W122" s="11">
        <f>IF($V122="No","",ROUND((I122*w_Damage + N122*w_Poison + P122*w_Weaken*w_Horizon)*MIN(1+(G122-1)*w_OccEnemy,w_MaxEnemies) + (J122*w_Heal + K122*w_Shield + L122*w_Block + M122*w_Parry + O122*w_Strength*w_Horizon + S122*w_Combo)*MIN(1+(H122-1)*w_OccAlly,w_MaxAllies) + Q122*w_Draw + R122*w_Move,2))</f>
      </c>
      <c r="X122" s="11">
        <f>IF(W122="","",ROUND(W122/MAX(D122,1),2))</f>
      </c>
      <c r="Y122" s="11">
        <f>IF($V122="No","",ROUND((curve_Base+curve_Slope*D122)*IFERROR(VLOOKUP(E122,rarity_Mult,2,FALSE),1),2))</f>
      </c>
      <c r="Z122" s="11">
        <f>IF(OR(W122="",Y122=""),"",ROUND(W122-Y122,2))</f>
      </c>
      <c r="AA122" s="0">
        <f>IF(Z122="","",IF($V122="Partial","RIDER",IF(ABS(Z122)&lt;=Y122*tol_Pct,"OK",IF(Z122&gt;0,"OVER","UNDER"))))</f>
      </c>
      <c r="AB122" s="0" t="s">
        <v>34</v>
      </c>
      <c r="AC122" s="0">
        <f>IF(AND($V122&lt;&gt;"No",$E122="Common",NOT(ISNUMBER(SEARCH("Ideas",$F122)))),$W122,NA())</f>
      </c>
      <c r="AD122" s="0">
        <f>IF(AND($V122&lt;&gt;"No",$E122="Uncommon",NOT(ISNUMBER(SEARCH("Ideas",$F122)))),$W122,NA())</f>
      </c>
      <c r="AE122" s="0">
        <f>IF(AND($V122&lt;&gt;"No",$E122="Rare",NOT(ISNUMBER(SEARCH("Ideas",$F122)))),$W122,NA())</f>
      </c>
      <c r="AF122" s="0">
        <f>IF(AND($V122&lt;&gt;"No",$E122="Legendary",NOT(ISNUMBER(SEARCH("Ideas",$F122)))),$W122,NA())</f>
      </c>
      <c r="AG122" s="0">
        <f>IF(AND($V122&lt;&gt;"No",ISNUMBER(SEARCH("Knight",$C122)),NOT(ISNUMBER(SEARCH("Ideas",$F122)))),$X122,NA())</f>
      </c>
      <c r="AH122" s="0">
        <f>IF(AND($V122&lt;&gt;"No",ISNUMBER(SEARCH("Mage",$C122)),NOT(ISNUMBER(SEARCH("Ideas",$F122)))),$X122,NA())</f>
      </c>
      <c r="AI122" s="0">
        <f>IF(AND($V122&lt;&gt;"No",ISNUMBER(SEARCH("Rogue",$C122)),NOT(ISNUMBER(SEARCH("Ideas",$F122)))),$X122,NA())</f>
      </c>
      <c r="AJ122" s="0">
        <f>IF($V122&lt;&gt;"No",$Y122,NA())</f>
      </c>
      <c r="AK122" s="0">
        <f>IF(AND($V122&lt;&gt;"No",ISNUMBER(SEARCH("Ideas",$F122))),$W122,NA())</f>
      </c>
      <c r="AL122" s="0">
        <f>IF(AND($V122&lt;&gt;"No",ISNUMBER(SEARCH("Cleric",$C122)),NOT(ISNUMBER(SEARCH("Ideas",$F122)))),$X122,NA())</f>
      </c>
    </row>
    <row r="123">
      <c r="A123" s="0" t="s">
        <v>535</v>
      </c>
      <c r="B123" s="0" t="s">
        <v>535</v>
      </c>
      <c r="C123" s="0" t="s">
        <v>446</v>
      </c>
      <c r="D123" s="0">
        <v>1</v>
      </c>
      <c r="E123" s="0" t="s">
        <v>62</v>
      </c>
      <c r="F123" s="0" t="s">
        <v>446</v>
      </c>
      <c r="G123" s="0">
        <v>1</v>
      </c>
      <c r="H123" s="0">
        <v>9</v>
      </c>
      <c r="I123" s="0">
        <v>0</v>
      </c>
      <c r="J123" s="0">
        <v>5</v>
      </c>
      <c r="K123" s="0">
        <v>5</v>
      </c>
      <c r="L123" s="0">
        <v>0</v>
      </c>
      <c r="M123" s="0">
        <v>0</v>
      </c>
      <c r="N123" s="0">
        <v>0</v>
      </c>
      <c r="O123" s="0">
        <v>0</v>
      </c>
      <c r="P123" s="0">
        <v>0</v>
      </c>
      <c r="Q123" s="0">
        <v>0</v>
      </c>
      <c r="R123" s="0">
        <v>0</v>
      </c>
      <c r="S123" s="0">
        <v>0</v>
      </c>
      <c r="T123" s="0" t="s">
        <v>34</v>
      </c>
      <c r="U123" s="0" t="s">
        <v>34</v>
      </c>
      <c r="V123" s="0" t="s">
        <v>882</v>
      </c>
      <c r="W123" s="11">
        <f>IF($V123="No","",ROUND((I123*w_Damage + N123*w_Poison + P123*w_Weaken*w_Horizon)*MIN(1+(G123-1)*w_OccEnemy,w_MaxEnemies) + (J123*w_Heal + K123*w_Shield + L123*w_Block + M123*w_Parry + O123*w_Strength*w_Horizon + S123*w_Combo)*MIN(1+(H123-1)*w_OccAlly,w_MaxAllies) + Q123*w_Draw + R123*w_Move,2))</f>
      </c>
      <c r="X123" s="11">
        <f>IF(W123="","",ROUND(W123/MAX(D123,1),2))</f>
      </c>
      <c r="Y123" s="11">
        <f>IF($V123="No","",ROUND((curve_Base+curve_Slope*D123)*IFERROR(VLOOKUP(E123,rarity_Mult,2,FALSE),1),2))</f>
      </c>
      <c r="Z123" s="11">
        <f>IF(OR(W123="",Y123=""),"",ROUND(W123-Y123,2))</f>
      </c>
      <c r="AA123" s="0">
        <f>IF(Z123="","",IF($V123="Partial","RIDER",IF(ABS(Z123)&lt;=Y123*tol_Pct,"OK",IF(Z123&gt;0,"OVER","UNDER"))))</f>
      </c>
      <c r="AB123" s="0" t="s">
        <v>34</v>
      </c>
      <c r="AC123" s="0">
        <f>IF(AND($V123&lt;&gt;"No",$E123="Common",NOT(ISNUMBER(SEARCH("Ideas",$F123)))),$W123,NA())</f>
      </c>
      <c r="AD123" s="0">
        <f>IF(AND($V123&lt;&gt;"No",$E123="Uncommon",NOT(ISNUMBER(SEARCH("Ideas",$F123)))),$W123,NA())</f>
      </c>
      <c r="AE123" s="0">
        <f>IF(AND($V123&lt;&gt;"No",$E123="Rare",NOT(ISNUMBER(SEARCH("Ideas",$F123)))),$W123,NA())</f>
      </c>
      <c r="AF123" s="0">
        <f>IF(AND($V123&lt;&gt;"No",$E123="Legendary",NOT(ISNUMBER(SEARCH("Ideas",$F123)))),$W123,NA())</f>
      </c>
      <c r="AG123" s="0">
        <f>IF(AND($V123&lt;&gt;"No",ISNUMBER(SEARCH("Knight",$C123)),NOT(ISNUMBER(SEARCH("Ideas",$F123)))),$X123,NA())</f>
      </c>
      <c r="AH123" s="0">
        <f>IF(AND($V123&lt;&gt;"No",ISNUMBER(SEARCH("Mage",$C123)),NOT(ISNUMBER(SEARCH("Ideas",$F123)))),$X123,NA())</f>
      </c>
      <c r="AI123" s="0">
        <f>IF(AND($V123&lt;&gt;"No",ISNUMBER(SEARCH("Rogue",$C123)),NOT(ISNUMBER(SEARCH("Ideas",$F123)))),$X123,NA())</f>
      </c>
      <c r="AJ123" s="0">
        <f>IF($V123&lt;&gt;"No",$Y123,NA())</f>
      </c>
      <c r="AK123" s="0">
        <f>IF(AND($V123&lt;&gt;"No",ISNUMBER(SEARCH("Ideas",$F123))),$W123,NA())</f>
      </c>
      <c r="AL123" s="0">
        <f>IF(AND($V123&lt;&gt;"No",ISNUMBER(SEARCH("Cleric",$C123)),NOT(ISNUMBER(SEARCH("Ideas",$F123)))),$X123,NA())</f>
      </c>
    </row>
    <row r="124">
      <c r="A124" s="0" t="s">
        <v>538</v>
      </c>
      <c r="B124" s="0" t="s">
        <v>538</v>
      </c>
      <c r="C124" s="0" t="s">
        <v>446</v>
      </c>
      <c r="D124" s="0">
        <v>1</v>
      </c>
      <c r="E124" s="0" t="s">
        <v>32</v>
      </c>
      <c r="F124" s="0" t="s">
        <v>446</v>
      </c>
      <c r="G124" s="0">
        <v>1</v>
      </c>
      <c r="H124" s="0">
        <v>1</v>
      </c>
      <c r="I124" s="0">
        <v>0</v>
      </c>
      <c r="J124" s="0">
        <v>5</v>
      </c>
      <c r="K124" s="0">
        <v>0</v>
      </c>
      <c r="L124" s="0">
        <v>5</v>
      </c>
      <c r="M124" s="0">
        <v>0</v>
      </c>
      <c r="N124" s="0">
        <v>0</v>
      </c>
      <c r="O124" s="0">
        <v>0</v>
      </c>
      <c r="P124" s="0">
        <v>0</v>
      </c>
      <c r="Q124" s="0">
        <v>0</v>
      </c>
      <c r="R124" s="0">
        <v>0</v>
      </c>
      <c r="S124" s="0">
        <v>0</v>
      </c>
      <c r="T124" s="0" t="s">
        <v>34</v>
      </c>
      <c r="U124" s="0" t="s">
        <v>34</v>
      </c>
      <c r="V124" s="0" t="s">
        <v>882</v>
      </c>
      <c r="W124" s="11">
        <f>IF($V124="No","",ROUND((I124*w_Damage + N124*w_Poison + P124*w_Weaken*w_Horizon)*MIN(1+(G124-1)*w_OccEnemy,w_MaxEnemies) + (J124*w_Heal + K124*w_Shield + L124*w_Block + M124*w_Parry + O124*w_Strength*w_Horizon + S124*w_Combo)*MIN(1+(H124-1)*w_OccAlly,w_MaxAllies) + Q124*w_Draw + R124*w_Move,2))</f>
      </c>
      <c r="X124" s="11">
        <f>IF(W124="","",ROUND(W124/MAX(D124,1),2))</f>
      </c>
      <c r="Y124" s="11">
        <f>IF($V124="No","",ROUND((curve_Base+curve_Slope*D124)*IFERROR(VLOOKUP(E124,rarity_Mult,2,FALSE),1),2))</f>
      </c>
      <c r="Z124" s="11">
        <f>IF(OR(W124="",Y124=""),"",ROUND(W124-Y124,2))</f>
      </c>
      <c r="AA124" s="0">
        <f>IF(Z124="","",IF($V124="Partial","RIDER",IF(ABS(Z124)&lt;=Y124*tol_Pct,"OK",IF(Z124&gt;0,"OVER","UNDER"))))</f>
      </c>
      <c r="AB124" s="0" t="s">
        <v>34</v>
      </c>
      <c r="AC124" s="0">
        <f>IF(AND($V124&lt;&gt;"No",$E124="Common",NOT(ISNUMBER(SEARCH("Ideas",$F124)))),$W124,NA())</f>
      </c>
      <c r="AD124" s="0">
        <f>IF(AND($V124&lt;&gt;"No",$E124="Uncommon",NOT(ISNUMBER(SEARCH("Ideas",$F124)))),$W124,NA())</f>
      </c>
      <c r="AE124" s="0">
        <f>IF(AND($V124&lt;&gt;"No",$E124="Rare",NOT(ISNUMBER(SEARCH("Ideas",$F124)))),$W124,NA())</f>
      </c>
      <c r="AF124" s="0">
        <f>IF(AND($V124&lt;&gt;"No",$E124="Legendary",NOT(ISNUMBER(SEARCH("Ideas",$F124)))),$W124,NA())</f>
      </c>
      <c r="AG124" s="0">
        <f>IF(AND($V124&lt;&gt;"No",ISNUMBER(SEARCH("Knight",$C124)),NOT(ISNUMBER(SEARCH("Ideas",$F124)))),$X124,NA())</f>
      </c>
      <c r="AH124" s="0">
        <f>IF(AND($V124&lt;&gt;"No",ISNUMBER(SEARCH("Mage",$C124)),NOT(ISNUMBER(SEARCH("Ideas",$F124)))),$X124,NA())</f>
      </c>
      <c r="AI124" s="0">
        <f>IF(AND($V124&lt;&gt;"No",ISNUMBER(SEARCH("Rogue",$C124)),NOT(ISNUMBER(SEARCH("Ideas",$F124)))),$X124,NA())</f>
      </c>
      <c r="AJ124" s="0">
        <f>IF($V124&lt;&gt;"No",$Y124,NA())</f>
      </c>
      <c r="AK124" s="0">
        <f>IF(AND($V124&lt;&gt;"No",ISNUMBER(SEARCH("Ideas",$F124))),$W124,NA())</f>
      </c>
      <c r="AL124" s="0">
        <f>IF(AND($V124&lt;&gt;"No",ISNUMBER(SEARCH("Cleric",$C124)),NOT(ISNUMBER(SEARCH("Ideas",$F124)))),$X124,NA())</f>
      </c>
    </row>
    <row r="125">
      <c r="A125" s="0" t="s">
        <v>541</v>
      </c>
      <c r="B125" s="0" t="s">
        <v>541</v>
      </c>
      <c r="C125" s="0" t="s">
        <v>446</v>
      </c>
      <c r="D125" s="0">
        <v>1</v>
      </c>
      <c r="E125" s="0" t="s">
        <v>81</v>
      </c>
      <c r="F125" s="0" t="s">
        <v>446</v>
      </c>
      <c r="G125" s="0">
        <v>1</v>
      </c>
      <c r="H125" s="0">
        <v>1</v>
      </c>
      <c r="I125" s="0">
        <v>0</v>
      </c>
      <c r="J125" s="0">
        <v>9</v>
      </c>
      <c r="K125" s="0">
        <v>0</v>
      </c>
      <c r="L125" s="0">
        <v>0</v>
      </c>
      <c r="M125" s="0">
        <v>0</v>
      </c>
      <c r="N125" s="0">
        <v>0</v>
      </c>
      <c r="O125" s="0">
        <v>0</v>
      </c>
      <c r="P125" s="0">
        <v>0</v>
      </c>
      <c r="Q125" s="0">
        <v>0</v>
      </c>
      <c r="R125" s="0">
        <v>0</v>
      </c>
      <c r="S125" s="0">
        <v>0</v>
      </c>
      <c r="T125" s="0" t="s">
        <v>34</v>
      </c>
      <c r="U125" s="0" t="s">
        <v>34</v>
      </c>
      <c r="V125" s="0" t="s">
        <v>882</v>
      </c>
      <c r="W125" s="11">
        <f>IF($V125="No","",ROUND((I125*w_Damage + N125*w_Poison + P125*w_Weaken*w_Horizon)*MIN(1+(G125-1)*w_OccEnemy,w_MaxEnemies) + (J125*w_Heal + K125*w_Shield + L125*w_Block + M125*w_Parry + O125*w_Strength*w_Horizon + S125*w_Combo)*MIN(1+(H125-1)*w_OccAlly,w_MaxAllies) + Q125*w_Draw + R125*w_Move,2))</f>
      </c>
      <c r="X125" s="11">
        <f>IF(W125="","",ROUND(W125/MAX(D125,1),2))</f>
      </c>
      <c r="Y125" s="11">
        <f>IF($V125="No","",ROUND((curve_Base+curve_Slope*D125)*IFERROR(VLOOKUP(E125,rarity_Mult,2,FALSE),1),2))</f>
      </c>
      <c r="Z125" s="11">
        <f>IF(OR(W125="",Y125=""),"",ROUND(W125-Y125,2))</f>
      </c>
      <c r="AA125" s="0">
        <f>IF(Z125="","",IF($V125="Partial","RIDER",IF(ABS(Z125)&lt;=Y125*tol_Pct,"OK",IF(Z125&gt;0,"OVER","UNDER"))))</f>
      </c>
      <c r="AB125" s="0" t="s">
        <v>34</v>
      </c>
      <c r="AC125" s="0">
        <f>IF(AND($V125&lt;&gt;"No",$E125="Common",NOT(ISNUMBER(SEARCH("Ideas",$F125)))),$W125,NA())</f>
      </c>
      <c r="AD125" s="0">
        <f>IF(AND($V125&lt;&gt;"No",$E125="Uncommon",NOT(ISNUMBER(SEARCH("Ideas",$F125)))),$W125,NA())</f>
      </c>
      <c r="AE125" s="0">
        <f>IF(AND($V125&lt;&gt;"No",$E125="Rare",NOT(ISNUMBER(SEARCH("Ideas",$F125)))),$W125,NA())</f>
      </c>
      <c r="AF125" s="0">
        <f>IF(AND($V125&lt;&gt;"No",$E125="Legendary",NOT(ISNUMBER(SEARCH("Ideas",$F125)))),$W125,NA())</f>
      </c>
      <c r="AG125" s="0">
        <f>IF(AND($V125&lt;&gt;"No",ISNUMBER(SEARCH("Knight",$C125)),NOT(ISNUMBER(SEARCH("Ideas",$F125)))),$X125,NA())</f>
      </c>
      <c r="AH125" s="0">
        <f>IF(AND($V125&lt;&gt;"No",ISNUMBER(SEARCH("Mage",$C125)),NOT(ISNUMBER(SEARCH("Ideas",$F125)))),$X125,NA())</f>
      </c>
      <c r="AI125" s="0">
        <f>IF(AND($V125&lt;&gt;"No",ISNUMBER(SEARCH("Rogue",$C125)),NOT(ISNUMBER(SEARCH("Ideas",$F125)))),$X125,NA())</f>
      </c>
      <c r="AJ125" s="0">
        <f>IF($V125&lt;&gt;"No",$Y125,NA())</f>
      </c>
      <c r="AK125" s="0">
        <f>IF(AND($V125&lt;&gt;"No",ISNUMBER(SEARCH("Ideas",$F125))),$W125,NA())</f>
      </c>
      <c r="AL125" s="0">
        <f>IF(AND($V125&lt;&gt;"No",ISNUMBER(SEARCH("Cleric",$C125)),NOT(ISNUMBER(SEARCH("Ideas",$F125)))),$X125,NA())</f>
      </c>
    </row>
    <row r="126">
      <c r="A126" s="0" t="s">
        <v>544</v>
      </c>
      <c r="B126" s="0" t="s">
        <v>544</v>
      </c>
      <c r="C126" s="0" t="s">
        <v>446</v>
      </c>
      <c r="D126" s="0">
        <v>1</v>
      </c>
      <c r="E126" s="0" t="s">
        <v>32</v>
      </c>
      <c r="F126" s="0" t="s">
        <v>446</v>
      </c>
      <c r="G126" s="0">
        <v>1</v>
      </c>
      <c r="H126" s="0">
        <v>1</v>
      </c>
      <c r="I126" s="0">
        <v>7</v>
      </c>
      <c r="J126" s="0">
        <v>3</v>
      </c>
      <c r="K126" s="0">
        <v>0</v>
      </c>
      <c r="L126" s="0">
        <v>0</v>
      </c>
      <c r="M126" s="0">
        <v>0</v>
      </c>
      <c r="N126" s="0">
        <v>0</v>
      </c>
      <c r="O126" s="0">
        <v>0</v>
      </c>
      <c r="P126" s="0">
        <v>0</v>
      </c>
      <c r="Q126" s="0">
        <v>0</v>
      </c>
      <c r="R126" s="0">
        <v>0</v>
      </c>
      <c r="S126" s="0">
        <v>0</v>
      </c>
      <c r="T126" s="0" t="s">
        <v>34</v>
      </c>
      <c r="U126" s="0" t="s">
        <v>34</v>
      </c>
      <c r="V126" s="0" t="s">
        <v>882</v>
      </c>
      <c r="W126" s="11">
        <f>IF($V126="No","",ROUND((I126*w_Damage + N126*w_Poison + P126*w_Weaken*w_Horizon)*MIN(1+(G126-1)*w_OccEnemy,w_MaxEnemies) + (J126*w_Heal + K126*w_Shield + L126*w_Block + M126*w_Parry + O126*w_Strength*w_Horizon + S126*w_Combo)*MIN(1+(H126-1)*w_OccAlly,w_MaxAllies) + Q126*w_Draw + R126*w_Move,2))</f>
      </c>
      <c r="X126" s="11">
        <f>IF(W126="","",ROUND(W126/MAX(D126,1),2))</f>
      </c>
      <c r="Y126" s="11">
        <f>IF($V126="No","",ROUND((curve_Base+curve_Slope*D126)*IFERROR(VLOOKUP(E126,rarity_Mult,2,FALSE),1),2))</f>
      </c>
      <c r="Z126" s="11">
        <f>IF(OR(W126="",Y126=""),"",ROUND(W126-Y126,2))</f>
      </c>
      <c r="AA126" s="0">
        <f>IF(Z126="","",IF($V126="Partial","RIDER",IF(ABS(Z126)&lt;=Y126*tol_Pct,"OK",IF(Z126&gt;0,"OVER","UNDER"))))</f>
      </c>
      <c r="AB126" s="0" t="s">
        <v>34</v>
      </c>
      <c r="AC126" s="0">
        <f>IF(AND($V126&lt;&gt;"No",$E126="Common",NOT(ISNUMBER(SEARCH("Ideas",$F126)))),$W126,NA())</f>
      </c>
      <c r="AD126" s="0">
        <f>IF(AND($V126&lt;&gt;"No",$E126="Uncommon",NOT(ISNUMBER(SEARCH("Ideas",$F126)))),$W126,NA())</f>
      </c>
      <c r="AE126" s="0">
        <f>IF(AND($V126&lt;&gt;"No",$E126="Rare",NOT(ISNUMBER(SEARCH("Ideas",$F126)))),$W126,NA())</f>
      </c>
      <c r="AF126" s="0">
        <f>IF(AND($V126&lt;&gt;"No",$E126="Legendary",NOT(ISNUMBER(SEARCH("Ideas",$F126)))),$W126,NA())</f>
      </c>
      <c r="AG126" s="0">
        <f>IF(AND($V126&lt;&gt;"No",ISNUMBER(SEARCH("Knight",$C126)),NOT(ISNUMBER(SEARCH("Ideas",$F126)))),$X126,NA())</f>
      </c>
      <c r="AH126" s="0">
        <f>IF(AND($V126&lt;&gt;"No",ISNUMBER(SEARCH("Mage",$C126)),NOT(ISNUMBER(SEARCH("Ideas",$F126)))),$X126,NA())</f>
      </c>
      <c r="AI126" s="0">
        <f>IF(AND($V126&lt;&gt;"No",ISNUMBER(SEARCH("Rogue",$C126)),NOT(ISNUMBER(SEARCH("Ideas",$F126)))),$X126,NA())</f>
      </c>
      <c r="AJ126" s="0">
        <f>IF($V126&lt;&gt;"No",$Y126,NA())</f>
      </c>
      <c r="AK126" s="0">
        <f>IF(AND($V126&lt;&gt;"No",ISNUMBER(SEARCH("Ideas",$F126))),$W126,NA())</f>
      </c>
      <c r="AL126" s="0">
        <f>IF(AND($V126&lt;&gt;"No",ISNUMBER(SEARCH("Cleric",$C126)),NOT(ISNUMBER(SEARCH("Ideas",$F126)))),$X126,NA())</f>
      </c>
    </row>
    <row r="127">
      <c r="A127" s="0" t="s">
        <v>548</v>
      </c>
      <c r="B127" s="0" t="s">
        <v>548</v>
      </c>
      <c r="C127" s="0" t="s">
        <v>446</v>
      </c>
      <c r="D127" s="0">
        <v>2</v>
      </c>
      <c r="E127" s="0" t="s">
        <v>62</v>
      </c>
      <c r="F127" s="0" t="s">
        <v>446</v>
      </c>
      <c r="G127" s="0">
        <v>1</v>
      </c>
      <c r="H127" s="0">
        <v>13</v>
      </c>
      <c r="I127" s="0">
        <v>0</v>
      </c>
      <c r="J127" s="0">
        <v>5</v>
      </c>
      <c r="K127" s="0">
        <v>0</v>
      </c>
      <c r="L127" s="0">
        <v>0</v>
      </c>
      <c r="M127" s="0">
        <v>0</v>
      </c>
      <c r="N127" s="0">
        <v>0</v>
      </c>
      <c r="O127" s="0">
        <v>0</v>
      </c>
      <c r="P127" s="0">
        <v>0</v>
      </c>
      <c r="Q127" s="0">
        <v>1</v>
      </c>
      <c r="R127" s="0">
        <v>0</v>
      </c>
      <c r="S127" s="0">
        <v>0</v>
      </c>
      <c r="T127" s="0" t="s">
        <v>34</v>
      </c>
      <c r="U127" s="0" t="s">
        <v>34</v>
      </c>
      <c r="V127" s="0" t="s">
        <v>882</v>
      </c>
      <c r="W127" s="11">
        <f>IF($V127="No","",ROUND((I127*w_Damage + N127*w_Poison + P127*w_Weaken*w_Horizon)*MIN(1+(G127-1)*w_OccEnemy,w_MaxEnemies) + (J127*w_Heal + K127*w_Shield + L127*w_Block + M127*w_Parry + O127*w_Strength*w_Horizon + S127*w_Combo)*MIN(1+(H127-1)*w_OccAlly,w_MaxAllies) + Q127*w_Draw + R127*w_Move,2))</f>
      </c>
      <c r="X127" s="11">
        <f>IF(W127="","",ROUND(W127/MAX(D127,1),2))</f>
      </c>
      <c r="Y127" s="11">
        <f>IF($V127="No","",ROUND((curve_Base+curve_Slope*D127)*IFERROR(VLOOKUP(E127,rarity_Mult,2,FALSE),1),2))</f>
      </c>
      <c r="Z127" s="11">
        <f>IF(OR(W127="",Y127=""),"",ROUND(W127-Y127,2))</f>
      </c>
      <c r="AA127" s="0">
        <f>IF(Z127="","",IF($V127="Partial","RIDER",IF(ABS(Z127)&lt;=Y127*tol_Pct,"OK",IF(Z127&gt;0,"OVER","UNDER"))))</f>
      </c>
      <c r="AB127" s="0" t="s">
        <v>34</v>
      </c>
      <c r="AC127" s="0">
        <f>IF(AND($V127&lt;&gt;"No",$E127="Common",NOT(ISNUMBER(SEARCH("Ideas",$F127)))),$W127,NA())</f>
      </c>
      <c r="AD127" s="0">
        <f>IF(AND($V127&lt;&gt;"No",$E127="Uncommon",NOT(ISNUMBER(SEARCH("Ideas",$F127)))),$W127,NA())</f>
      </c>
      <c r="AE127" s="0">
        <f>IF(AND($V127&lt;&gt;"No",$E127="Rare",NOT(ISNUMBER(SEARCH("Ideas",$F127)))),$W127,NA())</f>
      </c>
      <c r="AF127" s="0">
        <f>IF(AND($V127&lt;&gt;"No",$E127="Legendary",NOT(ISNUMBER(SEARCH("Ideas",$F127)))),$W127,NA())</f>
      </c>
      <c r="AG127" s="0">
        <f>IF(AND($V127&lt;&gt;"No",ISNUMBER(SEARCH("Knight",$C127)),NOT(ISNUMBER(SEARCH("Ideas",$F127)))),$X127,NA())</f>
      </c>
      <c r="AH127" s="0">
        <f>IF(AND($V127&lt;&gt;"No",ISNUMBER(SEARCH("Mage",$C127)),NOT(ISNUMBER(SEARCH("Ideas",$F127)))),$X127,NA())</f>
      </c>
      <c r="AI127" s="0">
        <f>IF(AND($V127&lt;&gt;"No",ISNUMBER(SEARCH("Rogue",$C127)),NOT(ISNUMBER(SEARCH("Ideas",$F127)))),$X127,NA())</f>
      </c>
      <c r="AJ127" s="0">
        <f>IF($V127&lt;&gt;"No",$Y127,NA())</f>
      </c>
      <c r="AK127" s="0">
        <f>IF(AND($V127&lt;&gt;"No",ISNUMBER(SEARCH("Ideas",$F127))),$W127,NA())</f>
      </c>
      <c r="AL127" s="0">
        <f>IF(AND($V127&lt;&gt;"No",ISNUMBER(SEARCH("Cleric",$C127)),NOT(ISNUMBER(SEARCH("Ideas",$F127)))),$X127,NA())</f>
      </c>
    </row>
    <row r="128">
      <c r="A128" s="0" t="s">
        <v>551</v>
      </c>
      <c r="B128" s="0" t="s">
        <v>551</v>
      </c>
      <c r="C128" s="0" t="s">
        <v>446</v>
      </c>
      <c r="D128" s="0">
        <v>2</v>
      </c>
      <c r="E128" s="0" t="s">
        <v>32</v>
      </c>
      <c r="F128" s="0" t="s">
        <v>446</v>
      </c>
      <c r="G128" s="0">
        <v>1</v>
      </c>
      <c r="H128" s="0">
        <v>1</v>
      </c>
      <c r="I128" s="0">
        <v>0</v>
      </c>
      <c r="J128" s="0">
        <v>5</v>
      </c>
      <c r="K128" s="0">
        <v>0</v>
      </c>
      <c r="L128" s="0">
        <v>0</v>
      </c>
      <c r="M128" s="0">
        <v>0</v>
      </c>
      <c r="N128" s="0">
        <v>0</v>
      </c>
      <c r="O128" s="0">
        <v>3</v>
      </c>
      <c r="P128" s="0">
        <v>0</v>
      </c>
      <c r="Q128" s="0">
        <v>0</v>
      </c>
      <c r="R128" s="0">
        <v>0</v>
      </c>
      <c r="S128" s="0">
        <v>0</v>
      </c>
      <c r="T128" s="0" t="s">
        <v>34</v>
      </c>
      <c r="U128" s="0" t="s">
        <v>34</v>
      </c>
      <c r="V128" s="0" t="s">
        <v>882</v>
      </c>
      <c r="W128" s="11">
        <f>IF($V128="No","",ROUND((I128*w_Damage + N128*w_Poison + P128*w_Weaken*w_Horizon)*MIN(1+(G128-1)*w_OccEnemy,w_MaxEnemies) + (J128*w_Heal + K128*w_Shield + L128*w_Block + M128*w_Parry + O128*w_Strength*w_Horizon + S128*w_Combo)*MIN(1+(H128-1)*w_OccAlly,w_MaxAllies) + Q128*w_Draw + R128*w_Move,2))</f>
      </c>
      <c r="X128" s="11">
        <f>IF(W128="","",ROUND(W128/MAX(D128,1),2))</f>
      </c>
      <c r="Y128" s="11">
        <f>IF($V128="No","",ROUND((curve_Base+curve_Slope*D128)*IFERROR(VLOOKUP(E128,rarity_Mult,2,FALSE),1),2))</f>
      </c>
      <c r="Z128" s="11">
        <f>IF(OR(W128="",Y128=""),"",ROUND(W128-Y128,2))</f>
      </c>
      <c r="AA128" s="0">
        <f>IF(Z128="","",IF($V128="Partial","RIDER",IF(ABS(Z128)&lt;=Y128*tol_Pct,"OK",IF(Z128&gt;0,"OVER","UNDER"))))</f>
      </c>
      <c r="AB128" s="0" t="s">
        <v>34</v>
      </c>
      <c r="AC128" s="0">
        <f>IF(AND($V128&lt;&gt;"No",$E128="Common",NOT(ISNUMBER(SEARCH("Ideas",$F128)))),$W128,NA())</f>
      </c>
      <c r="AD128" s="0">
        <f>IF(AND($V128&lt;&gt;"No",$E128="Uncommon",NOT(ISNUMBER(SEARCH("Ideas",$F128)))),$W128,NA())</f>
      </c>
      <c r="AE128" s="0">
        <f>IF(AND($V128&lt;&gt;"No",$E128="Rare",NOT(ISNUMBER(SEARCH("Ideas",$F128)))),$W128,NA())</f>
      </c>
      <c r="AF128" s="0">
        <f>IF(AND($V128&lt;&gt;"No",$E128="Legendary",NOT(ISNUMBER(SEARCH("Ideas",$F128)))),$W128,NA())</f>
      </c>
      <c r="AG128" s="0">
        <f>IF(AND($V128&lt;&gt;"No",ISNUMBER(SEARCH("Knight",$C128)),NOT(ISNUMBER(SEARCH("Ideas",$F128)))),$X128,NA())</f>
      </c>
      <c r="AH128" s="0">
        <f>IF(AND($V128&lt;&gt;"No",ISNUMBER(SEARCH("Mage",$C128)),NOT(ISNUMBER(SEARCH("Ideas",$F128)))),$X128,NA())</f>
      </c>
      <c r="AI128" s="0">
        <f>IF(AND($V128&lt;&gt;"No",ISNUMBER(SEARCH("Rogue",$C128)),NOT(ISNUMBER(SEARCH("Ideas",$F128)))),$X128,NA())</f>
      </c>
      <c r="AJ128" s="0">
        <f>IF($V128&lt;&gt;"No",$Y128,NA())</f>
      </c>
      <c r="AK128" s="0">
        <f>IF(AND($V128&lt;&gt;"No",ISNUMBER(SEARCH("Ideas",$F128))),$W128,NA())</f>
      </c>
      <c r="AL128" s="0">
        <f>IF(AND($V128&lt;&gt;"No",ISNUMBER(SEARCH("Cleric",$C128)),NOT(ISNUMBER(SEARCH("Ideas",$F128)))),$X128,NA())</f>
      </c>
    </row>
    <row r="129">
      <c r="A129" s="0" t="s">
        <v>554</v>
      </c>
      <c r="B129" s="0" t="s">
        <v>554</v>
      </c>
      <c r="C129" s="0" t="s">
        <v>446</v>
      </c>
      <c r="D129" s="0">
        <v>2</v>
      </c>
      <c r="E129" s="0" t="s">
        <v>32</v>
      </c>
      <c r="F129" s="0" t="s">
        <v>446</v>
      </c>
      <c r="G129" s="0">
        <v>1</v>
      </c>
      <c r="H129" s="0">
        <v>1</v>
      </c>
      <c r="I129" s="0">
        <v>0</v>
      </c>
      <c r="J129" s="0">
        <v>5</v>
      </c>
      <c r="K129" s="0">
        <v>0</v>
      </c>
      <c r="L129" s="0">
        <v>5</v>
      </c>
      <c r="M129" s="0">
        <v>0</v>
      </c>
      <c r="N129" s="0">
        <v>0</v>
      </c>
      <c r="O129" s="0">
        <v>0</v>
      </c>
      <c r="P129" s="0">
        <v>0</v>
      </c>
      <c r="Q129" s="0">
        <v>0</v>
      </c>
      <c r="R129" s="0">
        <v>0</v>
      </c>
      <c r="S129" s="0">
        <v>0</v>
      </c>
      <c r="T129" s="0" t="s">
        <v>34</v>
      </c>
      <c r="U129" s="0" t="s">
        <v>34</v>
      </c>
      <c r="V129" s="0" t="s">
        <v>882</v>
      </c>
      <c r="W129" s="11">
        <f>IF($V129="No","",ROUND((I129*w_Damage + N129*w_Poison + P129*w_Weaken*w_Horizon)*MIN(1+(G129-1)*w_OccEnemy,w_MaxEnemies) + (J129*w_Heal + K129*w_Shield + L129*w_Block + M129*w_Parry + O129*w_Strength*w_Horizon + S129*w_Combo)*MIN(1+(H129-1)*w_OccAlly,w_MaxAllies) + Q129*w_Draw + R129*w_Move,2))</f>
      </c>
      <c r="X129" s="11">
        <f>IF(W129="","",ROUND(W129/MAX(D129,1),2))</f>
      </c>
      <c r="Y129" s="11">
        <f>IF($V129="No","",ROUND((curve_Base+curve_Slope*D129)*IFERROR(VLOOKUP(E129,rarity_Mult,2,FALSE),1),2))</f>
      </c>
      <c r="Z129" s="11">
        <f>IF(OR(W129="",Y129=""),"",ROUND(W129-Y129,2))</f>
      </c>
      <c r="AA129" s="0">
        <f>IF(Z129="","",IF($V129="Partial","RIDER",IF(ABS(Z129)&lt;=Y129*tol_Pct,"OK",IF(Z129&gt;0,"OVER","UNDER"))))</f>
      </c>
      <c r="AB129" s="0" t="s">
        <v>34</v>
      </c>
      <c r="AC129" s="0">
        <f>IF(AND($V129&lt;&gt;"No",$E129="Common",NOT(ISNUMBER(SEARCH("Ideas",$F129)))),$W129,NA())</f>
      </c>
      <c r="AD129" s="0">
        <f>IF(AND($V129&lt;&gt;"No",$E129="Uncommon",NOT(ISNUMBER(SEARCH("Ideas",$F129)))),$W129,NA())</f>
      </c>
      <c r="AE129" s="0">
        <f>IF(AND($V129&lt;&gt;"No",$E129="Rare",NOT(ISNUMBER(SEARCH("Ideas",$F129)))),$W129,NA())</f>
      </c>
      <c r="AF129" s="0">
        <f>IF(AND($V129&lt;&gt;"No",$E129="Legendary",NOT(ISNUMBER(SEARCH("Ideas",$F129)))),$W129,NA())</f>
      </c>
      <c r="AG129" s="0">
        <f>IF(AND($V129&lt;&gt;"No",ISNUMBER(SEARCH("Knight",$C129)),NOT(ISNUMBER(SEARCH("Ideas",$F129)))),$X129,NA())</f>
      </c>
      <c r="AH129" s="0">
        <f>IF(AND($V129&lt;&gt;"No",ISNUMBER(SEARCH("Mage",$C129)),NOT(ISNUMBER(SEARCH("Ideas",$F129)))),$X129,NA())</f>
      </c>
      <c r="AI129" s="0">
        <f>IF(AND($V129&lt;&gt;"No",ISNUMBER(SEARCH("Rogue",$C129)),NOT(ISNUMBER(SEARCH("Ideas",$F129)))),$X129,NA())</f>
      </c>
      <c r="AJ129" s="0">
        <f>IF($V129&lt;&gt;"No",$Y129,NA())</f>
      </c>
      <c r="AK129" s="0">
        <f>IF(AND($V129&lt;&gt;"No",ISNUMBER(SEARCH("Ideas",$F129))),$W129,NA())</f>
      </c>
      <c r="AL129" s="0">
        <f>IF(AND($V129&lt;&gt;"No",ISNUMBER(SEARCH("Cleric",$C129)),NOT(ISNUMBER(SEARCH("Ideas",$F129)))),$X129,NA())</f>
      </c>
    </row>
    <row r="130">
      <c r="A130" s="0" t="s">
        <v>557</v>
      </c>
      <c r="B130" s="0" t="s">
        <v>557</v>
      </c>
      <c r="C130" s="0" t="s">
        <v>446</v>
      </c>
      <c r="D130" s="0">
        <v>2</v>
      </c>
      <c r="E130" s="0" t="s">
        <v>32</v>
      </c>
      <c r="F130" s="0" t="s">
        <v>446</v>
      </c>
      <c r="G130" s="0">
        <v>1</v>
      </c>
      <c r="H130" s="0">
        <v>1</v>
      </c>
      <c r="I130" s="0">
        <v>0</v>
      </c>
      <c r="J130" s="0">
        <v>0</v>
      </c>
      <c r="K130" s="0">
        <v>0</v>
      </c>
      <c r="L130" s="0">
        <v>0</v>
      </c>
      <c r="M130" s="0">
        <v>0</v>
      </c>
      <c r="N130" s="0">
        <v>0</v>
      </c>
      <c r="O130" s="0">
        <v>0</v>
      </c>
      <c r="P130" s="0">
        <v>0</v>
      </c>
      <c r="Q130" s="0">
        <v>0</v>
      </c>
      <c r="R130" s="0">
        <v>0</v>
      </c>
      <c r="S130" s="0">
        <v>0</v>
      </c>
      <c r="T130" s="0" t="s">
        <v>34</v>
      </c>
      <c r="U130" s="0" t="s">
        <v>1835</v>
      </c>
      <c r="V130" s="0" t="s">
        <v>1407</v>
      </c>
      <c r="W130" s="11">
        <f>IF($V130="No","",ROUND((I130*w_Damage + N130*w_Poison + P130*w_Weaken*w_Horizon)*MIN(1+(G130-1)*w_OccEnemy,w_MaxEnemies) + (J130*w_Heal + K130*w_Shield + L130*w_Block + M130*w_Parry + O130*w_Strength*w_Horizon + S130*w_Combo)*MIN(1+(H130-1)*w_OccAlly,w_MaxAllies) + Q130*w_Draw + R130*w_Move,2))</f>
      </c>
      <c r="X130" s="11">
        <f>IF(W130="","",ROUND(W130/MAX(D130,1),2))</f>
      </c>
      <c r="Y130" s="11">
        <f>IF($V130="No","",ROUND((curve_Base+curve_Slope*D130)*IFERROR(VLOOKUP(E130,rarity_Mult,2,FALSE),1),2))</f>
      </c>
      <c r="Z130" s="11">
        <f>IF(OR(W130="",Y130=""),"",ROUND(W130-Y130,2))</f>
      </c>
      <c r="AA130" s="0">
        <f>IF(Z130="","",IF($V130="Partial","RIDER",IF(ABS(Z130)&lt;=Y130*tol_Pct,"OK",IF(Z130&gt;0,"OVER","UNDER"))))</f>
      </c>
      <c r="AB130" s="0" t="s">
        <v>34</v>
      </c>
      <c r="AC130" s="0">
        <f>IF(AND($V130&lt;&gt;"No",$E130="Common",NOT(ISNUMBER(SEARCH("Ideas",$F130)))),$W130,NA())</f>
      </c>
      <c r="AD130" s="0">
        <f>IF(AND($V130&lt;&gt;"No",$E130="Uncommon",NOT(ISNUMBER(SEARCH("Ideas",$F130)))),$W130,NA())</f>
      </c>
      <c r="AE130" s="0">
        <f>IF(AND($V130&lt;&gt;"No",$E130="Rare",NOT(ISNUMBER(SEARCH("Ideas",$F130)))),$W130,NA())</f>
      </c>
      <c r="AF130" s="0">
        <f>IF(AND($V130&lt;&gt;"No",$E130="Legendary",NOT(ISNUMBER(SEARCH("Ideas",$F130)))),$W130,NA())</f>
      </c>
      <c r="AG130" s="0">
        <f>IF(AND($V130&lt;&gt;"No",ISNUMBER(SEARCH("Knight",$C130)),NOT(ISNUMBER(SEARCH("Ideas",$F130)))),$X130,NA())</f>
      </c>
      <c r="AH130" s="0">
        <f>IF(AND($V130&lt;&gt;"No",ISNUMBER(SEARCH("Mage",$C130)),NOT(ISNUMBER(SEARCH("Ideas",$F130)))),$X130,NA())</f>
      </c>
      <c r="AI130" s="0">
        <f>IF(AND($V130&lt;&gt;"No",ISNUMBER(SEARCH("Rogue",$C130)),NOT(ISNUMBER(SEARCH("Ideas",$F130)))),$X130,NA())</f>
      </c>
      <c r="AJ130" s="0">
        <f>IF($V130&lt;&gt;"No",$Y130,NA())</f>
      </c>
      <c r="AK130" s="0">
        <f>IF(AND($V130&lt;&gt;"No",ISNUMBER(SEARCH("Ideas",$F130))),$W130,NA())</f>
      </c>
      <c r="AL130" s="0">
        <f>IF(AND($V130&lt;&gt;"No",ISNUMBER(SEARCH("Cleric",$C130)),NOT(ISNUMBER(SEARCH("Ideas",$F130)))),$X130,NA())</f>
      </c>
    </row>
    <row r="131">
      <c r="A131" s="0" t="s">
        <v>559</v>
      </c>
      <c r="B131" s="0" t="s">
        <v>559</v>
      </c>
      <c r="C131" s="0" t="s">
        <v>446</v>
      </c>
      <c r="D131" s="0">
        <v>2</v>
      </c>
      <c r="E131" s="0" t="s">
        <v>62</v>
      </c>
      <c r="F131" s="0" t="s">
        <v>446</v>
      </c>
      <c r="G131" s="0">
        <v>1</v>
      </c>
      <c r="H131" s="0">
        <v>1</v>
      </c>
      <c r="I131" s="0">
        <v>0</v>
      </c>
      <c r="J131" s="0">
        <v>12</v>
      </c>
      <c r="K131" s="0">
        <v>0</v>
      </c>
      <c r="L131" s="0">
        <v>0</v>
      </c>
      <c r="M131" s="0">
        <v>0</v>
      </c>
      <c r="N131" s="0">
        <v>0</v>
      </c>
      <c r="O131" s="0">
        <v>0</v>
      </c>
      <c r="P131" s="0">
        <v>0</v>
      </c>
      <c r="Q131" s="0">
        <v>1</v>
      </c>
      <c r="R131" s="0">
        <v>0</v>
      </c>
      <c r="S131" s="0">
        <v>0</v>
      </c>
      <c r="T131" s="0" t="s">
        <v>34</v>
      </c>
      <c r="U131" s="0" t="s">
        <v>34</v>
      </c>
      <c r="V131" s="0" t="s">
        <v>882</v>
      </c>
      <c r="W131" s="11">
        <f>IF($V131="No","",ROUND((I131*w_Damage + N131*w_Poison + P131*w_Weaken*w_Horizon)*MIN(1+(G131-1)*w_OccEnemy,w_MaxEnemies) + (J131*w_Heal + K131*w_Shield + L131*w_Block + M131*w_Parry + O131*w_Strength*w_Horizon + S131*w_Combo)*MIN(1+(H131-1)*w_OccAlly,w_MaxAllies) + Q131*w_Draw + R131*w_Move,2))</f>
      </c>
      <c r="X131" s="11">
        <f>IF(W131="","",ROUND(W131/MAX(D131,1),2))</f>
      </c>
      <c r="Y131" s="11">
        <f>IF($V131="No","",ROUND((curve_Base+curve_Slope*D131)*IFERROR(VLOOKUP(E131,rarity_Mult,2,FALSE),1),2))</f>
      </c>
      <c r="Z131" s="11">
        <f>IF(OR(W131="",Y131=""),"",ROUND(W131-Y131,2))</f>
      </c>
      <c r="AA131" s="0">
        <f>IF(Z131="","",IF($V131="Partial","RIDER",IF(ABS(Z131)&lt;=Y131*tol_Pct,"OK",IF(Z131&gt;0,"OVER","UNDER"))))</f>
      </c>
      <c r="AB131" s="0" t="s">
        <v>34</v>
      </c>
      <c r="AC131" s="0">
        <f>IF(AND($V131&lt;&gt;"No",$E131="Common",NOT(ISNUMBER(SEARCH("Ideas",$F131)))),$W131,NA())</f>
      </c>
      <c r="AD131" s="0">
        <f>IF(AND($V131&lt;&gt;"No",$E131="Uncommon",NOT(ISNUMBER(SEARCH("Ideas",$F131)))),$W131,NA())</f>
      </c>
      <c r="AE131" s="0">
        <f>IF(AND($V131&lt;&gt;"No",$E131="Rare",NOT(ISNUMBER(SEARCH("Ideas",$F131)))),$W131,NA())</f>
      </c>
      <c r="AF131" s="0">
        <f>IF(AND($V131&lt;&gt;"No",$E131="Legendary",NOT(ISNUMBER(SEARCH("Ideas",$F131)))),$W131,NA())</f>
      </c>
      <c r="AG131" s="0">
        <f>IF(AND($V131&lt;&gt;"No",ISNUMBER(SEARCH("Knight",$C131)),NOT(ISNUMBER(SEARCH("Ideas",$F131)))),$X131,NA())</f>
      </c>
      <c r="AH131" s="0">
        <f>IF(AND($V131&lt;&gt;"No",ISNUMBER(SEARCH("Mage",$C131)),NOT(ISNUMBER(SEARCH("Ideas",$F131)))),$X131,NA())</f>
      </c>
      <c r="AI131" s="0">
        <f>IF(AND($V131&lt;&gt;"No",ISNUMBER(SEARCH("Rogue",$C131)),NOT(ISNUMBER(SEARCH("Ideas",$F131)))),$X131,NA())</f>
      </c>
      <c r="AJ131" s="0">
        <f>IF($V131&lt;&gt;"No",$Y131,NA())</f>
      </c>
      <c r="AK131" s="0">
        <f>IF(AND($V131&lt;&gt;"No",ISNUMBER(SEARCH("Ideas",$F131))),$W131,NA())</f>
      </c>
      <c r="AL131" s="0">
        <f>IF(AND($V131&lt;&gt;"No",ISNUMBER(SEARCH("Cleric",$C131)),NOT(ISNUMBER(SEARCH("Ideas",$F131)))),$X131,NA())</f>
      </c>
    </row>
    <row r="132">
      <c r="A132" s="0" t="s">
        <v>563</v>
      </c>
      <c r="B132" s="0" t="s">
        <v>563</v>
      </c>
      <c r="C132" s="0" t="s">
        <v>446</v>
      </c>
      <c r="D132" s="0">
        <v>1</v>
      </c>
      <c r="E132" s="0" t="s">
        <v>62</v>
      </c>
      <c r="F132" s="0" t="s">
        <v>446</v>
      </c>
      <c r="G132" s="0">
        <v>1</v>
      </c>
      <c r="H132" s="0">
        <v>1</v>
      </c>
      <c r="I132" s="0">
        <v>0</v>
      </c>
      <c r="J132" s="0">
        <v>0</v>
      </c>
      <c r="K132" s="0">
        <v>0</v>
      </c>
      <c r="L132" s="0">
        <v>0</v>
      </c>
      <c r="M132" s="0">
        <v>0</v>
      </c>
      <c r="N132" s="0">
        <v>0</v>
      </c>
      <c r="O132" s="0">
        <v>0</v>
      </c>
      <c r="P132" s="0">
        <v>0</v>
      </c>
      <c r="Q132" s="0">
        <v>0</v>
      </c>
      <c r="R132" s="0">
        <v>0</v>
      </c>
      <c r="S132" s="0">
        <v>0</v>
      </c>
      <c r="T132" s="0" t="s">
        <v>1953</v>
      </c>
      <c r="U132" s="0" t="s">
        <v>1930</v>
      </c>
      <c r="V132" s="0" t="s">
        <v>1407</v>
      </c>
      <c r="W132" s="11">
        <f>IF($V132="No","",ROUND((I132*w_Damage + N132*w_Poison + P132*w_Weaken*w_Horizon)*MIN(1+(G132-1)*w_OccEnemy,w_MaxEnemies) + (J132*w_Heal + K132*w_Shield + L132*w_Block + M132*w_Parry + O132*w_Strength*w_Horizon + S132*w_Combo)*MIN(1+(H132-1)*w_OccAlly,w_MaxAllies) + Q132*w_Draw + R132*w_Move,2))</f>
      </c>
      <c r="X132" s="11">
        <f>IF(W132="","",ROUND(W132/MAX(D132,1),2))</f>
      </c>
      <c r="Y132" s="11">
        <f>IF($V132="No","",ROUND((curve_Base+curve_Slope*D132)*IFERROR(VLOOKUP(E132,rarity_Mult,2,FALSE),1),2))</f>
      </c>
      <c r="Z132" s="11">
        <f>IF(OR(W132="",Y132=""),"",ROUND(W132-Y132,2))</f>
      </c>
      <c r="AA132" s="0">
        <f>IF(Z132="","",IF($V132="Partial","RIDER",IF(ABS(Z132)&lt;=Y132*tol_Pct,"OK",IF(Z132&gt;0,"OVER","UNDER"))))</f>
      </c>
      <c r="AB132" s="0" t="s">
        <v>34</v>
      </c>
      <c r="AC132" s="0">
        <f>IF(AND($V132&lt;&gt;"No",$E132="Common",NOT(ISNUMBER(SEARCH("Ideas",$F132)))),$W132,NA())</f>
      </c>
      <c r="AD132" s="0">
        <f>IF(AND($V132&lt;&gt;"No",$E132="Uncommon",NOT(ISNUMBER(SEARCH("Ideas",$F132)))),$W132,NA())</f>
      </c>
      <c r="AE132" s="0">
        <f>IF(AND($V132&lt;&gt;"No",$E132="Rare",NOT(ISNUMBER(SEARCH("Ideas",$F132)))),$W132,NA())</f>
      </c>
      <c r="AF132" s="0">
        <f>IF(AND($V132&lt;&gt;"No",$E132="Legendary",NOT(ISNUMBER(SEARCH("Ideas",$F132)))),$W132,NA())</f>
      </c>
      <c r="AG132" s="0">
        <f>IF(AND($V132&lt;&gt;"No",ISNUMBER(SEARCH("Knight",$C132)),NOT(ISNUMBER(SEARCH("Ideas",$F132)))),$X132,NA())</f>
      </c>
      <c r="AH132" s="0">
        <f>IF(AND($V132&lt;&gt;"No",ISNUMBER(SEARCH("Mage",$C132)),NOT(ISNUMBER(SEARCH("Ideas",$F132)))),$X132,NA())</f>
      </c>
      <c r="AI132" s="0">
        <f>IF(AND($V132&lt;&gt;"No",ISNUMBER(SEARCH("Rogue",$C132)),NOT(ISNUMBER(SEARCH("Ideas",$F132)))),$X132,NA())</f>
      </c>
      <c r="AJ132" s="0">
        <f>IF($V132&lt;&gt;"No",$Y132,NA())</f>
      </c>
      <c r="AK132" s="0">
        <f>IF(AND($V132&lt;&gt;"No",ISNUMBER(SEARCH("Ideas",$F132))),$W132,NA())</f>
      </c>
      <c r="AL132" s="0">
        <f>IF(AND($V132&lt;&gt;"No",ISNUMBER(SEARCH("Cleric",$C132)),NOT(ISNUMBER(SEARCH("Ideas",$F132)))),$X132,NA())</f>
      </c>
    </row>
    <row r="133">
      <c r="A133" s="0" t="s">
        <v>567</v>
      </c>
      <c r="B133" s="0" t="s">
        <v>567</v>
      </c>
      <c r="C133" s="0" t="s">
        <v>446</v>
      </c>
      <c r="D133" s="0">
        <v>1</v>
      </c>
      <c r="E133" s="0" t="s">
        <v>32</v>
      </c>
      <c r="F133" s="0" t="s">
        <v>446</v>
      </c>
      <c r="G133" s="0">
        <v>1</v>
      </c>
      <c r="H133" s="0">
        <v>1</v>
      </c>
      <c r="I133" s="0">
        <v>0</v>
      </c>
      <c r="J133" s="0">
        <v>0</v>
      </c>
      <c r="K133" s="0">
        <v>0</v>
      </c>
      <c r="L133" s="0">
        <v>0</v>
      </c>
      <c r="M133" s="0">
        <v>0</v>
      </c>
      <c r="N133" s="0">
        <v>0</v>
      </c>
      <c r="O133" s="0">
        <v>0</v>
      </c>
      <c r="P133" s="0">
        <v>0</v>
      </c>
      <c r="Q133" s="0">
        <v>0</v>
      </c>
      <c r="R133" s="0">
        <v>0</v>
      </c>
      <c r="S133" s="0">
        <v>0</v>
      </c>
      <c r="T133" s="0" t="s">
        <v>1954</v>
      </c>
      <c r="U133" s="0" t="s">
        <v>1911</v>
      </c>
      <c r="V133" s="0" t="s">
        <v>1407</v>
      </c>
      <c r="W133" s="11">
        <f>IF($V133="No","",ROUND((I133*w_Damage + N133*w_Poison + P133*w_Weaken*w_Horizon)*MIN(1+(G133-1)*w_OccEnemy,w_MaxEnemies) + (J133*w_Heal + K133*w_Shield + L133*w_Block + M133*w_Parry + O133*w_Strength*w_Horizon + S133*w_Combo)*MIN(1+(H133-1)*w_OccAlly,w_MaxAllies) + Q133*w_Draw + R133*w_Move,2))</f>
      </c>
      <c r="X133" s="11">
        <f>IF(W133="","",ROUND(W133/MAX(D133,1),2))</f>
      </c>
      <c r="Y133" s="11">
        <f>IF($V133="No","",ROUND((curve_Base+curve_Slope*D133)*IFERROR(VLOOKUP(E133,rarity_Mult,2,FALSE),1),2))</f>
      </c>
      <c r="Z133" s="11">
        <f>IF(OR(W133="",Y133=""),"",ROUND(W133-Y133,2))</f>
      </c>
      <c r="AA133" s="0">
        <f>IF(Z133="","",IF($V133="Partial","RIDER",IF(ABS(Z133)&lt;=Y133*tol_Pct,"OK",IF(Z133&gt;0,"OVER","UNDER"))))</f>
      </c>
      <c r="AB133" s="0" t="s">
        <v>34</v>
      </c>
      <c r="AC133" s="0">
        <f>IF(AND($V133&lt;&gt;"No",$E133="Common",NOT(ISNUMBER(SEARCH("Ideas",$F133)))),$W133,NA())</f>
      </c>
      <c r="AD133" s="0">
        <f>IF(AND($V133&lt;&gt;"No",$E133="Uncommon",NOT(ISNUMBER(SEARCH("Ideas",$F133)))),$W133,NA())</f>
      </c>
      <c r="AE133" s="0">
        <f>IF(AND($V133&lt;&gt;"No",$E133="Rare",NOT(ISNUMBER(SEARCH("Ideas",$F133)))),$W133,NA())</f>
      </c>
      <c r="AF133" s="0">
        <f>IF(AND($V133&lt;&gt;"No",$E133="Legendary",NOT(ISNUMBER(SEARCH("Ideas",$F133)))),$W133,NA())</f>
      </c>
      <c r="AG133" s="0">
        <f>IF(AND($V133&lt;&gt;"No",ISNUMBER(SEARCH("Knight",$C133)),NOT(ISNUMBER(SEARCH("Ideas",$F133)))),$X133,NA())</f>
      </c>
      <c r="AH133" s="0">
        <f>IF(AND($V133&lt;&gt;"No",ISNUMBER(SEARCH("Mage",$C133)),NOT(ISNUMBER(SEARCH("Ideas",$F133)))),$X133,NA())</f>
      </c>
      <c r="AI133" s="0">
        <f>IF(AND($V133&lt;&gt;"No",ISNUMBER(SEARCH("Rogue",$C133)),NOT(ISNUMBER(SEARCH("Ideas",$F133)))),$X133,NA())</f>
      </c>
      <c r="AJ133" s="0">
        <f>IF($V133&lt;&gt;"No",$Y133,NA())</f>
      </c>
      <c r="AK133" s="0">
        <f>IF(AND($V133&lt;&gt;"No",ISNUMBER(SEARCH("Ideas",$F133))),$W133,NA())</f>
      </c>
      <c r="AL133" s="0">
        <f>IF(AND($V133&lt;&gt;"No",ISNUMBER(SEARCH("Cleric",$C133)),NOT(ISNUMBER(SEARCH("Ideas",$F133)))),$X133,NA())</f>
      </c>
    </row>
    <row r="134">
      <c r="A134" s="0" t="s">
        <v>571</v>
      </c>
      <c r="B134" s="0" t="s">
        <v>571</v>
      </c>
      <c r="C134" s="0" t="s">
        <v>446</v>
      </c>
      <c r="D134" s="0">
        <v>1</v>
      </c>
      <c r="E134" s="0" t="s">
        <v>32</v>
      </c>
      <c r="F134" s="0" t="s">
        <v>446</v>
      </c>
      <c r="G134" s="0">
        <v>1</v>
      </c>
      <c r="H134" s="0">
        <v>1</v>
      </c>
      <c r="I134" s="0">
        <v>0</v>
      </c>
      <c r="J134" s="0">
        <v>0</v>
      </c>
      <c r="K134" s="0">
        <v>0</v>
      </c>
      <c r="L134" s="0">
        <v>0</v>
      </c>
      <c r="M134" s="0">
        <v>0</v>
      </c>
      <c r="N134" s="0">
        <v>0</v>
      </c>
      <c r="O134" s="0">
        <v>0</v>
      </c>
      <c r="P134" s="0">
        <v>0</v>
      </c>
      <c r="Q134" s="0">
        <v>0</v>
      </c>
      <c r="R134" s="0">
        <v>0</v>
      </c>
      <c r="S134" s="0">
        <v>0</v>
      </c>
      <c r="T134" s="0" t="s">
        <v>1955</v>
      </c>
      <c r="U134" s="0" t="s">
        <v>1914</v>
      </c>
      <c r="V134" s="0" t="s">
        <v>1407</v>
      </c>
      <c r="W134" s="11">
        <f>IF($V134="No","",ROUND((I134*w_Damage + N134*w_Poison + P134*w_Weaken*w_Horizon)*MIN(1+(G134-1)*w_OccEnemy,w_MaxEnemies) + (J134*w_Heal + K134*w_Shield + L134*w_Block + M134*w_Parry + O134*w_Strength*w_Horizon + S134*w_Combo)*MIN(1+(H134-1)*w_OccAlly,w_MaxAllies) + Q134*w_Draw + R134*w_Move,2))</f>
      </c>
      <c r="X134" s="11">
        <f>IF(W134="","",ROUND(W134/MAX(D134,1),2))</f>
      </c>
      <c r="Y134" s="11">
        <f>IF($V134="No","",ROUND((curve_Base+curve_Slope*D134)*IFERROR(VLOOKUP(E134,rarity_Mult,2,FALSE),1),2))</f>
      </c>
      <c r="Z134" s="11">
        <f>IF(OR(W134="",Y134=""),"",ROUND(W134-Y134,2))</f>
      </c>
      <c r="AA134" s="0">
        <f>IF(Z134="","",IF($V134="Partial","RIDER",IF(ABS(Z134)&lt;=Y134*tol_Pct,"OK",IF(Z134&gt;0,"OVER","UNDER"))))</f>
      </c>
      <c r="AB134" s="0" t="s">
        <v>34</v>
      </c>
      <c r="AC134" s="0">
        <f>IF(AND($V134&lt;&gt;"No",$E134="Common",NOT(ISNUMBER(SEARCH("Ideas",$F134)))),$W134,NA())</f>
      </c>
      <c r="AD134" s="0">
        <f>IF(AND($V134&lt;&gt;"No",$E134="Uncommon",NOT(ISNUMBER(SEARCH("Ideas",$F134)))),$W134,NA())</f>
      </c>
      <c r="AE134" s="0">
        <f>IF(AND($V134&lt;&gt;"No",$E134="Rare",NOT(ISNUMBER(SEARCH("Ideas",$F134)))),$W134,NA())</f>
      </c>
      <c r="AF134" s="0">
        <f>IF(AND($V134&lt;&gt;"No",$E134="Legendary",NOT(ISNUMBER(SEARCH("Ideas",$F134)))),$W134,NA())</f>
      </c>
      <c r="AG134" s="0">
        <f>IF(AND($V134&lt;&gt;"No",ISNUMBER(SEARCH("Knight",$C134)),NOT(ISNUMBER(SEARCH("Ideas",$F134)))),$X134,NA())</f>
      </c>
      <c r="AH134" s="0">
        <f>IF(AND($V134&lt;&gt;"No",ISNUMBER(SEARCH("Mage",$C134)),NOT(ISNUMBER(SEARCH("Ideas",$F134)))),$X134,NA())</f>
      </c>
      <c r="AI134" s="0">
        <f>IF(AND($V134&lt;&gt;"No",ISNUMBER(SEARCH("Rogue",$C134)),NOT(ISNUMBER(SEARCH("Ideas",$F134)))),$X134,NA())</f>
      </c>
      <c r="AJ134" s="0">
        <f>IF($V134&lt;&gt;"No",$Y134,NA())</f>
      </c>
      <c r="AK134" s="0">
        <f>IF(AND($V134&lt;&gt;"No",ISNUMBER(SEARCH("Ideas",$F134))),$W134,NA())</f>
      </c>
      <c r="AL134" s="0">
        <f>IF(AND($V134&lt;&gt;"No",ISNUMBER(SEARCH("Cleric",$C134)),NOT(ISNUMBER(SEARCH("Ideas",$F134)))),$X134,NA())</f>
      </c>
    </row>
    <row r="135">
      <c r="A135" s="0" t="s">
        <v>575</v>
      </c>
      <c r="B135" s="0" t="s">
        <v>575</v>
      </c>
      <c r="C135" s="0" t="s">
        <v>446</v>
      </c>
      <c r="D135" s="0">
        <v>1</v>
      </c>
      <c r="E135" s="0" t="s">
        <v>32</v>
      </c>
      <c r="F135" s="0" t="s">
        <v>446</v>
      </c>
      <c r="G135" s="0">
        <v>1</v>
      </c>
      <c r="H135" s="0">
        <v>1</v>
      </c>
      <c r="I135" s="0">
        <v>0</v>
      </c>
      <c r="J135" s="0">
        <v>9</v>
      </c>
      <c r="K135" s="0">
        <v>0</v>
      </c>
      <c r="L135" s="0">
        <v>0</v>
      </c>
      <c r="M135" s="0">
        <v>0</v>
      </c>
      <c r="N135" s="0">
        <v>0</v>
      </c>
      <c r="O135" s="0">
        <v>0</v>
      </c>
      <c r="P135" s="0">
        <v>0</v>
      </c>
      <c r="Q135" s="0">
        <v>0</v>
      </c>
      <c r="R135" s="0">
        <v>0</v>
      </c>
      <c r="S135" s="0">
        <v>0</v>
      </c>
      <c r="T135" s="0" t="s">
        <v>1956</v>
      </c>
      <c r="U135" s="0" t="s">
        <v>34</v>
      </c>
      <c r="V135" s="0" t="s">
        <v>1905</v>
      </c>
      <c r="W135" s="11">
        <f>IF($V135="No","",ROUND((I135*w_Damage + N135*w_Poison + P135*w_Weaken*w_Horizon)*MIN(1+(G135-1)*w_OccEnemy,w_MaxEnemies) + (J135*w_Heal + K135*w_Shield + L135*w_Block + M135*w_Parry + O135*w_Strength*w_Horizon + S135*w_Combo)*MIN(1+(H135-1)*w_OccAlly,w_MaxAllies) + Q135*w_Draw + R135*w_Move,2))</f>
      </c>
      <c r="X135" s="11">
        <f>IF(W135="","",ROUND(W135/MAX(D135,1),2))</f>
      </c>
      <c r="Y135" s="11">
        <f>IF($V135="No","",ROUND((curve_Base+curve_Slope*D135)*IFERROR(VLOOKUP(E135,rarity_Mult,2,FALSE),1),2))</f>
      </c>
      <c r="Z135" s="11">
        <f>IF(OR(W135="",Y135=""),"",ROUND(W135-Y135,2))</f>
      </c>
      <c r="AA135" s="0">
        <f>IF(Z135="","",IF($V135="Partial","RIDER",IF(ABS(Z135)&lt;=Y135*tol_Pct,"OK",IF(Z135&gt;0,"OVER","UNDER"))))</f>
      </c>
      <c r="AB135" s="0" t="s">
        <v>34</v>
      </c>
      <c r="AC135" s="0">
        <f>IF(AND($V135&lt;&gt;"No",$E135="Common",NOT(ISNUMBER(SEARCH("Ideas",$F135)))),$W135,NA())</f>
      </c>
      <c r="AD135" s="0">
        <f>IF(AND($V135&lt;&gt;"No",$E135="Uncommon",NOT(ISNUMBER(SEARCH("Ideas",$F135)))),$W135,NA())</f>
      </c>
      <c r="AE135" s="0">
        <f>IF(AND($V135&lt;&gt;"No",$E135="Rare",NOT(ISNUMBER(SEARCH("Ideas",$F135)))),$W135,NA())</f>
      </c>
      <c r="AF135" s="0">
        <f>IF(AND($V135&lt;&gt;"No",$E135="Legendary",NOT(ISNUMBER(SEARCH("Ideas",$F135)))),$W135,NA())</f>
      </c>
      <c r="AG135" s="0">
        <f>IF(AND($V135&lt;&gt;"No",ISNUMBER(SEARCH("Knight",$C135)),NOT(ISNUMBER(SEARCH("Ideas",$F135)))),$X135,NA())</f>
      </c>
      <c r="AH135" s="0">
        <f>IF(AND($V135&lt;&gt;"No",ISNUMBER(SEARCH("Mage",$C135)),NOT(ISNUMBER(SEARCH("Ideas",$F135)))),$X135,NA())</f>
      </c>
      <c r="AI135" s="0">
        <f>IF(AND($V135&lt;&gt;"No",ISNUMBER(SEARCH("Rogue",$C135)),NOT(ISNUMBER(SEARCH("Ideas",$F135)))),$X135,NA())</f>
      </c>
      <c r="AJ135" s="0">
        <f>IF($V135&lt;&gt;"No",$Y135,NA())</f>
      </c>
      <c r="AK135" s="0">
        <f>IF(AND($V135&lt;&gt;"No",ISNUMBER(SEARCH("Ideas",$F135))),$W135,NA())</f>
      </c>
      <c r="AL135" s="0">
        <f>IF(AND($V135&lt;&gt;"No",ISNUMBER(SEARCH("Cleric",$C135)),NOT(ISNUMBER(SEARCH("Ideas",$F135)))),$X135,NA())</f>
      </c>
    </row>
    <row r="136">
      <c r="A136" s="0" t="s">
        <v>579</v>
      </c>
      <c r="B136" s="0" t="s">
        <v>579</v>
      </c>
      <c r="C136" s="0" t="s">
        <v>446</v>
      </c>
      <c r="D136" s="0">
        <v>1</v>
      </c>
      <c r="E136" s="0" t="s">
        <v>32</v>
      </c>
      <c r="F136" s="0" t="s">
        <v>446</v>
      </c>
      <c r="G136" s="0">
        <v>1</v>
      </c>
      <c r="H136" s="0">
        <v>1</v>
      </c>
      <c r="I136" s="0">
        <v>0</v>
      </c>
      <c r="J136" s="0">
        <v>0</v>
      </c>
      <c r="K136" s="0">
        <v>15</v>
      </c>
      <c r="L136" s="0">
        <v>0</v>
      </c>
      <c r="M136" s="0">
        <v>0</v>
      </c>
      <c r="N136" s="0">
        <v>0</v>
      </c>
      <c r="O136" s="0">
        <v>0</v>
      </c>
      <c r="P136" s="0">
        <v>0</v>
      </c>
      <c r="Q136" s="0">
        <v>0</v>
      </c>
      <c r="R136" s="0">
        <v>0</v>
      </c>
      <c r="S136" s="0">
        <v>0</v>
      </c>
      <c r="T136" s="0" t="s">
        <v>1957</v>
      </c>
      <c r="U136" s="0" t="s">
        <v>34</v>
      </c>
      <c r="V136" s="0" t="s">
        <v>1905</v>
      </c>
      <c r="W136" s="11">
        <f>IF($V136="No","",ROUND((I136*w_Damage + N136*w_Poison + P136*w_Weaken*w_Horizon)*MIN(1+(G136-1)*w_OccEnemy,w_MaxEnemies) + (J136*w_Heal + K136*w_Shield + L136*w_Block + M136*w_Parry + O136*w_Strength*w_Horizon + S136*w_Combo)*MIN(1+(H136-1)*w_OccAlly,w_MaxAllies) + Q136*w_Draw + R136*w_Move,2))</f>
      </c>
      <c r="X136" s="11">
        <f>IF(W136="","",ROUND(W136/MAX(D136,1),2))</f>
      </c>
      <c r="Y136" s="11">
        <f>IF($V136="No","",ROUND((curve_Base+curve_Slope*D136)*IFERROR(VLOOKUP(E136,rarity_Mult,2,FALSE),1),2))</f>
      </c>
      <c r="Z136" s="11">
        <f>IF(OR(W136="",Y136=""),"",ROUND(W136-Y136,2))</f>
      </c>
      <c r="AA136" s="0">
        <f>IF(Z136="","",IF($V136="Partial","RIDER",IF(ABS(Z136)&lt;=Y136*tol_Pct,"OK",IF(Z136&gt;0,"OVER","UNDER"))))</f>
      </c>
      <c r="AB136" s="0" t="s">
        <v>34</v>
      </c>
      <c r="AC136" s="0">
        <f>IF(AND($V136&lt;&gt;"No",$E136="Common",NOT(ISNUMBER(SEARCH("Ideas",$F136)))),$W136,NA())</f>
      </c>
      <c r="AD136" s="0">
        <f>IF(AND($V136&lt;&gt;"No",$E136="Uncommon",NOT(ISNUMBER(SEARCH("Ideas",$F136)))),$W136,NA())</f>
      </c>
      <c r="AE136" s="0">
        <f>IF(AND($V136&lt;&gt;"No",$E136="Rare",NOT(ISNUMBER(SEARCH("Ideas",$F136)))),$W136,NA())</f>
      </c>
      <c r="AF136" s="0">
        <f>IF(AND($V136&lt;&gt;"No",$E136="Legendary",NOT(ISNUMBER(SEARCH("Ideas",$F136)))),$W136,NA())</f>
      </c>
      <c r="AG136" s="0">
        <f>IF(AND($V136&lt;&gt;"No",ISNUMBER(SEARCH("Knight",$C136)),NOT(ISNUMBER(SEARCH("Ideas",$F136)))),$X136,NA())</f>
      </c>
      <c r="AH136" s="0">
        <f>IF(AND($V136&lt;&gt;"No",ISNUMBER(SEARCH("Mage",$C136)),NOT(ISNUMBER(SEARCH("Ideas",$F136)))),$X136,NA())</f>
      </c>
      <c r="AI136" s="0">
        <f>IF(AND($V136&lt;&gt;"No",ISNUMBER(SEARCH("Rogue",$C136)),NOT(ISNUMBER(SEARCH("Ideas",$F136)))),$X136,NA())</f>
      </c>
      <c r="AJ136" s="0">
        <f>IF($V136&lt;&gt;"No",$Y136,NA())</f>
      </c>
      <c r="AK136" s="0">
        <f>IF(AND($V136&lt;&gt;"No",ISNUMBER(SEARCH("Ideas",$F136))),$W136,NA())</f>
      </c>
      <c r="AL136" s="0">
        <f>IF(AND($V136&lt;&gt;"No",ISNUMBER(SEARCH("Cleric",$C136)),NOT(ISNUMBER(SEARCH("Ideas",$F136)))),$X136,NA())</f>
      </c>
    </row>
    <row r="137">
      <c r="A137" s="0" t="s">
        <v>583</v>
      </c>
      <c r="B137" s="0" t="s">
        <v>583</v>
      </c>
      <c r="C137" s="0" t="s">
        <v>446</v>
      </c>
      <c r="D137" s="0">
        <v>1</v>
      </c>
      <c r="E137" s="0" t="s">
        <v>32</v>
      </c>
      <c r="F137" s="0" t="s">
        <v>446</v>
      </c>
      <c r="G137" s="0">
        <v>1</v>
      </c>
      <c r="H137" s="0">
        <v>1</v>
      </c>
      <c r="I137" s="0">
        <v>0</v>
      </c>
      <c r="J137" s="0">
        <v>0</v>
      </c>
      <c r="K137" s="0">
        <v>0</v>
      </c>
      <c r="L137" s="0">
        <v>0</v>
      </c>
      <c r="M137" s="0">
        <v>0</v>
      </c>
      <c r="N137" s="0">
        <v>0</v>
      </c>
      <c r="O137" s="0">
        <v>0</v>
      </c>
      <c r="P137" s="0">
        <v>0</v>
      </c>
      <c r="Q137" s="0">
        <v>0</v>
      </c>
      <c r="R137" s="0">
        <v>0</v>
      </c>
      <c r="S137" s="0">
        <v>0</v>
      </c>
      <c r="T137" s="0" t="s">
        <v>1958</v>
      </c>
      <c r="U137" s="0" t="s">
        <v>1959</v>
      </c>
      <c r="V137" s="0" t="s">
        <v>1407</v>
      </c>
      <c r="W137" s="11">
        <f>IF($V137="No","",ROUND((I137*w_Damage + N137*w_Poison + P137*w_Weaken*w_Horizon)*MIN(1+(G137-1)*w_OccEnemy,w_MaxEnemies) + (J137*w_Heal + K137*w_Shield + L137*w_Block + M137*w_Parry + O137*w_Strength*w_Horizon + S137*w_Combo)*MIN(1+(H137-1)*w_OccAlly,w_MaxAllies) + Q137*w_Draw + R137*w_Move,2))</f>
      </c>
      <c r="X137" s="11">
        <f>IF(W137="","",ROUND(W137/MAX(D137,1),2))</f>
      </c>
      <c r="Y137" s="11">
        <f>IF($V137="No","",ROUND((curve_Base+curve_Slope*D137)*IFERROR(VLOOKUP(E137,rarity_Mult,2,FALSE),1),2))</f>
      </c>
      <c r="Z137" s="11">
        <f>IF(OR(W137="",Y137=""),"",ROUND(W137-Y137,2))</f>
      </c>
      <c r="AA137" s="0">
        <f>IF(Z137="","",IF($V137="Partial","RIDER",IF(ABS(Z137)&lt;=Y137*tol_Pct,"OK",IF(Z137&gt;0,"OVER","UNDER"))))</f>
      </c>
      <c r="AB137" s="0" t="s">
        <v>34</v>
      </c>
      <c r="AC137" s="0">
        <f>IF(AND($V137&lt;&gt;"No",$E137="Common",NOT(ISNUMBER(SEARCH("Ideas",$F137)))),$W137,NA())</f>
      </c>
      <c r="AD137" s="0">
        <f>IF(AND($V137&lt;&gt;"No",$E137="Uncommon",NOT(ISNUMBER(SEARCH("Ideas",$F137)))),$W137,NA())</f>
      </c>
      <c r="AE137" s="0">
        <f>IF(AND($V137&lt;&gt;"No",$E137="Rare",NOT(ISNUMBER(SEARCH("Ideas",$F137)))),$W137,NA())</f>
      </c>
      <c r="AF137" s="0">
        <f>IF(AND($V137&lt;&gt;"No",$E137="Legendary",NOT(ISNUMBER(SEARCH("Ideas",$F137)))),$W137,NA())</f>
      </c>
      <c r="AG137" s="0">
        <f>IF(AND($V137&lt;&gt;"No",ISNUMBER(SEARCH("Knight",$C137)),NOT(ISNUMBER(SEARCH("Ideas",$F137)))),$X137,NA())</f>
      </c>
      <c r="AH137" s="0">
        <f>IF(AND($V137&lt;&gt;"No",ISNUMBER(SEARCH("Mage",$C137)),NOT(ISNUMBER(SEARCH("Ideas",$F137)))),$X137,NA())</f>
      </c>
      <c r="AI137" s="0">
        <f>IF(AND($V137&lt;&gt;"No",ISNUMBER(SEARCH("Rogue",$C137)),NOT(ISNUMBER(SEARCH("Ideas",$F137)))),$X137,NA())</f>
      </c>
      <c r="AJ137" s="0">
        <f>IF($V137&lt;&gt;"No",$Y137,NA())</f>
      </c>
      <c r="AK137" s="0">
        <f>IF(AND($V137&lt;&gt;"No",ISNUMBER(SEARCH("Ideas",$F137))),$W137,NA())</f>
      </c>
      <c r="AL137" s="0">
        <f>IF(AND($V137&lt;&gt;"No",ISNUMBER(SEARCH("Cleric",$C137)),NOT(ISNUMBER(SEARCH("Ideas",$F137)))),$X137,NA())</f>
      </c>
    </row>
    <row r="138">
      <c r="A138" s="0" t="s">
        <v>587</v>
      </c>
      <c r="B138" s="0" t="s">
        <v>587</v>
      </c>
      <c r="C138" s="0" t="s">
        <v>446</v>
      </c>
      <c r="D138" s="0">
        <v>1</v>
      </c>
      <c r="E138" s="0" t="s">
        <v>62</v>
      </c>
      <c r="F138" s="0" t="s">
        <v>446</v>
      </c>
      <c r="G138" s="0">
        <v>1</v>
      </c>
      <c r="H138" s="0">
        <v>1</v>
      </c>
      <c r="I138" s="0">
        <v>0</v>
      </c>
      <c r="J138" s="0">
        <v>0</v>
      </c>
      <c r="K138" s="0">
        <v>0</v>
      </c>
      <c r="L138" s="0">
        <v>0</v>
      </c>
      <c r="M138" s="0">
        <v>0</v>
      </c>
      <c r="N138" s="0">
        <v>0</v>
      </c>
      <c r="O138" s="0">
        <v>0</v>
      </c>
      <c r="P138" s="0">
        <v>0</v>
      </c>
      <c r="Q138" s="0">
        <v>0</v>
      </c>
      <c r="R138" s="0">
        <v>0</v>
      </c>
      <c r="S138" s="0">
        <v>0</v>
      </c>
      <c r="T138" s="0" t="s">
        <v>1960</v>
      </c>
      <c r="U138" s="0" t="s">
        <v>1961</v>
      </c>
      <c r="V138" s="0" t="s">
        <v>1407</v>
      </c>
      <c r="W138" s="11">
        <f>IF($V138="No","",ROUND((I138*w_Damage + N138*w_Poison + P138*w_Weaken*w_Horizon)*MIN(1+(G138-1)*w_OccEnemy,w_MaxEnemies) + (J138*w_Heal + K138*w_Shield + L138*w_Block + M138*w_Parry + O138*w_Strength*w_Horizon + S138*w_Combo)*MIN(1+(H138-1)*w_OccAlly,w_MaxAllies) + Q138*w_Draw + R138*w_Move,2))</f>
      </c>
      <c r="X138" s="11">
        <f>IF(W138="","",ROUND(W138/MAX(D138,1),2))</f>
      </c>
      <c r="Y138" s="11">
        <f>IF($V138="No","",ROUND((curve_Base+curve_Slope*D138)*IFERROR(VLOOKUP(E138,rarity_Mult,2,FALSE),1),2))</f>
      </c>
      <c r="Z138" s="11">
        <f>IF(OR(W138="",Y138=""),"",ROUND(W138-Y138,2))</f>
      </c>
      <c r="AA138" s="0">
        <f>IF(Z138="","",IF($V138="Partial","RIDER",IF(ABS(Z138)&lt;=Y138*tol_Pct,"OK",IF(Z138&gt;0,"OVER","UNDER"))))</f>
      </c>
      <c r="AB138" s="0" t="s">
        <v>34</v>
      </c>
      <c r="AC138" s="0">
        <f>IF(AND($V138&lt;&gt;"No",$E138="Common",NOT(ISNUMBER(SEARCH("Ideas",$F138)))),$W138,NA())</f>
      </c>
      <c r="AD138" s="0">
        <f>IF(AND($V138&lt;&gt;"No",$E138="Uncommon",NOT(ISNUMBER(SEARCH("Ideas",$F138)))),$W138,NA())</f>
      </c>
      <c r="AE138" s="0">
        <f>IF(AND($V138&lt;&gt;"No",$E138="Rare",NOT(ISNUMBER(SEARCH("Ideas",$F138)))),$W138,NA())</f>
      </c>
      <c r="AF138" s="0">
        <f>IF(AND($V138&lt;&gt;"No",$E138="Legendary",NOT(ISNUMBER(SEARCH("Ideas",$F138)))),$W138,NA())</f>
      </c>
      <c r="AG138" s="0">
        <f>IF(AND($V138&lt;&gt;"No",ISNUMBER(SEARCH("Knight",$C138)),NOT(ISNUMBER(SEARCH("Ideas",$F138)))),$X138,NA())</f>
      </c>
      <c r="AH138" s="0">
        <f>IF(AND($V138&lt;&gt;"No",ISNUMBER(SEARCH("Mage",$C138)),NOT(ISNUMBER(SEARCH("Ideas",$F138)))),$X138,NA())</f>
      </c>
      <c r="AI138" s="0">
        <f>IF(AND($V138&lt;&gt;"No",ISNUMBER(SEARCH("Rogue",$C138)),NOT(ISNUMBER(SEARCH("Ideas",$F138)))),$X138,NA())</f>
      </c>
      <c r="AJ138" s="0">
        <f>IF($V138&lt;&gt;"No",$Y138,NA())</f>
      </c>
      <c r="AK138" s="0">
        <f>IF(AND($V138&lt;&gt;"No",ISNUMBER(SEARCH("Ideas",$F138))),$W138,NA())</f>
      </c>
      <c r="AL138" s="0">
        <f>IF(AND($V138&lt;&gt;"No",ISNUMBER(SEARCH("Cleric",$C138)),NOT(ISNUMBER(SEARCH("Ideas",$F138)))),$X138,NA())</f>
      </c>
    </row>
    <row r="139">
      <c r="A139" s="0" t="s">
        <v>591</v>
      </c>
      <c r="B139" s="0" t="s">
        <v>591</v>
      </c>
      <c r="C139" s="0" t="s">
        <v>446</v>
      </c>
      <c r="D139" s="0">
        <v>1</v>
      </c>
      <c r="E139" s="0" t="s">
        <v>62</v>
      </c>
      <c r="F139" s="0" t="s">
        <v>446</v>
      </c>
      <c r="G139" s="0">
        <v>1</v>
      </c>
      <c r="H139" s="0">
        <v>1</v>
      </c>
      <c r="I139" s="0">
        <v>0</v>
      </c>
      <c r="J139" s="0">
        <v>0</v>
      </c>
      <c r="K139" s="0">
        <v>0</v>
      </c>
      <c r="L139" s="0">
        <v>0</v>
      </c>
      <c r="M139" s="0">
        <v>0</v>
      </c>
      <c r="N139" s="0">
        <v>0</v>
      </c>
      <c r="O139" s="0">
        <v>0</v>
      </c>
      <c r="P139" s="0">
        <v>0</v>
      </c>
      <c r="Q139" s="0">
        <v>0</v>
      </c>
      <c r="R139" s="0">
        <v>0</v>
      </c>
      <c r="S139" s="0">
        <v>0</v>
      </c>
      <c r="T139" s="0" t="s">
        <v>1962</v>
      </c>
      <c r="U139" s="0" t="s">
        <v>1926</v>
      </c>
      <c r="V139" s="0" t="s">
        <v>1407</v>
      </c>
      <c r="W139" s="11">
        <f>IF($V139="No","",ROUND((I139*w_Damage + N139*w_Poison + P139*w_Weaken*w_Horizon)*MIN(1+(G139-1)*w_OccEnemy,w_MaxEnemies) + (J139*w_Heal + K139*w_Shield + L139*w_Block + M139*w_Parry + O139*w_Strength*w_Horizon + S139*w_Combo)*MIN(1+(H139-1)*w_OccAlly,w_MaxAllies) + Q139*w_Draw + R139*w_Move,2))</f>
      </c>
      <c r="X139" s="11">
        <f>IF(W139="","",ROUND(W139/MAX(D139,1),2))</f>
      </c>
      <c r="Y139" s="11">
        <f>IF($V139="No","",ROUND((curve_Base+curve_Slope*D139)*IFERROR(VLOOKUP(E139,rarity_Mult,2,FALSE),1),2))</f>
      </c>
      <c r="Z139" s="11">
        <f>IF(OR(W139="",Y139=""),"",ROUND(W139-Y139,2))</f>
      </c>
      <c r="AA139" s="0">
        <f>IF(Z139="","",IF($V139="Partial","RIDER",IF(ABS(Z139)&lt;=Y139*tol_Pct,"OK",IF(Z139&gt;0,"OVER","UNDER"))))</f>
      </c>
      <c r="AB139" s="0" t="s">
        <v>34</v>
      </c>
      <c r="AC139" s="0">
        <f>IF(AND($V139&lt;&gt;"No",$E139="Common",NOT(ISNUMBER(SEARCH("Ideas",$F139)))),$W139,NA())</f>
      </c>
      <c r="AD139" s="0">
        <f>IF(AND($V139&lt;&gt;"No",$E139="Uncommon",NOT(ISNUMBER(SEARCH("Ideas",$F139)))),$W139,NA())</f>
      </c>
      <c r="AE139" s="0">
        <f>IF(AND($V139&lt;&gt;"No",$E139="Rare",NOT(ISNUMBER(SEARCH("Ideas",$F139)))),$W139,NA())</f>
      </c>
      <c r="AF139" s="0">
        <f>IF(AND($V139&lt;&gt;"No",$E139="Legendary",NOT(ISNUMBER(SEARCH("Ideas",$F139)))),$W139,NA())</f>
      </c>
      <c r="AG139" s="0">
        <f>IF(AND($V139&lt;&gt;"No",ISNUMBER(SEARCH("Knight",$C139)),NOT(ISNUMBER(SEARCH("Ideas",$F139)))),$X139,NA())</f>
      </c>
      <c r="AH139" s="0">
        <f>IF(AND($V139&lt;&gt;"No",ISNUMBER(SEARCH("Mage",$C139)),NOT(ISNUMBER(SEARCH("Ideas",$F139)))),$X139,NA())</f>
      </c>
      <c r="AI139" s="0">
        <f>IF(AND($V139&lt;&gt;"No",ISNUMBER(SEARCH("Rogue",$C139)),NOT(ISNUMBER(SEARCH("Ideas",$F139)))),$X139,NA())</f>
      </c>
      <c r="AJ139" s="0">
        <f>IF($V139&lt;&gt;"No",$Y139,NA())</f>
      </c>
      <c r="AK139" s="0">
        <f>IF(AND($V139&lt;&gt;"No",ISNUMBER(SEARCH("Ideas",$F139))),$W139,NA())</f>
      </c>
      <c r="AL139" s="0">
        <f>IF(AND($V139&lt;&gt;"No",ISNUMBER(SEARCH("Cleric",$C139)),NOT(ISNUMBER(SEARCH("Ideas",$F139)))),$X139,NA())</f>
      </c>
    </row>
    <row r="140">
      <c r="A140" s="0" t="s">
        <v>595</v>
      </c>
      <c r="B140" s="0" t="s">
        <v>595</v>
      </c>
      <c r="C140" s="0" t="s">
        <v>446</v>
      </c>
      <c r="D140" s="0">
        <v>2</v>
      </c>
      <c r="E140" s="0" t="s">
        <v>32</v>
      </c>
      <c r="F140" s="0" t="s">
        <v>446</v>
      </c>
      <c r="G140" s="0">
        <v>1</v>
      </c>
      <c r="H140" s="0">
        <v>1</v>
      </c>
      <c r="I140" s="0">
        <v>0</v>
      </c>
      <c r="J140" s="0">
        <v>0</v>
      </c>
      <c r="K140" s="0">
        <v>0</v>
      </c>
      <c r="L140" s="0">
        <v>0</v>
      </c>
      <c r="M140" s="0">
        <v>0</v>
      </c>
      <c r="N140" s="0">
        <v>0</v>
      </c>
      <c r="O140" s="0">
        <v>0</v>
      </c>
      <c r="P140" s="0">
        <v>0</v>
      </c>
      <c r="Q140" s="0">
        <v>0</v>
      </c>
      <c r="R140" s="0">
        <v>0</v>
      </c>
      <c r="S140" s="0">
        <v>0</v>
      </c>
      <c r="T140" s="0" t="s">
        <v>1963</v>
      </c>
      <c r="U140" s="0" t="s">
        <v>1926</v>
      </c>
      <c r="V140" s="0" t="s">
        <v>1407</v>
      </c>
      <c r="W140" s="11">
        <f>IF($V140="No","",ROUND((I140*w_Damage + N140*w_Poison + P140*w_Weaken*w_Horizon)*MIN(1+(G140-1)*w_OccEnemy,w_MaxEnemies) + (J140*w_Heal + K140*w_Shield + L140*w_Block + M140*w_Parry + O140*w_Strength*w_Horizon + S140*w_Combo)*MIN(1+(H140-1)*w_OccAlly,w_MaxAllies) + Q140*w_Draw + R140*w_Move,2))</f>
      </c>
      <c r="X140" s="11">
        <f>IF(W140="","",ROUND(W140/MAX(D140,1),2))</f>
      </c>
      <c r="Y140" s="11">
        <f>IF($V140="No","",ROUND((curve_Base+curve_Slope*D140)*IFERROR(VLOOKUP(E140,rarity_Mult,2,FALSE),1),2))</f>
      </c>
      <c r="Z140" s="11">
        <f>IF(OR(W140="",Y140=""),"",ROUND(W140-Y140,2))</f>
      </c>
      <c r="AA140" s="0">
        <f>IF(Z140="","",IF($V140="Partial","RIDER",IF(ABS(Z140)&lt;=Y140*tol_Pct,"OK",IF(Z140&gt;0,"OVER","UNDER"))))</f>
      </c>
      <c r="AB140" s="0" t="s">
        <v>34</v>
      </c>
      <c r="AC140" s="0">
        <f>IF(AND($V140&lt;&gt;"No",$E140="Common",NOT(ISNUMBER(SEARCH("Ideas",$F140)))),$W140,NA())</f>
      </c>
      <c r="AD140" s="0">
        <f>IF(AND($V140&lt;&gt;"No",$E140="Uncommon",NOT(ISNUMBER(SEARCH("Ideas",$F140)))),$W140,NA())</f>
      </c>
      <c r="AE140" s="0">
        <f>IF(AND($V140&lt;&gt;"No",$E140="Rare",NOT(ISNUMBER(SEARCH("Ideas",$F140)))),$W140,NA())</f>
      </c>
      <c r="AF140" s="0">
        <f>IF(AND($V140&lt;&gt;"No",$E140="Legendary",NOT(ISNUMBER(SEARCH("Ideas",$F140)))),$W140,NA())</f>
      </c>
      <c r="AG140" s="0">
        <f>IF(AND($V140&lt;&gt;"No",ISNUMBER(SEARCH("Knight",$C140)),NOT(ISNUMBER(SEARCH("Ideas",$F140)))),$X140,NA())</f>
      </c>
      <c r="AH140" s="0">
        <f>IF(AND($V140&lt;&gt;"No",ISNUMBER(SEARCH("Mage",$C140)),NOT(ISNUMBER(SEARCH("Ideas",$F140)))),$X140,NA())</f>
      </c>
      <c r="AI140" s="0">
        <f>IF(AND($V140&lt;&gt;"No",ISNUMBER(SEARCH("Rogue",$C140)),NOT(ISNUMBER(SEARCH("Ideas",$F140)))),$X140,NA())</f>
      </c>
      <c r="AJ140" s="0">
        <f>IF($V140&lt;&gt;"No",$Y140,NA())</f>
      </c>
      <c r="AK140" s="0">
        <f>IF(AND($V140&lt;&gt;"No",ISNUMBER(SEARCH("Ideas",$F140))),$W140,NA())</f>
      </c>
      <c r="AL140" s="0">
        <f>IF(AND($V140&lt;&gt;"No",ISNUMBER(SEARCH("Cleric",$C140)),NOT(ISNUMBER(SEARCH("Ideas",$F140)))),$X140,NA())</f>
      </c>
    </row>
    <row r="141">
      <c r="A141" s="0" t="s">
        <v>599</v>
      </c>
      <c r="B141" s="0" t="s">
        <v>599</v>
      </c>
      <c r="C141" s="0" t="s">
        <v>446</v>
      </c>
      <c r="D141" s="0">
        <v>2</v>
      </c>
      <c r="E141" s="0" t="s">
        <v>32</v>
      </c>
      <c r="F141" s="0" t="s">
        <v>446</v>
      </c>
      <c r="G141" s="0">
        <v>1</v>
      </c>
      <c r="H141" s="0">
        <v>1</v>
      </c>
      <c r="I141" s="0">
        <v>0</v>
      </c>
      <c r="J141" s="0">
        <v>0</v>
      </c>
      <c r="K141" s="0">
        <v>0</v>
      </c>
      <c r="L141" s="0">
        <v>0</v>
      </c>
      <c r="M141" s="0">
        <v>0</v>
      </c>
      <c r="N141" s="0">
        <v>0</v>
      </c>
      <c r="O141" s="0">
        <v>0</v>
      </c>
      <c r="P141" s="0">
        <v>0</v>
      </c>
      <c r="Q141" s="0">
        <v>0</v>
      </c>
      <c r="R141" s="0">
        <v>0</v>
      </c>
      <c r="S141" s="0">
        <v>0</v>
      </c>
      <c r="T141" s="0" t="s">
        <v>1964</v>
      </c>
      <c r="U141" s="0" t="s">
        <v>1926</v>
      </c>
      <c r="V141" s="0" t="s">
        <v>1407</v>
      </c>
      <c r="W141" s="11">
        <f>IF($V141="No","",ROUND((I141*w_Damage + N141*w_Poison + P141*w_Weaken*w_Horizon)*MIN(1+(G141-1)*w_OccEnemy,w_MaxEnemies) + (J141*w_Heal + K141*w_Shield + L141*w_Block + M141*w_Parry + O141*w_Strength*w_Horizon + S141*w_Combo)*MIN(1+(H141-1)*w_OccAlly,w_MaxAllies) + Q141*w_Draw + R141*w_Move,2))</f>
      </c>
      <c r="X141" s="11">
        <f>IF(W141="","",ROUND(W141/MAX(D141,1),2))</f>
      </c>
      <c r="Y141" s="11">
        <f>IF($V141="No","",ROUND((curve_Base+curve_Slope*D141)*IFERROR(VLOOKUP(E141,rarity_Mult,2,FALSE),1),2))</f>
      </c>
      <c r="Z141" s="11">
        <f>IF(OR(W141="",Y141=""),"",ROUND(W141-Y141,2))</f>
      </c>
      <c r="AA141" s="0">
        <f>IF(Z141="","",IF($V141="Partial","RIDER",IF(ABS(Z141)&lt;=Y141*tol_Pct,"OK",IF(Z141&gt;0,"OVER","UNDER"))))</f>
      </c>
      <c r="AB141" s="0" t="s">
        <v>34</v>
      </c>
      <c r="AC141" s="0">
        <f>IF(AND($V141&lt;&gt;"No",$E141="Common",NOT(ISNUMBER(SEARCH("Ideas",$F141)))),$W141,NA())</f>
      </c>
      <c r="AD141" s="0">
        <f>IF(AND($V141&lt;&gt;"No",$E141="Uncommon",NOT(ISNUMBER(SEARCH("Ideas",$F141)))),$W141,NA())</f>
      </c>
      <c r="AE141" s="0">
        <f>IF(AND($V141&lt;&gt;"No",$E141="Rare",NOT(ISNUMBER(SEARCH("Ideas",$F141)))),$W141,NA())</f>
      </c>
      <c r="AF141" s="0">
        <f>IF(AND($V141&lt;&gt;"No",$E141="Legendary",NOT(ISNUMBER(SEARCH("Ideas",$F141)))),$W141,NA())</f>
      </c>
      <c r="AG141" s="0">
        <f>IF(AND($V141&lt;&gt;"No",ISNUMBER(SEARCH("Knight",$C141)),NOT(ISNUMBER(SEARCH("Ideas",$F141)))),$X141,NA())</f>
      </c>
      <c r="AH141" s="0">
        <f>IF(AND($V141&lt;&gt;"No",ISNUMBER(SEARCH("Mage",$C141)),NOT(ISNUMBER(SEARCH("Ideas",$F141)))),$X141,NA())</f>
      </c>
      <c r="AI141" s="0">
        <f>IF(AND($V141&lt;&gt;"No",ISNUMBER(SEARCH("Rogue",$C141)),NOT(ISNUMBER(SEARCH("Ideas",$F141)))),$X141,NA())</f>
      </c>
      <c r="AJ141" s="0">
        <f>IF($V141&lt;&gt;"No",$Y141,NA())</f>
      </c>
      <c r="AK141" s="0">
        <f>IF(AND($V141&lt;&gt;"No",ISNUMBER(SEARCH("Ideas",$F141))),$W141,NA())</f>
      </c>
      <c r="AL141" s="0">
        <f>IF(AND($V141&lt;&gt;"No",ISNUMBER(SEARCH("Cleric",$C141)),NOT(ISNUMBER(SEARCH("Ideas",$F141)))),$X141,NA())</f>
      </c>
    </row>
    <row r="142">
      <c r="A142" s="0" t="s">
        <v>603</v>
      </c>
      <c r="B142" s="0" t="s">
        <v>603</v>
      </c>
      <c r="C142" s="0" t="s">
        <v>446</v>
      </c>
      <c r="D142" s="0">
        <v>2</v>
      </c>
      <c r="E142" s="0" t="s">
        <v>62</v>
      </c>
      <c r="F142" s="0" t="s">
        <v>446</v>
      </c>
      <c r="G142" s="0">
        <v>1</v>
      </c>
      <c r="H142" s="0">
        <v>1</v>
      </c>
      <c r="I142" s="0">
        <v>0</v>
      </c>
      <c r="J142" s="0">
        <v>0</v>
      </c>
      <c r="K142" s="0">
        <v>0</v>
      </c>
      <c r="L142" s="0">
        <v>0</v>
      </c>
      <c r="M142" s="0">
        <v>0</v>
      </c>
      <c r="N142" s="0">
        <v>0</v>
      </c>
      <c r="O142" s="0">
        <v>0</v>
      </c>
      <c r="P142" s="0">
        <v>0</v>
      </c>
      <c r="Q142" s="0">
        <v>0</v>
      </c>
      <c r="R142" s="0">
        <v>0</v>
      </c>
      <c r="S142" s="0">
        <v>0</v>
      </c>
      <c r="T142" s="0" t="s">
        <v>1965</v>
      </c>
      <c r="U142" s="0" t="s">
        <v>1936</v>
      </c>
      <c r="V142" s="0" t="s">
        <v>1407</v>
      </c>
      <c r="W142" s="11">
        <f>IF($V142="No","",ROUND((I142*w_Damage + N142*w_Poison + P142*w_Weaken*w_Horizon)*MIN(1+(G142-1)*w_OccEnemy,w_MaxEnemies) + (J142*w_Heal + K142*w_Shield + L142*w_Block + M142*w_Parry + O142*w_Strength*w_Horizon + S142*w_Combo)*MIN(1+(H142-1)*w_OccAlly,w_MaxAllies) + Q142*w_Draw + R142*w_Move,2))</f>
      </c>
      <c r="X142" s="11">
        <f>IF(W142="","",ROUND(W142/MAX(D142,1),2))</f>
      </c>
      <c r="Y142" s="11">
        <f>IF($V142="No","",ROUND((curve_Base+curve_Slope*D142)*IFERROR(VLOOKUP(E142,rarity_Mult,2,FALSE),1),2))</f>
      </c>
      <c r="Z142" s="11">
        <f>IF(OR(W142="",Y142=""),"",ROUND(W142-Y142,2))</f>
      </c>
      <c r="AA142" s="0">
        <f>IF(Z142="","",IF($V142="Partial","RIDER",IF(ABS(Z142)&lt;=Y142*tol_Pct,"OK",IF(Z142&gt;0,"OVER","UNDER"))))</f>
      </c>
      <c r="AB142" s="0" t="s">
        <v>34</v>
      </c>
      <c r="AC142" s="0">
        <f>IF(AND($V142&lt;&gt;"No",$E142="Common",NOT(ISNUMBER(SEARCH("Ideas",$F142)))),$W142,NA())</f>
      </c>
      <c r="AD142" s="0">
        <f>IF(AND($V142&lt;&gt;"No",$E142="Uncommon",NOT(ISNUMBER(SEARCH("Ideas",$F142)))),$W142,NA())</f>
      </c>
      <c r="AE142" s="0">
        <f>IF(AND($V142&lt;&gt;"No",$E142="Rare",NOT(ISNUMBER(SEARCH("Ideas",$F142)))),$W142,NA())</f>
      </c>
      <c r="AF142" s="0">
        <f>IF(AND($V142&lt;&gt;"No",$E142="Legendary",NOT(ISNUMBER(SEARCH("Ideas",$F142)))),$W142,NA())</f>
      </c>
      <c r="AG142" s="0">
        <f>IF(AND($V142&lt;&gt;"No",ISNUMBER(SEARCH("Knight",$C142)),NOT(ISNUMBER(SEARCH("Ideas",$F142)))),$X142,NA())</f>
      </c>
      <c r="AH142" s="0">
        <f>IF(AND($V142&lt;&gt;"No",ISNUMBER(SEARCH("Mage",$C142)),NOT(ISNUMBER(SEARCH("Ideas",$F142)))),$X142,NA())</f>
      </c>
      <c r="AI142" s="0">
        <f>IF(AND($V142&lt;&gt;"No",ISNUMBER(SEARCH("Rogue",$C142)),NOT(ISNUMBER(SEARCH("Ideas",$F142)))),$X142,NA())</f>
      </c>
      <c r="AJ142" s="0">
        <f>IF($V142&lt;&gt;"No",$Y142,NA())</f>
      </c>
      <c r="AK142" s="0">
        <f>IF(AND($V142&lt;&gt;"No",ISNUMBER(SEARCH("Ideas",$F142))),$W142,NA())</f>
      </c>
      <c r="AL142" s="0">
        <f>IF(AND($V142&lt;&gt;"No",ISNUMBER(SEARCH("Cleric",$C142)),NOT(ISNUMBER(SEARCH("Ideas",$F142)))),$X142,NA())</f>
      </c>
    </row>
    <row r="143">
      <c r="A143" s="0" t="s">
        <v>607</v>
      </c>
      <c r="B143" s="0" t="s">
        <v>607</v>
      </c>
      <c r="C143" s="0" t="s">
        <v>446</v>
      </c>
      <c r="D143" s="0">
        <v>2</v>
      </c>
      <c r="E143" s="0" t="s">
        <v>32</v>
      </c>
      <c r="F143" s="0" t="s">
        <v>446</v>
      </c>
      <c r="G143" s="0">
        <v>1</v>
      </c>
      <c r="H143" s="0">
        <v>1</v>
      </c>
      <c r="I143" s="0">
        <v>0</v>
      </c>
      <c r="J143" s="0">
        <v>0</v>
      </c>
      <c r="K143" s="0">
        <v>0</v>
      </c>
      <c r="L143" s="0">
        <v>0</v>
      </c>
      <c r="M143" s="0">
        <v>0</v>
      </c>
      <c r="N143" s="0">
        <v>0</v>
      </c>
      <c r="O143" s="0">
        <v>0</v>
      </c>
      <c r="P143" s="0">
        <v>0</v>
      </c>
      <c r="Q143" s="0">
        <v>0</v>
      </c>
      <c r="R143" s="0">
        <v>0</v>
      </c>
      <c r="S143" s="0">
        <v>0</v>
      </c>
      <c r="T143" s="0" t="s">
        <v>1966</v>
      </c>
      <c r="U143" s="0" t="s">
        <v>1961</v>
      </c>
      <c r="V143" s="0" t="s">
        <v>1407</v>
      </c>
      <c r="W143" s="11">
        <f>IF($V143="No","",ROUND((I143*w_Damage + N143*w_Poison + P143*w_Weaken*w_Horizon)*MIN(1+(G143-1)*w_OccEnemy,w_MaxEnemies) + (J143*w_Heal + K143*w_Shield + L143*w_Block + M143*w_Parry + O143*w_Strength*w_Horizon + S143*w_Combo)*MIN(1+(H143-1)*w_OccAlly,w_MaxAllies) + Q143*w_Draw + R143*w_Move,2))</f>
      </c>
      <c r="X143" s="11">
        <f>IF(W143="","",ROUND(W143/MAX(D143,1),2))</f>
      </c>
      <c r="Y143" s="11">
        <f>IF($V143="No","",ROUND((curve_Base+curve_Slope*D143)*IFERROR(VLOOKUP(E143,rarity_Mult,2,FALSE),1),2))</f>
      </c>
      <c r="Z143" s="11">
        <f>IF(OR(W143="",Y143=""),"",ROUND(W143-Y143,2))</f>
      </c>
      <c r="AA143" s="0">
        <f>IF(Z143="","",IF($V143="Partial","RIDER",IF(ABS(Z143)&lt;=Y143*tol_Pct,"OK",IF(Z143&gt;0,"OVER","UNDER"))))</f>
      </c>
      <c r="AB143" s="0" t="s">
        <v>34</v>
      </c>
      <c r="AC143" s="0">
        <f>IF(AND($V143&lt;&gt;"No",$E143="Common",NOT(ISNUMBER(SEARCH("Ideas",$F143)))),$W143,NA())</f>
      </c>
      <c r="AD143" s="0">
        <f>IF(AND($V143&lt;&gt;"No",$E143="Uncommon",NOT(ISNUMBER(SEARCH("Ideas",$F143)))),$W143,NA())</f>
      </c>
      <c r="AE143" s="0">
        <f>IF(AND($V143&lt;&gt;"No",$E143="Rare",NOT(ISNUMBER(SEARCH("Ideas",$F143)))),$W143,NA())</f>
      </c>
      <c r="AF143" s="0">
        <f>IF(AND($V143&lt;&gt;"No",$E143="Legendary",NOT(ISNUMBER(SEARCH("Ideas",$F143)))),$W143,NA())</f>
      </c>
      <c r="AG143" s="0">
        <f>IF(AND($V143&lt;&gt;"No",ISNUMBER(SEARCH("Knight",$C143)),NOT(ISNUMBER(SEARCH("Ideas",$F143)))),$X143,NA())</f>
      </c>
      <c r="AH143" s="0">
        <f>IF(AND($V143&lt;&gt;"No",ISNUMBER(SEARCH("Mage",$C143)),NOT(ISNUMBER(SEARCH("Ideas",$F143)))),$X143,NA())</f>
      </c>
      <c r="AI143" s="0">
        <f>IF(AND($V143&lt;&gt;"No",ISNUMBER(SEARCH("Rogue",$C143)),NOT(ISNUMBER(SEARCH("Ideas",$F143)))),$X143,NA())</f>
      </c>
      <c r="AJ143" s="0">
        <f>IF($V143&lt;&gt;"No",$Y143,NA())</f>
      </c>
      <c r="AK143" s="0">
        <f>IF(AND($V143&lt;&gt;"No",ISNUMBER(SEARCH("Ideas",$F143))),$W143,NA())</f>
      </c>
      <c r="AL143" s="0">
        <f>IF(AND($V143&lt;&gt;"No",ISNUMBER(SEARCH("Cleric",$C143)),NOT(ISNUMBER(SEARCH("Ideas",$F143)))),$X143,NA())</f>
      </c>
    </row>
    <row r="144">
      <c r="A144" s="0" t="s">
        <v>611</v>
      </c>
      <c r="B144" s="0" t="s">
        <v>611</v>
      </c>
      <c r="C144" s="0" t="s">
        <v>446</v>
      </c>
      <c r="D144" s="0">
        <v>2</v>
      </c>
      <c r="E144" s="0" t="s">
        <v>62</v>
      </c>
      <c r="F144" s="0" t="s">
        <v>446</v>
      </c>
      <c r="G144" s="0">
        <v>1</v>
      </c>
      <c r="H144" s="0">
        <v>1</v>
      </c>
      <c r="I144" s="0">
        <v>0</v>
      </c>
      <c r="J144" s="0">
        <v>0</v>
      </c>
      <c r="K144" s="0">
        <v>0</v>
      </c>
      <c r="L144" s="0">
        <v>0</v>
      </c>
      <c r="M144" s="0">
        <v>0</v>
      </c>
      <c r="N144" s="0">
        <v>0</v>
      </c>
      <c r="O144" s="0">
        <v>0</v>
      </c>
      <c r="P144" s="0">
        <v>0</v>
      </c>
      <c r="Q144" s="0">
        <v>0</v>
      </c>
      <c r="R144" s="0">
        <v>0</v>
      </c>
      <c r="S144" s="0">
        <v>0</v>
      </c>
      <c r="T144" s="0" t="s">
        <v>1967</v>
      </c>
      <c r="U144" s="0" t="s">
        <v>1968</v>
      </c>
      <c r="V144" s="0" t="s">
        <v>1407</v>
      </c>
      <c r="W144" s="11">
        <f>IF($V144="No","",ROUND((I144*w_Damage + N144*w_Poison + P144*w_Weaken*w_Horizon)*MIN(1+(G144-1)*w_OccEnemy,w_MaxEnemies) + (J144*w_Heal + K144*w_Shield + L144*w_Block + M144*w_Parry + O144*w_Strength*w_Horizon + S144*w_Combo)*MIN(1+(H144-1)*w_OccAlly,w_MaxAllies) + Q144*w_Draw + R144*w_Move,2))</f>
      </c>
      <c r="X144" s="11">
        <f>IF(W144="","",ROUND(W144/MAX(D144,1),2))</f>
      </c>
      <c r="Y144" s="11">
        <f>IF($V144="No","",ROUND((curve_Base+curve_Slope*D144)*IFERROR(VLOOKUP(E144,rarity_Mult,2,FALSE),1),2))</f>
      </c>
      <c r="Z144" s="11">
        <f>IF(OR(W144="",Y144=""),"",ROUND(W144-Y144,2))</f>
      </c>
      <c r="AA144" s="0">
        <f>IF(Z144="","",IF($V144="Partial","RIDER",IF(ABS(Z144)&lt;=Y144*tol_Pct,"OK",IF(Z144&gt;0,"OVER","UNDER"))))</f>
      </c>
      <c r="AB144" s="0" t="s">
        <v>34</v>
      </c>
      <c r="AC144" s="0">
        <f>IF(AND($V144&lt;&gt;"No",$E144="Common",NOT(ISNUMBER(SEARCH("Ideas",$F144)))),$W144,NA())</f>
      </c>
      <c r="AD144" s="0">
        <f>IF(AND($V144&lt;&gt;"No",$E144="Uncommon",NOT(ISNUMBER(SEARCH("Ideas",$F144)))),$W144,NA())</f>
      </c>
      <c r="AE144" s="0">
        <f>IF(AND($V144&lt;&gt;"No",$E144="Rare",NOT(ISNUMBER(SEARCH("Ideas",$F144)))),$W144,NA())</f>
      </c>
      <c r="AF144" s="0">
        <f>IF(AND($V144&lt;&gt;"No",$E144="Legendary",NOT(ISNUMBER(SEARCH("Ideas",$F144)))),$W144,NA())</f>
      </c>
      <c r="AG144" s="0">
        <f>IF(AND($V144&lt;&gt;"No",ISNUMBER(SEARCH("Knight",$C144)),NOT(ISNUMBER(SEARCH("Ideas",$F144)))),$X144,NA())</f>
      </c>
      <c r="AH144" s="0">
        <f>IF(AND($V144&lt;&gt;"No",ISNUMBER(SEARCH("Mage",$C144)),NOT(ISNUMBER(SEARCH("Ideas",$F144)))),$X144,NA())</f>
      </c>
      <c r="AI144" s="0">
        <f>IF(AND($V144&lt;&gt;"No",ISNUMBER(SEARCH("Rogue",$C144)),NOT(ISNUMBER(SEARCH("Ideas",$F144)))),$X144,NA())</f>
      </c>
      <c r="AJ144" s="0">
        <f>IF($V144&lt;&gt;"No",$Y144,NA())</f>
      </c>
      <c r="AK144" s="0">
        <f>IF(AND($V144&lt;&gt;"No",ISNUMBER(SEARCH("Ideas",$F144))),$W144,NA())</f>
      </c>
      <c r="AL144" s="0">
        <f>IF(AND($V144&lt;&gt;"No",ISNUMBER(SEARCH("Cleric",$C144)),NOT(ISNUMBER(SEARCH("Ideas",$F144)))),$X144,NA())</f>
      </c>
    </row>
    <row r="145">
      <c r="A145" s="0" t="s">
        <v>615</v>
      </c>
      <c r="B145" s="0" t="s">
        <v>615</v>
      </c>
      <c r="C145" s="0" t="s">
        <v>446</v>
      </c>
      <c r="D145" s="0">
        <v>2</v>
      </c>
      <c r="E145" s="0" t="s">
        <v>32</v>
      </c>
      <c r="F145" s="0" t="s">
        <v>446</v>
      </c>
      <c r="G145" s="0">
        <v>1</v>
      </c>
      <c r="H145" s="0">
        <v>1</v>
      </c>
      <c r="I145" s="0">
        <v>0</v>
      </c>
      <c r="J145" s="0">
        <v>0</v>
      </c>
      <c r="K145" s="0">
        <v>0</v>
      </c>
      <c r="L145" s="0">
        <v>0</v>
      </c>
      <c r="M145" s="0">
        <v>0</v>
      </c>
      <c r="N145" s="0">
        <v>0</v>
      </c>
      <c r="O145" s="0">
        <v>0</v>
      </c>
      <c r="P145" s="0">
        <v>0</v>
      </c>
      <c r="Q145" s="0">
        <v>3</v>
      </c>
      <c r="R145" s="0">
        <v>0</v>
      </c>
      <c r="S145" s="0">
        <v>0</v>
      </c>
      <c r="T145" s="0" t="s">
        <v>1969</v>
      </c>
      <c r="U145" s="0" t="s">
        <v>34</v>
      </c>
      <c r="V145" s="0" t="s">
        <v>1905</v>
      </c>
      <c r="W145" s="11">
        <f>IF($V145="No","",ROUND((I145*w_Damage + N145*w_Poison + P145*w_Weaken*w_Horizon)*MIN(1+(G145-1)*w_OccEnemy,w_MaxEnemies) + (J145*w_Heal + K145*w_Shield + L145*w_Block + M145*w_Parry + O145*w_Strength*w_Horizon + S145*w_Combo)*MIN(1+(H145-1)*w_OccAlly,w_MaxAllies) + Q145*w_Draw + R145*w_Move,2))</f>
      </c>
      <c r="X145" s="11">
        <f>IF(W145="","",ROUND(W145/MAX(D145,1),2))</f>
      </c>
      <c r="Y145" s="11">
        <f>IF($V145="No","",ROUND((curve_Base+curve_Slope*D145)*IFERROR(VLOOKUP(E145,rarity_Mult,2,FALSE),1),2))</f>
      </c>
      <c r="Z145" s="11">
        <f>IF(OR(W145="",Y145=""),"",ROUND(W145-Y145,2))</f>
      </c>
      <c r="AA145" s="0">
        <f>IF(Z145="","",IF($V145="Partial","RIDER",IF(ABS(Z145)&lt;=Y145*tol_Pct,"OK",IF(Z145&gt;0,"OVER","UNDER"))))</f>
      </c>
      <c r="AB145" s="0" t="s">
        <v>34</v>
      </c>
      <c r="AC145" s="0">
        <f>IF(AND($V145&lt;&gt;"No",$E145="Common",NOT(ISNUMBER(SEARCH("Ideas",$F145)))),$W145,NA())</f>
      </c>
      <c r="AD145" s="0">
        <f>IF(AND($V145&lt;&gt;"No",$E145="Uncommon",NOT(ISNUMBER(SEARCH("Ideas",$F145)))),$W145,NA())</f>
      </c>
      <c r="AE145" s="0">
        <f>IF(AND($V145&lt;&gt;"No",$E145="Rare",NOT(ISNUMBER(SEARCH("Ideas",$F145)))),$W145,NA())</f>
      </c>
      <c r="AF145" s="0">
        <f>IF(AND($V145&lt;&gt;"No",$E145="Legendary",NOT(ISNUMBER(SEARCH("Ideas",$F145)))),$W145,NA())</f>
      </c>
      <c r="AG145" s="0">
        <f>IF(AND($V145&lt;&gt;"No",ISNUMBER(SEARCH("Knight",$C145)),NOT(ISNUMBER(SEARCH("Ideas",$F145)))),$X145,NA())</f>
      </c>
      <c r="AH145" s="0">
        <f>IF(AND($V145&lt;&gt;"No",ISNUMBER(SEARCH("Mage",$C145)),NOT(ISNUMBER(SEARCH("Ideas",$F145)))),$X145,NA())</f>
      </c>
      <c r="AI145" s="0">
        <f>IF(AND($V145&lt;&gt;"No",ISNUMBER(SEARCH("Rogue",$C145)),NOT(ISNUMBER(SEARCH("Ideas",$F145)))),$X145,NA())</f>
      </c>
      <c r="AJ145" s="0">
        <f>IF($V145&lt;&gt;"No",$Y145,NA())</f>
      </c>
      <c r="AK145" s="0">
        <f>IF(AND($V145&lt;&gt;"No",ISNUMBER(SEARCH("Ideas",$F145))),$W145,NA())</f>
      </c>
      <c r="AL145" s="0">
        <f>IF(AND($V145&lt;&gt;"No",ISNUMBER(SEARCH("Cleric",$C145)),NOT(ISNUMBER(SEARCH("Ideas",$F145)))),$X145,NA())</f>
      </c>
    </row>
    <row r="146">
      <c r="A146" s="0" t="s">
        <v>619</v>
      </c>
      <c r="B146" s="0" t="s">
        <v>619</v>
      </c>
      <c r="C146" s="0" t="s">
        <v>446</v>
      </c>
      <c r="D146" s="0">
        <v>2</v>
      </c>
      <c r="E146" s="0" t="s">
        <v>32</v>
      </c>
      <c r="F146" s="0" t="s">
        <v>446</v>
      </c>
      <c r="G146" s="0">
        <v>1</v>
      </c>
      <c r="H146" s="0">
        <v>1</v>
      </c>
      <c r="I146" s="0">
        <v>0</v>
      </c>
      <c r="J146" s="0">
        <v>0</v>
      </c>
      <c r="K146" s="0">
        <v>0</v>
      </c>
      <c r="L146" s="0">
        <v>0</v>
      </c>
      <c r="M146" s="0">
        <v>0</v>
      </c>
      <c r="N146" s="0">
        <v>0</v>
      </c>
      <c r="O146" s="0">
        <v>0</v>
      </c>
      <c r="P146" s="0">
        <v>0</v>
      </c>
      <c r="Q146" s="0">
        <v>0</v>
      </c>
      <c r="R146" s="0">
        <v>0</v>
      </c>
      <c r="S146" s="0">
        <v>0</v>
      </c>
      <c r="T146" s="0" t="s">
        <v>1970</v>
      </c>
      <c r="U146" s="0" t="s">
        <v>1914</v>
      </c>
      <c r="V146" s="0" t="s">
        <v>1407</v>
      </c>
      <c r="W146" s="11">
        <f>IF($V146="No","",ROUND((I146*w_Damage + N146*w_Poison + P146*w_Weaken*w_Horizon)*MIN(1+(G146-1)*w_OccEnemy,w_MaxEnemies) + (J146*w_Heal + K146*w_Shield + L146*w_Block + M146*w_Parry + O146*w_Strength*w_Horizon + S146*w_Combo)*MIN(1+(H146-1)*w_OccAlly,w_MaxAllies) + Q146*w_Draw + R146*w_Move,2))</f>
      </c>
      <c r="X146" s="11">
        <f>IF(W146="","",ROUND(W146/MAX(D146,1),2))</f>
      </c>
      <c r="Y146" s="11">
        <f>IF($V146="No","",ROUND((curve_Base+curve_Slope*D146)*IFERROR(VLOOKUP(E146,rarity_Mult,2,FALSE),1),2))</f>
      </c>
      <c r="Z146" s="11">
        <f>IF(OR(W146="",Y146=""),"",ROUND(W146-Y146,2))</f>
      </c>
      <c r="AA146" s="0">
        <f>IF(Z146="","",IF($V146="Partial","RIDER",IF(ABS(Z146)&lt;=Y146*tol_Pct,"OK",IF(Z146&gt;0,"OVER","UNDER"))))</f>
      </c>
      <c r="AB146" s="0" t="s">
        <v>34</v>
      </c>
      <c r="AC146" s="0">
        <f>IF(AND($V146&lt;&gt;"No",$E146="Common",NOT(ISNUMBER(SEARCH("Ideas",$F146)))),$W146,NA())</f>
      </c>
      <c r="AD146" s="0">
        <f>IF(AND($V146&lt;&gt;"No",$E146="Uncommon",NOT(ISNUMBER(SEARCH("Ideas",$F146)))),$W146,NA())</f>
      </c>
      <c r="AE146" s="0">
        <f>IF(AND($V146&lt;&gt;"No",$E146="Rare",NOT(ISNUMBER(SEARCH("Ideas",$F146)))),$W146,NA())</f>
      </c>
      <c r="AF146" s="0">
        <f>IF(AND($V146&lt;&gt;"No",$E146="Legendary",NOT(ISNUMBER(SEARCH("Ideas",$F146)))),$W146,NA())</f>
      </c>
      <c r="AG146" s="0">
        <f>IF(AND($V146&lt;&gt;"No",ISNUMBER(SEARCH("Knight",$C146)),NOT(ISNUMBER(SEARCH("Ideas",$F146)))),$X146,NA())</f>
      </c>
      <c r="AH146" s="0">
        <f>IF(AND($V146&lt;&gt;"No",ISNUMBER(SEARCH("Mage",$C146)),NOT(ISNUMBER(SEARCH("Ideas",$F146)))),$X146,NA())</f>
      </c>
      <c r="AI146" s="0">
        <f>IF(AND($V146&lt;&gt;"No",ISNUMBER(SEARCH("Rogue",$C146)),NOT(ISNUMBER(SEARCH("Ideas",$F146)))),$X146,NA())</f>
      </c>
      <c r="AJ146" s="0">
        <f>IF($V146&lt;&gt;"No",$Y146,NA())</f>
      </c>
      <c r="AK146" s="0">
        <f>IF(AND($V146&lt;&gt;"No",ISNUMBER(SEARCH("Ideas",$F146))),$W146,NA())</f>
      </c>
      <c r="AL146" s="0">
        <f>IF(AND($V146&lt;&gt;"No",ISNUMBER(SEARCH("Cleric",$C146)),NOT(ISNUMBER(SEARCH("Ideas",$F146)))),$X146,NA())</f>
      </c>
    </row>
    <row r="147">
      <c r="A147" s="0" t="s">
        <v>623</v>
      </c>
      <c r="B147" s="0" t="s">
        <v>623</v>
      </c>
      <c r="C147" s="0" t="s">
        <v>446</v>
      </c>
      <c r="D147" s="0">
        <v>2</v>
      </c>
      <c r="E147" s="0" t="s">
        <v>32</v>
      </c>
      <c r="F147" s="0" t="s">
        <v>446</v>
      </c>
      <c r="G147" s="0">
        <v>1</v>
      </c>
      <c r="H147" s="0">
        <v>1</v>
      </c>
      <c r="I147" s="0">
        <v>0</v>
      </c>
      <c r="J147" s="0">
        <v>0</v>
      </c>
      <c r="K147" s="0">
        <v>0</v>
      </c>
      <c r="L147" s="0">
        <v>0</v>
      </c>
      <c r="M147" s="0">
        <v>0</v>
      </c>
      <c r="N147" s="0">
        <v>0</v>
      </c>
      <c r="O147" s="0">
        <v>0</v>
      </c>
      <c r="P147" s="0">
        <v>0</v>
      </c>
      <c r="Q147" s="0">
        <v>0</v>
      </c>
      <c r="R147" s="0">
        <v>0</v>
      </c>
      <c r="S147" s="0">
        <v>0</v>
      </c>
      <c r="T147" s="0" t="s">
        <v>1971</v>
      </c>
      <c r="U147" s="0" t="s">
        <v>1930</v>
      </c>
      <c r="V147" s="0" t="s">
        <v>1407</v>
      </c>
      <c r="W147" s="11">
        <f>IF($V147="No","",ROUND((I147*w_Damage + N147*w_Poison + P147*w_Weaken*w_Horizon)*MIN(1+(G147-1)*w_OccEnemy,w_MaxEnemies) + (J147*w_Heal + K147*w_Shield + L147*w_Block + M147*w_Parry + O147*w_Strength*w_Horizon + S147*w_Combo)*MIN(1+(H147-1)*w_OccAlly,w_MaxAllies) + Q147*w_Draw + R147*w_Move,2))</f>
      </c>
      <c r="X147" s="11">
        <f>IF(W147="","",ROUND(W147/MAX(D147,1),2))</f>
      </c>
      <c r="Y147" s="11">
        <f>IF($V147="No","",ROUND((curve_Base+curve_Slope*D147)*IFERROR(VLOOKUP(E147,rarity_Mult,2,FALSE),1),2))</f>
      </c>
      <c r="Z147" s="11">
        <f>IF(OR(W147="",Y147=""),"",ROUND(W147-Y147,2))</f>
      </c>
      <c r="AA147" s="0">
        <f>IF(Z147="","",IF($V147="Partial","RIDER",IF(ABS(Z147)&lt;=Y147*tol_Pct,"OK",IF(Z147&gt;0,"OVER","UNDER"))))</f>
      </c>
      <c r="AB147" s="0" t="s">
        <v>34</v>
      </c>
      <c r="AC147" s="0">
        <f>IF(AND($V147&lt;&gt;"No",$E147="Common",NOT(ISNUMBER(SEARCH("Ideas",$F147)))),$W147,NA())</f>
      </c>
      <c r="AD147" s="0">
        <f>IF(AND($V147&lt;&gt;"No",$E147="Uncommon",NOT(ISNUMBER(SEARCH("Ideas",$F147)))),$W147,NA())</f>
      </c>
      <c r="AE147" s="0">
        <f>IF(AND($V147&lt;&gt;"No",$E147="Rare",NOT(ISNUMBER(SEARCH("Ideas",$F147)))),$W147,NA())</f>
      </c>
      <c r="AF147" s="0">
        <f>IF(AND($V147&lt;&gt;"No",$E147="Legendary",NOT(ISNUMBER(SEARCH("Ideas",$F147)))),$W147,NA())</f>
      </c>
      <c r="AG147" s="0">
        <f>IF(AND($V147&lt;&gt;"No",ISNUMBER(SEARCH("Knight",$C147)),NOT(ISNUMBER(SEARCH("Ideas",$F147)))),$X147,NA())</f>
      </c>
      <c r="AH147" s="0">
        <f>IF(AND($V147&lt;&gt;"No",ISNUMBER(SEARCH("Mage",$C147)),NOT(ISNUMBER(SEARCH("Ideas",$F147)))),$X147,NA())</f>
      </c>
      <c r="AI147" s="0">
        <f>IF(AND($V147&lt;&gt;"No",ISNUMBER(SEARCH("Rogue",$C147)),NOT(ISNUMBER(SEARCH("Ideas",$F147)))),$X147,NA())</f>
      </c>
      <c r="AJ147" s="0">
        <f>IF($V147&lt;&gt;"No",$Y147,NA())</f>
      </c>
      <c r="AK147" s="0">
        <f>IF(AND($V147&lt;&gt;"No",ISNUMBER(SEARCH("Ideas",$F147))),$W147,NA())</f>
      </c>
      <c r="AL147" s="0">
        <f>IF(AND($V147&lt;&gt;"No",ISNUMBER(SEARCH("Cleric",$C147)),NOT(ISNUMBER(SEARCH("Ideas",$F147)))),$X147,NA())</f>
      </c>
    </row>
    <row r="148">
      <c r="A148" s="0" t="s">
        <v>627</v>
      </c>
      <c r="B148" s="0" t="s">
        <v>627</v>
      </c>
      <c r="C148" s="0" t="s">
        <v>446</v>
      </c>
      <c r="D148" s="0">
        <v>2</v>
      </c>
      <c r="E148" s="0" t="s">
        <v>32</v>
      </c>
      <c r="F148" s="0" t="s">
        <v>446</v>
      </c>
      <c r="G148" s="0">
        <v>1</v>
      </c>
      <c r="H148" s="0">
        <v>1</v>
      </c>
      <c r="I148" s="0">
        <v>0</v>
      </c>
      <c r="J148" s="0">
        <v>0</v>
      </c>
      <c r="K148" s="0">
        <v>0</v>
      </c>
      <c r="L148" s="0">
        <v>0</v>
      </c>
      <c r="M148" s="0">
        <v>0</v>
      </c>
      <c r="N148" s="0">
        <v>0</v>
      </c>
      <c r="O148" s="0">
        <v>0</v>
      </c>
      <c r="P148" s="0">
        <v>0</v>
      </c>
      <c r="Q148" s="0">
        <v>0</v>
      </c>
      <c r="R148" s="0">
        <v>0</v>
      </c>
      <c r="S148" s="0">
        <v>0</v>
      </c>
      <c r="T148" s="0" t="s">
        <v>1972</v>
      </c>
      <c r="U148" s="0" t="s">
        <v>1926</v>
      </c>
      <c r="V148" s="0" t="s">
        <v>1407</v>
      </c>
      <c r="W148" s="11">
        <f>IF($V148="No","",ROUND((I148*w_Damage + N148*w_Poison + P148*w_Weaken*w_Horizon)*MIN(1+(G148-1)*w_OccEnemy,w_MaxEnemies) + (J148*w_Heal + K148*w_Shield + L148*w_Block + M148*w_Parry + O148*w_Strength*w_Horizon + S148*w_Combo)*MIN(1+(H148-1)*w_OccAlly,w_MaxAllies) + Q148*w_Draw + R148*w_Move,2))</f>
      </c>
      <c r="X148" s="11">
        <f>IF(W148="","",ROUND(W148/MAX(D148,1),2))</f>
      </c>
      <c r="Y148" s="11">
        <f>IF($V148="No","",ROUND((curve_Base+curve_Slope*D148)*IFERROR(VLOOKUP(E148,rarity_Mult,2,FALSE),1),2))</f>
      </c>
      <c r="Z148" s="11">
        <f>IF(OR(W148="",Y148=""),"",ROUND(W148-Y148,2))</f>
      </c>
      <c r="AA148" s="0">
        <f>IF(Z148="","",IF($V148="Partial","RIDER",IF(ABS(Z148)&lt;=Y148*tol_Pct,"OK",IF(Z148&gt;0,"OVER","UNDER"))))</f>
      </c>
      <c r="AB148" s="0" t="s">
        <v>34</v>
      </c>
      <c r="AC148" s="0">
        <f>IF(AND($V148&lt;&gt;"No",$E148="Common",NOT(ISNUMBER(SEARCH("Ideas",$F148)))),$W148,NA())</f>
      </c>
      <c r="AD148" s="0">
        <f>IF(AND($V148&lt;&gt;"No",$E148="Uncommon",NOT(ISNUMBER(SEARCH("Ideas",$F148)))),$W148,NA())</f>
      </c>
      <c r="AE148" s="0">
        <f>IF(AND($V148&lt;&gt;"No",$E148="Rare",NOT(ISNUMBER(SEARCH("Ideas",$F148)))),$W148,NA())</f>
      </c>
      <c r="AF148" s="0">
        <f>IF(AND($V148&lt;&gt;"No",$E148="Legendary",NOT(ISNUMBER(SEARCH("Ideas",$F148)))),$W148,NA())</f>
      </c>
      <c r="AG148" s="0">
        <f>IF(AND($V148&lt;&gt;"No",ISNUMBER(SEARCH("Knight",$C148)),NOT(ISNUMBER(SEARCH("Ideas",$F148)))),$X148,NA())</f>
      </c>
      <c r="AH148" s="0">
        <f>IF(AND($V148&lt;&gt;"No",ISNUMBER(SEARCH("Mage",$C148)),NOT(ISNUMBER(SEARCH("Ideas",$F148)))),$X148,NA())</f>
      </c>
      <c r="AI148" s="0">
        <f>IF(AND($V148&lt;&gt;"No",ISNUMBER(SEARCH("Rogue",$C148)),NOT(ISNUMBER(SEARCH("Ideas",$F148)))),$X148,NA())</f>
      </c>
      <c r="AJ148" s="0">
        <f>IF($V148&lt;&gt;"No",$Y148,NA())</f>
      </c>
      <c r="AK148" s="0">
        <f>IF(AND($V148&lt;&gt;"No",ISNUMBER(SEARCH("Ideas",$F148))),$W148,NA())</f>
      </c>
      <c r="AL148" s="0">
        <f>IF(AND($V148&lt;&gt;"No",ISNUMBER(SEARCH("Cleric",$C148)),NOT(ISNUMBER(SEARCH("Ideas",$F148)))),$X148,NA())</f>
      </c>
    </row>
    <row r="149">
      <c r="A149" s="0" t="s">
        <v>631</v>
      </c>
      <c r="B149" s="0" t="s">
        <v>631</v>
      </c>
      <c r="C149" s="0" t="s">
        <v>446</v>
      </c>
      <c r="D149" s="0">
        <v>2</v>
      </c>
      <c r="E149" s="0" t="s">
        <v>32</v>
      </c>
      <c r="F149" s="0" t="s">
        <v>446</v>
      </c>
      <c r="G149" s="0">
        <v>1</v>
      </c>
      <c r="H149" s="0">
        <v>1</v>
      </c>
      <c r="I149" s="0">
        <v>0</v>
      </c>
      <c r="J149" s="0">
        <v>0</v>
      </c>
      <c r="K149" s="0">
        <v>0</v>
      </c>
      <c r="L149" s="0">
        <v>0</v>
      </c>
      <c r="M149" s="0">
        <v>0</v>
      </c>
      <c r="N149" s="0">
        <v>0</v>
      </c>
      <c r="O149" s="0">
        <v>0</v>
      </c>
      <c r="P149" s="0">
        <v>0</v>
      </c>
      <c r="Q149" s="0">
        <v>0</v>
      </c>
      <c r="R149" s="0">
        <v>0</v>
      </c>
      <c r="S149" s="0">
        <v>0</v>
      </c>
      <c r="T149" s="0" t="s">
        <v>1973</v>
      </c>
      <c r="U149" s="0" t="s">
        <v>1911</v>
      </c>
      <c r="V149" s="0" t="s">
        <v>1407</v>
      </c>
      <c r="W149" s="11">
        <f>IF($V149="No","",ROUND((I149*w_Damage + N149*w_Poison + P149*w_Weaken*w_Horizon)*MIN(1+(G149-1)*w_OccEnemy,w_MaxEnemies) + (J149*w_Heal + K149*w_Shield + L149*w_Block + M149*w_Parry + O149*w_Strength*w_Horizon + S149*w_Combo)*MIN(1+(H149-1)*w_OccAlly,w_MaxAllies) + Q149*w_Draw + R149*w_Move,2))</f>
      </c>
      <c r="X149" s="11">
        <f>IF(W149="","",ROUND(W149/MAX(D149,1),2))</f>
      </c>
      <c r="Y149" s="11">
        <f>IF($V149="No","",ROUND((curve_Base+curve_Slope*D149)*IFERROR(VLOOKUP(E149,rarity_Mult,2,FALSE),1),2))</f>
      </c>
      <c r="Z149" s="11">
        <f>IF(OR(W149="",Y149=""),"",ROUND(W149-Y149,2))</f>
      </c>
      <c r="AA149" s="0">
        <f>IF(Z149="","",IF($V149="Partial","RIDER",IF(ABS(Z149)&lt;=Y149*tol_Pct,"OK",IF(Z149&gt;0,"OVER","UNDER"))))</f>
      </c>
      <c r="AB149" s="0" t="s">
        <v>34</v>
      </c>
      <c r="AC149" s="0">
        <f>IF(AND($V149&lt;&gt;"No",$E149="Common",NOT(ISNUMBER(SEARCH("Ideas",$F149)))),$W149,NA())</f>
      </c>
      <c r="AD149" s="0">
        <f>IF(AND($V149&lt;&gt;"No",$E149="Uncommon",NOT(ISNUMBER(SEARCH("Ideas",$F149)))),$W149,NA())</f>
      </c>
      <c r="AE149" s="0">
        <f>IF(AND($V149&lt;&gt;"No",$E149="Rare",NOT(ISNUMBER(SEARCH("Ideas",$F149)))),$W149,NA())</f>
      </c>
      <c r="AF149" s="0">
        <f>IF(AND($V149&lt;&gt;"No",$E149="Legendary",NOT(ISNUMBER(SEARCH("Ideas",$F149)))),$W149,NA())</f>
      </c>
      <c r="AG149" s="0">
        <f>IF(AND($V149&lt;&gt;"No",ISNUMBER(SEARCH("Knight",$C149)),NOT(ISNUMBER(SEARCH("Ideas",$F149)))),$X149,NA())</f>
      </c>
      <c r="AH149" s="0">
        <f>IF(AND($V149&lt;&gt;"No",ISNUMBER(SEARCH("Mage",$C149)),NOT(ISNUMBER(SEARCH("Ideas",$F149)))),$X149,NA())</f>
      </c>
      <c r="AI149" s="0">
        <f>IF(AND($V149&lt;&gt;"No",ISNUMBER(SEARCH("Rogue",$C149)),NOT(ISNUMBER(SEARCH("Ideas",$F149)))),$X149,NA())</f>
      </c>
      <c r="AJ149" s="0">
        <f>IF($V149&lt;&gt;"No",$Y149,NA())</f>
      </c>
      <c r="AK149" s="0">
        <f>IF(AND($V149&lt;&gt;"No",ISNUMBER(SEARCH("Ideas",$F149))),$W149,NA())</f>
      </c>
      <c r="AL149" s="0">
        <f>IF(AND($V149&lt;&gt;"No",ISNUMBER(SEARCH("Cleric",$C149)),NOT(ISNUMBER(SEARCH("Ideas",$F149)))),$X149,NA())</f>
      </c>
    </row>
    <row r="150">
      <c r="A150" s="0" t="s">
        <v>638</v>
      </c>
      <c r="B150" s="0" t="s">
        <v>635</v>
      </c>
      <c r="C150" s="0" t="s">
        <v>446</v>
      </c>
      <c r="D150" s="0">
        <v>3</v>
      </c>
      <c r="E150" s="0" t="s">
        <v>62</v>
      </c>
      <c r="F150" s="0" t="s">
        <v>446</v>
      </c>
      <c r="G150" s="0">
        <v>1</v>
      </c>
      <c r="H150" s="0">
        <v>1</v>
      </c>
      <c r="I150" s="0">
        <v>0</v>
      </c>
      <c r="J150" s="0">
        <v>0</v>
      </c>
      <c r="K150" s="0">
        <v>0</v>
      </c>
      <c r="L150" s="0">
        <v>0</v>
      </c>
      <c r="M150" s="0">
        <v>0</v>
      </c>
      <c r="N150" s="0">
        <v>0</v>
      </c>
      <c r="O150" s="0">
        <v>0</v>
      </c>
      <c r="P150" s="0">
        <v>0</v>
      </c>
      <c r="Q150" s="0">
        <v>0</v>
      </c>
      <c r="R150" s="0">
        <v>0</v>
      </c>
      <c r="S150" s="0">
        <v>0</v>
      </c>
      <c r="T150" s="0" t="s">
        <v>199</v>
      </c>
      <c r="U150" s="0" t="s">
        <v>199</v>
      </c>
      <c r="V150" s="0" t="s">
        <v>1407</v>
      </c>
      <c r="W150" s="11">
        <f>IF($V150="No","",ROUND((I150*w_Damage + N150*w_Poison + P150*w_Weaken*w_Horizon)*MIN(1+(G150-1)*w_OccEnemy,w_MaxEnemies) + (J150*w_Heal + K150*w_Shield + L150*w_Block + M150*w_Parry + O150*w_Strength*w_Horizon + S150*w_Combo)*MIN(1+(H150-1)*w_OccAlly,w_MaxAllies) + Q150*w_Draw + R150*w_Move,2))</f>
      </c>
      <c r="X150" s="11">
        <f>IF(W150="","",ROUND(W150/MAX(D150,1),2))</f>
      </c>
      <c r="Y150" s="11">
        <f>IF($V150="No","",ROUND((curve_Base+curve_Slope*D150)*IFERROR(VLOOKUP(E150,rarity_Mult,2,FALSE),1),2))</f>
      </c>
      <c r="Z150" s="11">
        <f>IF(OR(W150="",Y150=""),"",ROUND(W150-Y150,2))</f>
      </c>
      <c r="AA150" s="0">
        <f>IF(Z150="","",IF($V150="Partial","RIDER",IF(ABS(Z150)&lt;=Y150*tol_Pct,"OK",IF(Z150&gt;0,"OVER","UNDER"))))</f>
      </c>
      <c r="AB150" s="0" t="s">
        <v>34</v>
      </c>
      <c r="AC150" s="0">
        <f>IF(AND($V150&lt;&gt;"No",$E150="Common",NOT(ISNUMBER(SEARCH("Ideas",$F150)))),$W150,NA())</f>
      </c>
      <c r="AD150" s="0">
        <f>IF(AND($V150&lt;&gt;"No",$E150="Uncommon",NOT(ISNUMBER(SEARCH("Ideas",$F150)))),$W150,NA())</f>
      </c>
      <c r="AE150" s="0">
        <f>IF(AND($V150&lt;&gt;"No",$E150="Rare",NOT(ISNUMBER(SEARCH("Ideas",$F150)))),$W150,NA())</f>
      </c>
      <c r="AF150" s="0">
        <f>IF(AND($V150&lt;&gt;"No",$E150="Legendary",NOT(ISNUMBER(SEARCH("Ideas",$F150)))),$W150,NA())</f>
      </c>
      <c r="AG150" s="0">
        <f>IF(AND($V150&lt;&gt;"No",ISNUMBER(SEARCH("Knight",$C150)),NOT(ISNUMBER(SEARCH("Ideas",$F150)))),$X150,NA())</f>
      </c>
      <c r="AH150" s="0">
        <f>IF(AND($V150&lt;&gt;"No",ISNUMBER(SEARCH("Mage",$C150)),NOT(ISNUMBER(SEARCH("Ideas",$F150)))),$X150,NA())</f>
      </c>
      <c r="AI150" s="0">
        <f>IF(AND($V150&lt;&gt;"No",ISNUMBER(SEARCH("Rogue",$C150)),NOT(ISNUMBER(SEARCH("Ideas",$F150)))),$X150,NA())</f>
      </c>
      <c r="AJ150" s="0">
        <f>IF($V150&lt;&gt;"No",$Y150,NA())</f>
      </c>
      <c r="AK150" s="0">
        <f>IF(AND($V150&lt;&gt;"No",ISNUMBER(SEARCH("Ideas",$F150))),$W150,NA())</f>
      </c>
      <c r="AL150" s="0">
        <f>IF(AND($V150&lt;&gt;"No",ISNUMBER(SEARCH("Cleric",$C150)),NOT(ISNUMBER(SEARCH("Ideas",$F150)))),$X150,NA())</f>
      </c>
    </row>
    <row r="151">
      <c r="A151" s="0" t="s">
        <v>640</v>
      </c>
      <c r="B151" s="0" t="s">
        <v>640</v>
      </c>
      <c r="C151" s="0" t="s">
        <v>393</v>
      </c>
      <c r="D151" s="0">
        <v>0</v>
      </c>
      <c r="E151" s="0" t="s">
        <v>174</v>
      </c>
      <c r="F151" s="0" t="s">
        <v>1974</v>
      </c>
      <c r="G151" s="0">
        <v>1</v>
      </c>
      <c r="H151" s="0">
        <v>1</v>
      </c>
      <c r="I151" s="0">
        <v>0</v>
      </c>
      <c r="J151" s="0">
        <v>0</v>
      </c>
      <c r="K151" s="0">
        <v>0</v>
      </c>
      <c r="L151" s="0">
        <v>0</v>
      </c>
      <c r="M151" s="0">
        <v>0</v>
      </c>
      <c r="N151" s="0">
        <v>0</v>
      </c>
      <c r="O151" s="0">
        <v>0</v>
      </c>
      <c r="P151" s="0">
        <v>0</v>
      </c>
      <c r="Q151" s="0">
        <v>0</v>
      </c>
      <c r="R151" s="0">
        <v>0</v>
      </c>
      <c r="S151" s="0">
        <v>0</v>
      </c>
      <c r="T151" s="0" t="s">
        <v>34</v>
      </c>
      <c r="U151" s="0" t="s">
        <v>34</v>
      </c>
      <c r="V151" s="0" t="s">
        <v>1407</v>
      </c>
      <c r="W151" s="11">
        <f>IF($V151="No","",ROUND((I151*w_Damage + N151*w_Poison + P151*w_Weaken*w_Horizon)*MIN(1+(G151-1)*w_OccEnemy,w_MaxEnemies) + (J151*w_Heal + K151*w_Shield + L151*w_Block + M151*w_Parry + O151*w_Strength*w_Horizon + S151*w_Combo)*MIN(1+(H151-1)*w_OccAlly,w_MaxAllies) + Q151*w_Draw + R151*w_Move,2))</f>
      </c>
      <c r="X151" s="11">
        <f>IF(W151="","",ROUND(W151/MAX(D151,1),2))</f>
      </c>
      <c r="Y151" s="11">
        <f>IF($V151="No","",ROUND((curve_Base+curve_Slope*D151)*IFERROR(VLOOKUP(E151,rarity_Mult,2,FALSE),1),2))</f>
      </c>
      <c r="Z151" s="11">
        <f>IF(OR(W151="",Y151=""),"",ROUND(W151-Y151,2))</f>
      </c>
      <c r="AA151" s="0">
        <f>IF(Z151="","",IF($V151="Partial","RIDER",IF(ABS(Z151)&lt;=Y151*tol_Pct,"OK",IF(Z151&gt;0,"OVER","UNDER"))))</f>
      </c>
      <c r="AB151" s="0" t="s">
        <v>34</v>
      </c>
      <c r="AC151" s="0">
        <f>IF(AND($V151&lt;&gt;"No",$E151="Common",NOT(ISNUMBER(SEARCH("Ideas",$F151)))),$W151,NA())</f>
      </c>
      <c r="AD151" s="0">
        <f>IF(AND($V151&lt;&gt;"No",$E151="Uncommon",NOT(ISNUMBER(SEARCH("Ideas",$F151)))),$W151,NA())</f>
      </c>
      <c r="AE151" s="0">
        <f>IF(AND($V151&lt;&gt;"No",$E151="Rare",NOT(ISNUMBER(SEARCH("Ideas",$F151)))),$W151,NA())</f>
      </c>
      <c r="AF151" s="0">
        <f>IF(AND($V151&lt;&gt;"No",$E151="Legendary",NOT(ISNUMBER(SEARCH("Ideas",$F151)))),$W151,NA())</f>
      </c>
      <c r="AG151" s="0">
        <f>IF(AND($V151&lt;&gt;"No",ISNUMBER(SEARCH("Knight",$C151)),NOT(ISNUMBER(SEARCH("Ideas",$F151)))),$X151,NA())</f>
      </c>
      <c r="AH151" s="0">
        <f>IF(AND($V151&lt;&gt;"No",ISNUMBER(SEARCH("Mage",$C151)),NOT(ISNUMBER(SEARCH("Ideas",$F151)))),$X151,NA())</f>
      </c>
      <c r="AI151" s="0">
        <f>IF(AND($V151&lt;&gt;"No",ISNUMBER(SEARCH("Rogue",$C151)),NOT(ISNUMBER(SEARCH("Ideas",$F151)))),$X151,NA())</f>
      </c>
      <c r="AJ151" s="0">
        <f>IF($V151&lt;&gt;"No",$Y151,NA())</f>
      </c>
      <c r="AK151" s="0">
        <f>IF(AND($V151&lt;&gt;"No",ISNUMBER(SEARCH("Ideas",$F151))),$W151,NA())</f>
      </c>
      <c r="AL151" s="0">
        <f>IF(AND($V151&lt;&gt;"No",ISNUMBER(SEARCH("Cleric",$C151)),NOT(ISNUMBER(SEARCH("Ideas",$F151)))),$X151,NA())</f>
      </c>
    </row>
    <row r="152">
      <c r="A152" s="0" t="s">
        <v>646</v>
      </c>
      <c r="B152" s="0" t="s">
        <v>645</v>
      </c>
      <c r="C152" s="0" t="s">
        <v>393</v>
      </c>
      <c r="D152" s="0">
        <v>0</v>
      </c>
      <c r="E152" s="0" t="s">
        <v>174</v>
      </c>
      <c r="F152" s="0" t="s">
        <v>1974</v>
      </c>
      <c r="G152" s="0">
        <v>1</v>
      </c>
      <c r="H152" s="0">
        <v>1</v>
      </c>
      <c r="I152" s="0">
        <v>0</v>
      </c>
      <c r="J152" s="0">
        <v>0</v>
      </c>
      <c r="K152" s="0">
        <v>0</v>
      </c>
      <c r="L152" s="0">
        <v>0</v>
      </c>
      <c r="M152" s="0">
        <v>0</v>
      </c>
      <c r="N152" s="0">
        <v>0</v>
      </c>
      <c r="O152" s="0">
        <v>0</v>
      </c>
      <c r="P152" s="0">
        <v>0</v>
      </c>
      <c r="Q152" s="0">
        <v>0</v>
      </c>
      <c r="R152" s="0">
        <v>0</v>
      </c>
      <c r="S152" s="0">
        <v>0</v>
      </c>
      <c r="T152" s="0" t="s">
        <v>199</v>
      </c>
      <c r="U152" s="0" t="s">
        <v>199</v>
      </c>
      <c r="V152" s="0" t="s">
        <v>1407</v>
      </c>
      <c r="W152" s="11">
        <f>IF($V152="No","",ROUND((I152*w_Damage + N152*w_Poison + P152*w_Weaken*w_Horizon)*MIN(1+(G152-1)*w_OccEnemy,w_MaxEnemies) + (J152*w_Heal + K152*w_Shield + L152*w_Block + M152*w_Parry + O152*w_Strength*w_Horizon + S152*w_Combo)*MIN(1+(H152-1)*w_OccAlly,w_MaxAllies) + Q152*w_Draw + R152*w_Move,2))</f>
      </c>
      <c r="X152" s="11">
        <f>IF(W152="","",ROUND(W152/MAX(D152,1),2))</f>
      </c>
      <c r="Y152" s="11">
        <f>IF($V152="No","",ROUND((curve_Base+curve_Slope*D152)*IFERROR(VLOOKUP(E152,rarity_Mult,2,FALSE),1),2))</f>
      </c>
      <c r="Z152" s="11">
        <f>IF(OR(W152="",Y152=""),"",ROUND(W152-Y152,2))</f>
      </c>
      <c r="AA152" s="0">
        <f>IF(Z152="","",IF($V152="Partial","RIDER",IF(ABS(Z152)&lt;=Y152*tol_Pct,"OK",IF(Z152&gt;0,"OVER","UNDER"))))</f>
      </c>
      <c r="AB152" s="0" t="s">
        <v>34</v>
      </c>
      <c r="AC152" s="0">
        <f>IF(AND($V152&lt;&gt;"No",$E152="Common",NOT(ISNUMBER(SEARCH("Ideas",$F152)))),$W152,NA())</f>
      </c>
      <c r="AD152" s="0">
        <f>IF(AND($V152&lt;&gt;"No",$E152="Uncommon",NOT(ISNUMBER(SEARCH("Ideas",$F152)))),$W152,NA())</f>
      </c>
      <c r="AE152" s="0">
        <f>IF(AND($V152&lt;&gt;"No",$E152="Rare",NOT(ISNUMBER(SEARCH("Ideas",$F152)))),$W152,NA())</f>
      </c>
      <c r="AF152" s="0">
        <f>IF(AND($V152&lt;&gt;"No",$E152="Legendary",NOT(ISNUMBER(SEARCH("Ideas",$F152)))),$W152,NA())</f>
      </c>
      <c r="AG152" s="0">
        <f>IF(AND($V152&lt;&gt;"No",ISNUMBER(SEARCH("Knight",$C152)),NOT(ISNUMBER(SEARCH("Ideas",$F152)))),$X152,NA())</f>
      </c>
      <c r="AH152" s="0">
        <f>IF(AND($V152&lt;&gt;"No",ISNUMBER(SEARCH("Mage",$C152)),NOT(ISNUMBER(SEARCH("Ideas",$F152)))),$X152,NA())</f>
      </c>
      <c r="AI152" s="0">
        <f>IF(AND($V152&lt;&gt;"No",ISNUMBER(SEARCH("Rogue",$C152)),NOT(ISNUMBER(SEARCH("Ideas",$F152)))),$X152,NA())</f>
      </c>
      <c r="AJ152" s="0">
        <f>IF($V152&lt;&gt;"No",$Y152,NA())</f>
      </c>
      <c r="AK152" s="0">
        <f>IF(AND($V152&lt;&gt;"No",ISNUMBER(SEARCH("Ideas",$F152))),$W152,NA())</f>
      </c>
      <c r="AL152" s="0">
        <f>IF(AND($V152&lt;&gt;"No",ISNUMBER(SEARCH("Cleric",$C152)),NOT(ISNUMBER(SEARCH("Ideas",$F152)))),$X152,NA())</f>
      </c>
    </row>
    <row r="153">
      <c r="A153" s="0" t="s">
        <v>650</v>
      </c>
      <c r="B153" s="0" t="s">
        <v>650</v>
      </c>
      <c r="C153" s="0" t="s">
        <v>393</v>
      </c>
      <c r="D153" s="0">
        <v>1</v>
      </c>
      <c r="E153" s="0" t="s">
        <v>174</v>
      </c>
      <c r="F153" s="0" t="s">
        <v>1974</v>
      </c>
      <c r="G153" s="0">
        <v>1</v>
      </c>
      <c r="H153" s="0">
        <v>1</v>
      </c>
      <c r="I153" s="0">
        <v>3</v>
      </c>
      <c r="J153" s="0">
        <v>0</v>
      </c>
      <c r="K153" s="0">
        <v>0</v>
      </c>
      <c r="L153" s="0">
        <v>0</v>
      </c>
      <c r="M153" s="0">
        <v>0</v>
      </c>
      <c r="N153" s="0">
        <v>0</v>
      </c>
      <c r="O153" s="0">
        <v>0</v>
      </c>
      <c r="P153" s="0">
        <v>0</v>
      </c>
      <c r="Q153" s="0">
        <v>0</v>
      </c>
      <c r="R153" s="0">
        <v>0</v>
      </c>
      <c r="S153" s="0">
        <v>0</v>
      </c>
      <c r="T153" s="0" t="s">
        <v>34</v>
      </c>
      <c r="U153" s="0" t="s">
        <v>178</v>
      </c>
      <c r="V153" s="0" t="s">
        <v>882</v>
      </c>
      <c r="W153" s="11">
        <f>IF($V153="No","",ROUND((I153*w_Damage + N153*w_Poison + P153*w_Weaken*w_Horizon)*MIN(1+(G153-1)*w_OccEnemy,w_MaxEnemies) + (J153*w_Heal + K153*w_Shield + L153*w_Block + M153*w_Parry + O153*w_Strength*w_Horizon + S153*w_Combo)*MIN(1+(H153-1)*w_OccAlly,w_MaxAllies) + Q153*w_Draw + R153*w_Move,2))</f>
      </c>
      <c r="X153" s="11">
        <f>IF(W153="","",ROUND(W153/MAX(D153,1),2))</f>
      </c>
      <c r="Y153" s="11">
        <f>IF($V153="No","",ROUND((curve_Base+curve_Slope*D153)*IFERROR(VLOOKUP(E153,rarity_Mult,2,FALSE),1),2))</f>
      </c>
      <c r="Z153" s="11">
        <f>IF(OR(W153="",Y153=""),"",ROUND(W153-Y153,2))</f>
      </c>
      <c r="AA153" s="0">
        <f>IF(Z153="","",IF($V153="Partial","RIDER",IF(ABS(Z153)&lt;=Y153*tol_Pct,"OK",IF(Z153&gt;0,"OVER","UNDER"))))</f>
      </c>
      <c r="AB153" s="0" t="s">
        <v>34</v>
      </c>
      <c r="AC153" s="0">
        <f>IF(AND($V153&lt;&gt;"No",$E153="Common",NOT(ISNUMBER(SEARCH("Ideas",$F153)))),$W153,NA())</f>
      </c>
      <c r="AD153" s="0">
        <f>IF(AND($V153&lt;&gt;"No",$E153="Uncommon",NOT(ISNUMBER(SEARCH("Ideas",$F153)))),$W153,NA())</f>
      </c>
      <c r="AE153" s="0">
        <f>IF(AND($V153&lt;&gt;"No",$E153="Rare",NOT(ISNUMBER(SEARCH("Ideas",$F153)))),$W153,NA())</f>
      </c>
      <c r="AF153" s="0">
        <f>IF(AND($V153&lt;&gt;"No",$E153="Legendary",NOT(ISNUMBER(SEARCH("Ideas",$F153)))),$W153,NA())</f>
      </c>
      <c r="AG153" s="0">
        <f>IF(AND($V153&lt;&gt;"No",ISNUMBER(SEARCH("Knight",$C153)),NOT(ISNUMBER(SEARCH("Ideas",$F153)))),$X153,NA())</f>
      </c>
      <c r="AH153" s="0">
        <f>IF(AND($V153&lt;&gt;"No",ISNUMBER(SEARCH("Mage",$C153)),NOT(ISNUMBER(SEARCH("Ideas",$F153)))),$X153,NA())</f>
      </c>
      <c r="AI153" s="0">
        <f>IF(AND($V153&lt;&gt;"No",ISNUMBER(SEARCH("Rogue",$C153)),NOT(ISNUMBER(SEARCH("Ideas",$F153)))),$X153,NA())</f>
      </c>
      <c r="AJ153" s="0">
        <f>IF($V153&lt;&gt;"No",$Y153,NA())</f>
      </c>
      <c r="AK153" s="0">
        <f>IF(AND($V153&lt;&gt;"No",ISNUMBER(SEARCH("Ideas",$F153))),$W153,NA())</f>
      </c>
      <c r="AL153" s="0">
        <f>IF(AND($V153&lt;&gt;"No",ISNUMBER(SEARCH("Cleric",$C153)),NOT(ISNUMBER(SEARCH("Ideas",$F153)))),$X153,NA())</f>
      </c>
    </row>
    <row r="154">
      <c r="A154" s="0" t="s">
        <v>653</v>
      </c>
      <c r="B154" s="0" t="s">
        <v>34</v>
      </c>
      <c r="C154" s="0" t="s">
        <v>393</v>
      </c>
      <c r="D154" s="0">
        <v>1</v>
      </c>
      <c r="E154" s="0" t="s">
        <v>174</v>
      </c>
      <c r="F154" s="0" t="s">
        <v>1974</v>
      </c>
      <c r="G154" s="0">
        <v>1</v>
      </c>
      <c r="H154" s="0">
        <v>1</v>
      </c>
      <c r="I154" s="0">
        <v>8</v>
      </c>
      <c r="J154" s="0">
        <v>0</v>
      </c>
      <c r="K154" s="0">
        <v>0</v>
      </c>
      <c r="L154" s="0">
        <v>0</v>
      </c>
      <c r="M154" s="0">
        <v>0</v>
      </c>
      <c r="N154" s="0">
        <v>0</v>
      </c>
      <c r="O154" s="0">
        <v>0</v>
      </c>
      <c r="P154" s="0">
        <v>0</v>
      </c>
      <c r="Q154" s="0">
        <v>0</v>
      </c>
      <c r="R154" s="0">
        <v>0</v>
      </c>
      <c r="S154" s="0">
        <v>0</v>
      </c>
      <c r="T154" s="0" t="s">
        <v>34</v>
      </c>
      <c r="U154" s="0" t="s">
        <v>34</v>
      </c>
      <c r="V154" s="0" t="s">
        <v>882</v>
      </c>
      <c r="W154" s="11">
        <f>IF($V154="No","",ROUND((I154*w_Damage + N154*w_Poison + P154*w_Weaken*w_Horizon)*MIN(1+(G154-1)*w_OccEnemy,w_MaxEnemies) + (J154*w_Heal + K154*w_Shield + L154*w_Block + M154*w_Parry + O154*w_Strength*w_Horizon + S154*w_Combo)*MIN(1+(H154-1)*w_OccAlly,w_MaxAllies) + Q154*w_Draw + R154*w_Move,2))</f>
      </c>
      <c r="X154" s="11">
        <f>IF(W154="","",ROUND(W154/MAX(D154,1),2))</f>
      </c>
      <c r="Y154" s="11">
        <f>IF($V154="No","",ROUND((curve_Base+curve_Slope*D154)*IFERROR(VLOOKUP(E154,rarity_Mult,2,FALSE),1),2))</f>
      </c>
      <c r="Z154" s="11">
        <f>IF(OR(W154="",Y154=""),"",ROUND(W154-Y154,2))</f>
      </c>
      <c r="AA154" s="0">
        <f>IF(Z154="","",IF($V154="Partial","RIDER",IF(ABS(Z154)&lt;=Y154*tol_Pct,"OK",IF(Z154&gt;0,"OVER","UNDER"))))</f>
      </c>
      <c r="AB154" s="0" t="s">
        <v>1975</v>
      </c>
      <c r="AC154" s="0">
        <f>IF(AND($V154&lt;&gt;"No",$E154="Common",NOT(ISNUMBER(SEARCH("Ideas",$F154)))),$W154,NA())</f>
      </c>
      <c r="AD154" s="0">
        <f>IF(AND($V154&lt;&gt;"No",$E154="Uncommon",NOT(ISNUMBER(SEARCH("Ideas",$F154)))),$W154,NA())</f>
      </c>
      <c r="AE154" s="0">
        <f>IF(AND($V154&lt;&gt;"No",$E154="Rare",NOT(ISNUMBER(SEARCH("Ideas",$F154)))),$W154,NA())</f>
      </c>
      <c r="AF154" s="0">
        <f>IF(AND($V154&lt;&gt;"No",$E154="Legendary",NOT(ISNUMBER(SEARCH("Ideas",$F154)))),$W154,NA())</f>
      </c>
      <c r="AG154" s="0">
        <f>IF(AND($V154&lt;&gt;"No",ISNUMBER(SEARCH("Knight",$C154)),NOT(ISNUMBER(SEARCH("Ideas",$F154)))),$X154,NA())</f>
      </c>
      <c r="AH154" s="0">
        <f>IF(AND($V154&lt;&gt;"No",ISNUMBER(SEARCH("Mage",$C154)),NOT(ISNUMBER(SEARCH("Ideas",$F154)))),$X154,NA())</f>
      </c>
      <c r="AI154" s="0">
        <f>IF(AND($V154&lt;&gt;"No",ISNUMBER(SEARCH("Rogue",$C154)),NOT(ISNUMBER(SEARCH("Ideas",$F154)))),$X154,NA())</f>
      </c>
      <c r="AJ154" s="0">
        <f>IF($V154&lt;&gt;"No",$Y154,NA())</f>
      </c>
      <c r="AK154" s="0">
        <f>IF(AND($V154&lt;&gt;"No",ISNUMBER(SEARCH("Ideas",$F154))),$W154,NA())</f>
      </c>
      <c r="AL154" s="0">
        <f>IF(AND($V154&lt;&gt;"No",ISNUMBER(SEARCH("Cleric",$C154)),NOT(ISNUMBER(SEARCH("Ideas",$F154)))),$X154,NA())</f>
      </c>
    </row>
    <row r="155">
      <c r="A155" s="0" t="s">
        <v>278</v>
      </c>
      <c r="B155" s="0" t="s">
        <v>655</v>
      </c>
      <c r="C155" s="0" t="s">
        <v>393</v>
      </c>
      <c r="D155" s="0">
        <v>1</v>
      </c>
      <c r="E155" s="0" t="s">
        <v>81</v>
      </c>
      <c r="F155" s="0" t="s">
        <v>1974</v>
      </c>
      <c r="G155" s="0">
        <v>1</v>
      </c>
      <c r="H155" s="0">
        <v>1</v>
      </c>
      <c r="I155" s="0">
        <v>0</v>
      </c>
      <c r="J155" s="0">
        <v>0</v>
      </c>
      <c r="K155" s="0">
        <v>0</v>
      </c>
      <c r="L155" s="0">
        <v>0</v>
      </c>
      <c r="M155" s="0">
        <v>0</v>
      </c>
      <c r="N155" s="0">
        <v>0</v>
      </c>
      <c r="O155" s="0">
        <v>0</v>
      </c>
      <c r="P155" s="0">
        <v>0</v>
      </c>
      <c r="Q155" s="0">
        <v>0</v>
      </c>
      <c r="R155" s="0">
        <v>1</v>
      </c>
      <c r="S155" s="0">
        <v>0</v>
      </c>
      <c r="T155" s="0" t="s">
        <v>34</v>
      </c>
      <c r="U155" s="0" t="s">
        <v>34</v>
      </c>
      <c r="V155" s="0" t="s">
        <v>882</v>
      </c>
      <c r="W155" s="11">
        <f>IF($V155="No","",ROUND((I155*w_Damage + N155*w_Poison + P155*w_Weaken*w_Horizon)*MIN(1+(G155-1)*w_OccEnemy,w_MaxEnemies) + (J155*w_Heal + K155*w_Shield + L155*w_Block + M155*w_Parry + O155*w_Strength*w_Horizon + S155*w_Combo)*MIN(1+(H155-1)*w_OccAlly,w_MaxAllies) + Q155*w_Draw + R155*w_Move,2))</f>
      </c>
      <c r="X155" s="11">
        <f>IF(W155="","",ROUND(W155/MAX(D155,1),2))</f>
      </c>
      <c r="Y155" s="11">
        <f>IF($V155="No","",ROUND((curve_Base+curve_Slope*D155)*IFERROR(VLOOKUP(E155,rarity_Mult,2,FALSE),1),2))</f>
      </c>
      <c r="Z155" s="11">
        <f>IF(OR(W155="",Y155=""),"",ROUND(W155-Y155,2))</f>
      </c>
      <c r="AA155" s="0">
        <f>IF(Z155="","",IF($V155="Partial","RIDER",IF(ABS(Z155)&lt;=Y155*tol_Pct,"OK",IF(Z155&gt;0,"OVER","UNDER"))))</f>
      </c>
      <c r="AB155" s="0" t="s">
        <v>34</v>
      </c>
      <c r="AC155" s="0">
        <f>IF(AND($V155&lt;&gt;"No",$E155="Common",NOT(ISNUMBER(SEARCH("Ideas",$F155)))),$W155,NA())</f>
      </c>
      <c r="AD155" s="0">
        <f>IF(AND($V155&lt;&gt;"No",$E155="Uncommon",NOT(ISNUMBER(SEARCH("Ideas",$F155)))),$W155,NA())</f>
      </c>
      <c r="AE155" s="0">
        <f>IF(AND($V155&lt;&gt;"No",$E155="Rare",NOT(ISNUMBER(SEARCH("Ideas",$F155)))),$W155,NA())</f>
      </c>
      <c r="AF155" s="0">
        <f>IF(AND($V155&lt;&gt;"No",$E155="Legendary",NOT(ISNUMBER(SEARCH("Ideas",$F155)))),$W155,NA())</f>
      </c>
      <c r="AG155" s="0">
        <f>IF(AND($V155&lt;&gt;"No",ISNUMBER(SEARCH("Knight",$C155)),NOT(ISNUMBER(SEARCH("Ideas",$F155)))),$X155,NA())</f>
      </c>
      <c r="AH155" s="0">
        <f>IF(AND($V155&lt;&gt;"No",ISNUMBER(SEARCH("Mage",$C155)),NOT(ISNUMBER(SEARCH("Ideas",$F155)))),$X155,NA())</f>
      </c>
      <c r="AI155" s="0">
        <f>IF(AND($V155&lt;&gt;"No",ISNUMBER(SEARCH("Rogue",$C155)),NOT(ISNUMBER(SEARCH("Ideas",$F155)))),$X155,NA())</f>
      </c>
      <c r="AJ155" s="0">
        <f>IF($V155&lt;&gt;"No",$Y155,NA())</f>
      </c>
      <c r="AK155" s="0">
        <f>IF(AND($V155&lt;&gt;"No",ISNUMBER(SEARCH("Ideas",$F155))),$W155,NA())</f>
      </c>
      <c r="AL155" s="0">
        <f>IF(AND($V155&lt;&gt;"No",ISNUMBER(SEARCH("Cleric",$C155)),NOT(ISNUMBER(SEARCH("Ideas",$F155)))),$X155,NA())</f>
      </c>
    </row>
    <row r="156">
      <c r="A156" s="0" t="s">
        <v>658</v>
      </c>
      <c r="B156" s="0" t="s">
        <v>655</v>
      </c>
      <c r="C156" s="0" t="s">
        <v>393</v>
      </c>
      <c r="D156" s="0">
        <v>1</v>
      </c>
      <c r="E156" s="0" t="s">
        <v>174</v>
      </c>
      <c r="F156" s="0" t="s">
        <v>1974</v>
      </c>
      <c r="G156" s="0">
        <v>1</v>
      </c>
      <c r="H156" s="0">
        <v>1</v>
      </c>
      <c r="I156" s="0">
        <v>0</v>
      </c>
      <c r="J156" s="0">
        <v>0</v>
      </c>
      <c r="K156" s="0">
        <v>0</v>
      </c>
      <c r="L156" s="0">
        <v>0</v>
      </c>
      <c r="M156" s="0">
        <v>0</v>
      </c>
      <c r="N156" s="0">
        <v>0</v>
      </c>
      <c r="O156" s="0">
        <v>0</v>
      </c>
      <c r="P156" s="0">
        <v>0</v>
      </c>
      <c r="Q156" s="0">
        <v>0</v>
      </c>
      <c r="R156" s="0">
        <v>1</v>
      </c>
      <c r="S156" s="0">
        <v>0</v>
      </c>
      <c r="T156" s="0" t="s">
        <v>34</v>
      </c>
      <c r="U156" s="0" t="s">
        <v>34</v>
      </c>
      <c r="V156" s="0" t="s">
        <v>882</v>
      </c>
      <c r="W156" s="11">
        <f>IF($V156="No","",ROUND((I156*w_Damage + N156*w_Poison + P156*w_Weaken*w_Horizon)*MIN(1+(G156-1)*w_OccEnemy,w_MaxEnemies) + (J156*w_Heal + K156*w_Shield + L156*w_Block + M156*w_Parry + O156*w_Strength*w_Horizon + S156*w_Combo)*MIN(1+(H156-1)*w_OccAlly,w_MaxAllies) + Q156*w_Draw + R156*w_Move,2))</f>
      </c>
      <c r="X156" s="11">
        <f>IF(W156="","",ROUND(W156/MAX(D156,1),2))</f>
      </c>
      <c r="Y156" s="11">
        <f>IF($V156="No","",ROUND((curve_Base+curve_Slope*D156)*IFERROR(VLOOKUP(E156,rarity_Mult,2,FALSE),1),2))</f>
      </c>
      <c r="Z156" s="11">
        <f>IF(OR(W156="",Y156=""),"",ROUND(W156-Y156,2))</f>
      </c>
      <c r="AA156" s="0">
        <f>IF(Z156="","",IF($V156="Partial","RIDER",IF(ABS(Z156)&lt;=Y156*tol_Pct,"OK",IF(Z156&gt;0,"OVER","UNDER"))))</f>
      </c>
      <c r="AB156" s="0" t="s">
        <v>34</v>
      </c>
      <c r="AC156" s="0">
        <f>IF(AND($V156&lt;&gt;"No",$E156="Common",NOT(ISNUMBER(SEARCH("Ideas",$F156)))),$W156,NA())</f>
      </c>
      <c r="AD156" s="0">
        <f>IF(AND($V156&lt;&gt;"No",$E156="Uncommon",NOT(ISNUMBER(SEARCH("Ideas",$F156)))),$W156,NA())</f>
      </c>
      <c r="AE156" s="0">
        <f>IF(AND($V156&lt;&gt;"No",$E156="Rare",NOT(ISNUMBER(SEARCH("Ideas",$F156)))),$W156,NA())</f>
      </c>
      <c r="AF156" s="0">
        <f>IF(AND($V156&lt;&gt;"No",$E156="Legendary",NOT(ISNUMBER(SEARCH("Ideas",$F156)))),$W156,NA())</f>
      </c>
      <c r="AG156" s="0">
        <f>IF(AND($V156&lt;&gt;"No",ISNUMBER(SEARCH("Knight",$C156)),NOT(ISNUMBER(SEARCH("Ideas",$F156)))),$X156,NA())</f>
      </c>
      <c r="AH156" s="0">
        <f>IF(AND($V156&lt;&gt;"No",ISNUMBER(SEARCH("Mage",$C156)),NOT(ISNUMBER(SEARCH("Ideas",$F156)))),$X156,NA())</f>
      </c>
      <c r="AI156" s="0">
        <f>IF(AND($V156&lt;&gt;"No",ISNUMBER(SEARCH("Rogue",$C156)),NOT(ISNUMBER(SEARCH("Ideas",$F156)))),$X156,NA())</f>
      </c>
      <c r="AJ156" s="0">
        <f>IF($V156&lt;&gt;"No",$Y156,NA())</f>
      </c>
      <c r="AK156" s="0">
        <f>IF(AND($V156&lt;&gt;"No",ISNUMBER(SEARCH("Ideas",$F156))),$W156,NA())</f>
      </c>
      <c r="AL156" s="0">
        <f>IF(AND($V156&lt;&gt;"No",ISNUMBER(SEARCH("Cleric",$C156)),NOT(ISNUMBER(SEARCH("Ideas",$F156)))),$X156,NA())</f>
      </c>
    </row>
    <row r="157">
      <c r="A157" s="0" t="s">
        <v>663</v>
      </c>
      <c r="B157" s="0" t="s">
        <v>661</v>
      </c>
      <c r="C157" s="0" t="s">
        <v>393</v>
      </c>
      <c r="D157" s="0">
        <v>1</v>
      </c>
      <c r="E157" s="0" t="s">
        <v>174</v>
      </c>
      <c r="F157" s="0" t="s">
        <v>1974</v>
      </c>
      <c r="G157" s="0">
        <v>1</v>
      </c>
      <c r="H157" s="0">
        <v>1</v>
      </c>
      <c r="I157" s="0">
        <v>0</v>
      </c>
      <c r="J157" s="0">
        <v>0</v>
      </c>
      <c r="K157" s="0">
        <v>0</v>
      </c>
      <c r="L157" s="0">
        <v>0</v>
      </c>
      <c r="M157" s="0">
        <v>0</v>
      </c>
      <c r="N157" s="0">
        <v>0</v>
      </c>
      <c r="O157" s="0">
        <v>0</v>
      </c>
      <c r="P157" s="0">
        <v>0</v>
      </c>
      <c r="Q157" s="0">
        <v>0</v>
      </c>
      <c r="R157" s="0">
        <v>1</v>
      </c>
      <c r="S157" s="0">
        <v>0</v>
      </c>
      <c r="T157" s="0" t="s">
        <v>34</v>
      </c>
      <c r="U157" s="0" t="s">
        <v>34</v>
      </c>
      <c r="V157" s="0" t="s">
        <v>882</v>
      </c>
      <c r="W157" s="11">
        <f>IF($V157="No","",ROUND((I157*w_Damage + N157*w_Poison + P157*w_Weaken*w_Horizon)*MIN(1+(G157-1)*w_OccEnemy,w_MaxEnemies) + (J157*w_Heal + K157*w_Shield + L157*w_Block + M157*w_Parry + O157*w_Strength*w_Horizon + S157*w_Combo)*MIN(1+(H157-1)*w_OccAlly,w_MaxAllies) + Q157*w_Draw + R157*w_Move,2))</f>
      </c>
      <c r="X157" s="11">
        <f>IF(W157="","",ROUND(W157/MAX(D157,1),2))</f>
      </c>
      <c r="Y157" s="11">
        <f>IF($V157="No","",ROUND((curve_Base+curve_Slope*D157)*IFERROR(VLOOKUP(E157,rarity_Mult,2,FALSE),1),2))</f>
      </c>
      <c r="Z157" s="11">
        <f>IF(OR(W157="",Y157=""),"",ROUND(W157-Y157,2))</f>
      </c>
      <c r="AA157" s="0">
        <f>IF(Z157="","",IF($V157="Partial","RIDER",IF(ABS(Z157)&lt;=Y157*tol_Pct,"OK",IF(Z157&gt;0,"OVER","UNDER"))))</f>
      </c>
      <c r="AB157" s="0" t="s">
        <v>34</v>
      </c>
      <c r="AC157" s="0">
        <f>IF(AND($V157&lt;&gt;"No",$E157="Common",NOT(ISNUMBER(SEARCH("Ideas",$F157)))),$W157,NA())</f>
      </c>
      <c r="AD157" s="0">
        <f>IF(AND($V157&lt;&gt;"No",$E157="Uncommon",NOT(ISNUMBER(SEARCH("Ideas",$F157)))),$W157,NA())</f>
      </c>
      <c r="AE157" s="0">
        <f>IF(AND($V157&lt;&gt;"No",$E157="Rare",NOT(ISNUMBER(SEARCH("Ideas",$F157)))),$W157,NA())</f>
      </c>
      <c r="AF157" s="0">
        <f>IF(AND($V157&lt;&gt;"No",$E157="Legendary",NOT(ISNUMBER(SEARCH("Ideas",$F157)))),$W157,NA())</f>
      </c>
      <c r="AG157" s="0">
        <f>IF(AND($V157&lt;&gt;"No",ISNUMBER(SEARCH("Knight",$C157)),NOT(ISNUMBER(SEARCH("Ideas",$F157)))),$X157,NA())</f>
      </c>
      <c r="AH157" s="0">
        <f>IF(AND($V157&lt;&gt;"No",ISNUMBER(SEARCH("Mage",$C157)),NOT(ISNUMBER(SEARCH("Ideas",$F157)))),$X157,NA())</f>
      </c>
      <c r="AI157" s="0">
        <f>IF(AND($V157&lt;&gt;"No",ISNUMBER(SEARCH("Rogue",$C157)),NOT(ISNUMBER(SEARCH("Ideas",$F157)))),$X157,NA())</f>
      </c>
      <c r="AJ157" s="0">
        <f>IF($V157&lt;&gt;"No",$Y157,NA())</f>
      </c>
      <c r="AK157" s="0">
        <f>IF(AND($V157&lt;&gt;"No",ISNUMBER(SEARCH("Ideas",$F157))),$W157,NA())</f>
      </c>
      <c r="AL157" s="0">
        <f>IF(AND($V157&lt;&gt;"No",ISNUMBER(SEARCH("Cleric",$C157)),NOT(ISNUMBER(SEARCH("Ideas",$F157)))),$X157,NA())</f>
      </c>
    </row>
    <row r="158">
      <c r="A158" s="0" t="s">
        <v>666</v>
      </c>
      <c r="B158" s="0" t="s">
        <v>277</v>
      </c>
      <c r="C158" s="0" t="s">
        <v>393</v>
      </c>
      <c r="D158" s="0">
        <v>1</v>
      </c>
      <c r="E158" s="0" t="s">
        <v>174</v>
      </c>
      <c r="F158" s="0" t="s">
        <v>1974</v>
      </c>
      <c r="G158" s="0">
        <v>1</v>
      </c>
      <c r="H158" s="0">
        <v>1</v>
      </c>
      <c r="I158" s="0">
        <v>0</v>
      </c>
      <c r="J158" s="0">
        <v>0</v>
      </c>
      <c r="K158" s="0">
        <v>0</v>
      </c>
      <c r="L158" s="0">
        <v>0</v>
      </c>
      <c r="M158" s="0">
        <v>0</v>
      </c>
      <c r="N158" s="0">
        <v>0</v>
      </c>
      <c r="O158" s="0">
        <v>0</v>
      </c>
      <c r="P158" s="0">
        <v>0</v>
      </c>
      <c r="Q158" s="0">
        <v>0</v>
      </c>
      <c r="R158" s="0">
        <v>1</v>
      </c>
      <c r="S158" s="0">
        <v>0</v>
      </c>
      <c r="T158" s="0" t="s">
        <v>34</v>
      </c>
      <c r="U158" s="0" t="s">
        <v>34</v>
      </c>
      <c r="V158" s="0" t="s">
        <v>882</v>
      </c>
      <c r="W158" s="11">
        <f>IF($V158="No","",ROUND((I158*w_Damage + N158*w_Poison + P158*w_Weaken*w_Horizon)*MIN(1+(G158-1)*w_OccEnemy,w_MaxEnemies) + (J158*w_Heal + K158*w_Shield + L158*w_Block + M158*w_Parry + O158*w_Strength*w_Horizon + S158*w_Combo)*MIN(1+(H158-1)*w_OccAlly,w_MaxAllies) + Q158*w_Draw + R158*w_Move,2))</f>
      </c>
      <c r="X158" s="11">
        <f>IF(W158="","",ROUND(W158/MAX(D158,1),2))</f>
      </c>
      <c r="Y158" s="11">
        <f>IF($V158="No","",ROUND((curve_Base+curve_Slope*D158)*IFERROR(VLOOKUP(E158,rarity_Mult,2,FALSE),1),2))</f>
      </c>
      <c r="Z158" s="11">
        <f>IF(OR(W158="",Y158=""),"",ROUND(W158-Y158,2))</f>
      </c>
      <c r="AA158" s="0">
        <f>IF(Z158="","",IF($V158="Partial","RIDER",IF(ABS(Z158)&lt;=Y158*tol_Pct,"OK",IF(Z158&gt;0,"OVER","UNDER"))))</f>
      </c>
      <c r="AB158" s="0" t="s">
        <v>34</v>
      </c>
      <c r="AC158" s="0">
        <f>IF(AND($V158&lt;&gt;"No",$E158="Common",NOT(ISNUMBER(SEARCH("Ideas",$F158)))),$W158,NA())</f>
      </c>
      <c r="AD158" s="0">
        <f>IF(AND($V158&lt;&gt;"No",$E158="Uncommon",NOT(ISNUMBER(SEARCH("Ideas",$F158)))),$W158,NA())</f>
      </c>
      <c r="AE158" s="0">
        <f>IF(AND($V158&lt;&gt;"No",$E158="Rare",NOT(ISNUMBER(SEARCH("Ideas",$F158)))),$W158,NA())</f>
      </c>
      <c r="AF158" s="0">
        <f>IF(AND($V158&lt;&gt;"No",$E158="Legendary",NOT(ISNUMBER(SEARCH("Ideas",$F158)))),$W158,NA())</f>
      </c>
      <c r="AG158" s="0">
        <f>IF(AND($V158&lt;&gt;"No",ISNUMBER(SEARCH("Knight",$C158)),NOT(ISNUMBER(SEARCH("Ideas",$F158)))),$X158,NA())</f>
      </c>
      <c r="AH158" s="0">
        <f>IF(AND($V158&lt;&gt;"No",ISNUMBER(SEARCH("Mage",$C158)),NOT(ISNUMBER(SEARCH("Ideas",$F158)))),$X158,NA())</f>
      </c>
      <c r="AI158" s="0">
        <f>IF(AND($V158&lt;&gt;"No",ISNUMBER(SEARCH("Rogue",$C158)),NOT(ISNUMBER(SEARCH("Ideas",$F158)))),$X158,NA())</f>
      </c>
      <c r="AJ158" s="0">
        <f>IF($V158&lt;&gt;"No",$Y158,NA())</f>
      </c>
      <c r="AK158" s="0">
        <f>IF(AND($V158&lt;&gt;"No",ISNUMBER(SEARCH("Ideas",$F158))),$W158,NA())</f>
      </c>
      <c r="AL158" s="0">
        <f>IF(AND($V158&lt;&gt;"No",ISNUMBER(SEARCH("Cleric",$C158)),NOT(ISNUMBER(SEARCH("Ideas",$F158)))),$X158,NA())</f>
      </c>
    </row>
    <row r="159">
      <c r="A159" s="0" t="s">
        <v>668</v>
      </c>
      <c r="B159" s="0" t="s">
        <v>668</v>
      </c>
      <c r="C159" s="0" t="s">
        <v>393</v>
      </c>
      <c r="D159" s="0">
        <v>1</v>
      </c>
      <c r="E159" s="0" t="s">
        <v>174</v>
      </c>
      <c r="F159" s="0" t="s">
        <v>1974</v>
      </c>
      <c r="G159" s="0">
        <v>1</v>
      </c>
      <c r="H159" s="0">
        <v>1</v>
      </c>
      <c r="I159" s="0">
        <v>5</v>
      </c>
      <c r="J159" s="0">
        <v>0</v>
      </c>
      <c r="K159" s="0">
        <v>0</v>
      </c>
      <c r="L159" s="0">
        <v>0</v>
      </c>
      <c r="M159" s="0">
        <v>0</v>
      </c>
      <c r="N159" s="0">
        <v>0</v>
      </c>
      <c r="O159" s="0">
        <v>0</v>
      </c>
      <c r="P159" s="0">
        <v>0</v>
      </c>
      <c r="Q159" s="0">
        <v>0</v>
      </c>
      <c r="R159" s="0">
        <v>0</v>
      </c>
      <c r="S159" s="0">
        <v>0</v>
      </c>
      <c r="T159" s="0" t="s">
        <v>34</v>
      </c>
      <c r="U159" s="0" t="s">
        <v>34</v>
      </c>
      <c r="V159" s="0" t="s">
        <v>882</v>
      </c>
      <c r="W159" s="11">
        <f>IF($V159="No","",ROUND((I159*w_Damage + N159*w_Poison + P159*w_Weaken*w_Horizon)*MIN(1+(G159-1)*w_OccEnemy,w_MaxEnemies) + (J159*w_Heal + K159*w_Shield + L159*w_Block + M159*w_Parry + O159*w_Strength*w_Horizon + S159*w_Combo)*MIN(1+(H159-1)*w_OccAlly,w_MaxAllies) + Q159*w_Draw + R159*w_Move,2))</f>
      </c>
      <c r="X159" s="11">
        <f>IF(W159="","",ROUND(W159/MAX(D159,1),2))</f>
      </c>
      <c r="Y159" s="11">
        <f>IF($V159="No","",ROUND((curve_Base+curve_Slope*D159)*IFERROR(VLOOKUP(E159,rarity_Mult,2,FALSE),1),2))</f>
      </c>
      <c r="Z159" s="11">
        <f>IF(OR(W159="",Y159=""),"",ROUND(W159-Y159,2))</f>
      </c>
      <c r="AA159" s="0">
        <f>IF(Z159="","",IF($V159="Partial","RIDER",IF(ABS(Z159)&lt;=Y159*tol_Pct,"OK",IF(Z159&gt;0,"OVER","UNDER"))))</f>
      </c>
      <c r="AB159" s="0" t="s">
        <v>34</v>
      </c>
      <c r="AC159" s="0">
        <f>IF(AND($V159&lt;&gt;"No",$E159="Common",NOT(ISNUMBER(SEARCH("Ideas",$F159)))),$W159,NA())</f>
      </c>
      <c r="AD159" s="0">
        <f>IF(AND($V159&lt;&gt;"No",$E159="Uncommon",NOT(ISNUMBER(SEARCH("Ideas",$F159)))),$W159,NA())</f>
      </c>
      <c r="AE159" s="0">
        <f>IF(AND($V159&lt;&gt;"No",$E159="Rare",NOT(ISNUMBER(SEARCH("Ideas",$F159)))),$W159,NA())</f>
      </c>
      <c r="AF159" s="0">
        <f>IF(AND($V159&lt;&gt;"No",$E159="Legendary",NOT(ISNUMBER(SEARCH("Ideas",$F159)))),$W159,NA())</f>
      </c>
      <c r="AG159" s="0">
        <f>IF(AND($V159&lt;&gt;"No",ISNUMBER(SEARCH("Knight",$C159)),NOT(ISNUMBER(SEARCH("Ideas",$F159)))),$X159,NA())</f>
      </c>
      <c r="AH159" s="0">
        <f>IF(AND($V159&lt;&gt;"No",ISNUMBER(SEARCH("Mage",$C159)),NOT(ISNUMBER(SEARCH("Ideas",$F159)))),$X159,NA())</f>
      </c>
      <c r="AI159" s="0">
        <f>IF(AND($V159&lt;&gt;"No",ISNUMBER(SEARCH("Rogue",$C159)),NOT(ISNUMBER(SEARCH("Ideas",$F159)))),$X159,NA())</f>
      </c>
      <c r="AJ159" s="0">
        <f>IF($V159&lt;&gt;"No",$Y159,NA())</f>
      </c>
      <c r="AK159" s="0">
        <f>IF(AND($V159&lt;&gt;"No",ISNUMBER(SEARCH("Ideas",$F159))),$W159,NA())</f>
      </c>
      <c r="AL159" s="0">
        <f>IF(AND($V159&lt;&gt;"No",ISNUMBER(SEARCH("Cleric",$C159)),NOT(ISNUMBER(SEARCH("Ideas",$F159)))),$X159,NA())</f>
      </c>
    </row>
    <row r="160">
      <c r="A160" s="0" t="s">
        <v>673</v>
      </c>
      <c r="B160" s="0" t="s">
        <v>671</v>
      </c>
      <c r="C160" s="0" t="s">
        <v>393</v>
      </c>
      <c r="D160" s="0">
        <v>0</v>
      </c>
      <c r="E160" s="0" t="s">
        <v>174</v>
      </c>
      <c r="F160" s="0" t="s">
        <v>1974</v>
      </c>
      <c r="G160" s="0">
        <v>1</v>
      </c>
      <c r="H160" s="0">
        <v>1</v>
      </c>
      <c r="I160" s="0">
        <v>0</v>
      </c>
      <c r="J160" s="0">
        <v>0</v>
      </c>
      <c r="K160" s="0">
        <v>0</v>
      </c>
      <c r="L160" s="0">
        <v>0</v>
      </c>
      <c r="M160" s="0">
        <v>0</v>
      </c>
      <c r="N160" s="0">
        <v>0</v>
      </c>
      <c r="O160" s="0">
        <v>0</v>
      </c>
      <c r="P160" s="0">
        <v>0</v>
      </c>
      <c r="Q160" s="0">
        <v>0</v>
      </c>
      <c r="R160" s="0">
        <v>0</v>
      </c>
      <c r="S160" s="0">
        <v>0</v>
      </c>
      <c r="T160" s="0" t="s">
        <v>199</v>
      </c>
      <c r="U160" s="0" t="s">
        <v>199</v>
      </c>
      <c r="V160" s="0" t="s">
        <v>1407</v>
      </c>
      <c r="W160" s="11">
        <f>IF($V160="No","",ROUND((I160*w_Damage + N160*w_Poison + P160*w_Weaken*w_Horizon)*MIN(1+(G160-1)*w_OccEnemy,w_MaxEnemies) + (J160*w_Heal + K160*w_Shield + L160*w_Block + M160*w_Parry + O160*w_Strength*w_Horizon + S160*w_Combo)*MIN(1+(H160-1)*w_OccAlly,w_MaxAllies) + Q160*w_Draw + R160*w_Move,2))</f>
      </c>
      <c r="X160" s="11">
        <f>IF(W160="","",ROUND(W160/MAX(D160,1),2))</f>
      </c>
      <c r="Y160" s="11">
        <f>IF($V160="No","",ROUND((curve_Base+curve_Slope*D160)*IFERROR(VLOOKUP(E160,rarity_Mult,2,FALSE),1),2))</f>
      </c>
      <c r="Z160" s="11">
        <f>IF(OR(W160="",Y160=""),"",ROUND(W160-Y160,2))</f>
      </c>
      <c r="AA160" s="0">
        <f>IF(Z160="","",IF($V160="Partial","RIDER",IF(ABS(Z160)&lt;=Y160*tol_Pct,"OK",IF(Z160&gt;0,"OVER","UNDER"))))</f>
      </c>
      <c r="AB160" s="0" t="s">
        <v>34</v>
      </c>
      <c r="AC160" s="0">
        <f>IF(AND($V160&lt;&gt;"No",$E160="Common",NOT(ISNUMBER(SEARCH("Ideas",$F160)))),$W160,NA())</f>
      </c>
      <c r="AD160" s="0">
        <f>IF(AND($V160&lt;&gt;"No",$E160="Uncommon",NOT(ISNUMBER(SEARCH("Ideas",$F160)))),$W160,NA())</f>
      </c>
      <c r="AE160" s="0">
        <f>IF(AND($V160&lt;&gt;"No",$E160="Rare",NOT(ISNUMBER(SEARCH("Ideas",$F160)))),$W160,NA())</f>
      </c>
      <c r="AF160" s="0">
        <f>IF(AND($V160&lt;&gt;"No",$E160="Legendary",NOT(ISNUMBER(SEARCH("Ideas",$F160)))),$W160,NA())</f>
      </c>
      <c r="AG160" s="0">
        <f>IF(AND($V160&lt;&gt;"No",ISNUMBER(SEARCH("Knight",$C160)),NOT(ISNUMBER(SEARCH("Ideas",$F160)))),$X160,NA())</f>
      </c>
      <c r="AH160" s="0">
        <f>IF(AND($V160&lt;&gt;"No",ISNUMBER(SEARCH("Mage",$C160)),NOT(ISNUMBER(SEARCH("Ideas",$F160)))),$X160,NA())</f>
      </c>
      <c r="AI160" s="0">
        <f>IF(AND($V160&lt;&gt;"No",ISNUMBER(SEARCH("Rogue",$C160)),NOT(ISNUMBER(SEARCH("Ideas",$F160)))),$X160,NA())</f>
      </c>
      <c r="AJ160" s="0">
        <f>IF($V160&lt;&gt;"No",$Y160,NA())</f>
      </c>
      <c r="AK160" s="0">
        <f>IF(AND($V160&lt;&gt;"No",ISNUMBER(SEARCH("Ideas",$F160))),$W160,NA())</f>
      </c>
      <c r="AL160" s="0">
        <f>IF(AND($V160&lt;&gt;"No",ISNUMBER(SEARCH("Cleric",$C160)),NOT(ISNUMBER(SEARCH("Ideas",$F160)))),$X160,NA())</f>
      </c>
    </row>
    <row r="161">
      <c r="A161" s="0" t="s">
        <v>678</v>
      </c>
      <c r="B161" s="0" t="s">
        <v>677</v>
      </c>
      <c r="C161" s="0" t="s">
        <v>393</v>
      </c>
      <c r="D161" s="0">
        <v>1</v>
      </c>
      <c r="E161" s="0" t="s">
        <v>174</v>
      </c>
      <c r="F161" s="0" t="s">
        <v>1974</v>
      </c>
      <c r="G161" s="0">
        <v>1</v>
      </c>
      <c r="H161" s="0">
        <v>1</v>
      </c>
      <c r="I161" s="0">
        <v>5</v>
      </c>
      <c r="J161" s="0">
        <v>0</v>
      </c>
      <c r="K161" s="0">
        <v>0</v>
      </c>
      <c r="L161" s="0">
        <v>0</v>
      </c>
      <c r="M161" s="0">
        <v>0</v>
      </c>
      <c r="N161" s="0">
        <v>0</v>
      </c>
      <c r="O161" s="0">
        <v>0</v>
      </c>
      <c r="P161" s="0">
        <v>0</v>
      </c>
      <c r="Q161" s="0">
        <v>0</v>
      </c>
      <c r="R161" s="0">
        <v>0</v>
      </c>
      <c r="S161" s="0">
        <v>0</v>
      </c>
      <c r="T161" s="0" t="s">
        <v>34</v>
      </c>
      <c r="U161" s="0" t="s">
        <v>34</v>
      </c>
      <c r="V161" s="0" t="s">
        <v>882</v>
      </c>
      <c r="W161" s="11">
        <f>IF($V161="No","",ROUND((I161*w_Damage + N161*w_Poison + P161*w_Weaken*w_Horizon)*MIN(1+(G161-1)*w_OccEnemy,w_MaxEnemies) + (J161*w_Heal + K161*w_Shield + L161*w_Block + M161*w_Parry + O161*w_Strength*w_Horizon + S161*w_Combo)*MIN(1+(H161-1)*w_OccAlly,w_MaxAllies) + Q161*w_Draw + R161*w_Move,2))</f>
      </c>
      <c r="X161" s="11">
        <f>IF(W161="","",ROUND(W161/MAX(D161,1),2))</f>
      </c>
      <c r="Y161" s="11">
        <f>IF($V161="No","",ROUND((curve_Base+curve_Slope*D161)*IFERROR(VLOOKUP(E161,rarity_Mult,2,FALSE),1),2))</f>
      </c>
      <c r="Z161" s="11">
        <f>IF(OR(W161="",Y161=""),"",ROUND(W161-Y161,2))</f>
      </c>
      <c r="AA161" s="0">
        <f>IF(Z161="","",IF($V161="Partial","RIDER",IF(ABS(Z161)&lt;=Y161*tol_Pct,"OK",IF(Z161&gt;0,"OVER","UNDER"))))</f>
      </c>
      <c r="AB161" s="0" t="s">
        <v>34</v>
      </c>
      <c r="AC161" s="0">
        <f>IF(AND($V161&lt;&gt;"No",$E161="Common",NOT(ISNUMBER(SEARCH("Ideas",$F161)))),$W161,NA())</f>
      </c>
      <c r="AD161" s="0">
        <f>IF(AND($V161&lt;&gt;"No",$E161="Uncommon",NOT(ISNUMBER(SEARCH("Ideas",$F161)))),$W161,NA())</f>
      </c>
      <c r="AE161" s="0">
        <f>IF(AND($V161&lt;&gt;"No",$E161="Rare",NOT(ISNUMBER(SEARCH("Ideas",$F161)))),$W161,NA())</f>
      </c>
      <c r="AF161" s="0">
        <f>IF(AND($V161&lt;&gt;"No",$E161="Legendary",NOT(ISNUMBER(SEARCH("Ideas",$F161)))),$W161,NA())</f>
      </c>
      <c r="AG161" s="0">
        <f>IF(AND($V161&lt;&gt;"No",ISNUMBER(SEARCH("Knight",$C161)),NOT(ISNUMBER(SEARCH("Ideas",$F161)))),$X161,NA())</f>
      </c>
      <c r="AH161" s="0">
        <f>IF(AND($V161&lt;&gt;"No",ISNUMBER(SEARCH("Mage",$C161)),NOT(ISNUMBER(SEARCH("Ideas",$F161)))),$X161,NA())</f>
      </c>
      <c r="AI161" s="0">
        <f>IF(AND($V161&lt;&gt;"No",ISNUMBER(SEARCH("Rogue",$C161)),NOT(ISNUMBER(SEARCH("Ideas",$F161)))),$X161,NA())</f>
      </c>
      <c r="AJ161" s="0">
        <f>IF($V161&lt;&gt;"No",$Y161,NA())</f>
      </c>
      <c r="AK161" s="0">
        <f>IF(AND($V161&lt;&gt;"No",ISNUMBER(SEARCH("Ideas",$F161))),$W161,NA())</f>
      </c>
      <c r="AL161" s="0">
        <f>IF(AND($V161&lt;&gt;"No",ISNUMBER(SEARCH("Cleric",$C161)),NOT(ISNUMBER(SEARCH("Ideas",$F161)))),$X161,NA())</f>
      </c>
    </row>
    <row r="162">
      <c r="A162" s="0" t="s">
        <v>682</v>
      </c>
      <c r="B162" s="0" t="s">
        <v>680</v>
      </c>
      <c r="C162" s="0" t="s">
        <v>393</v>
      </c>
      <c r="D162" s="0">
        <v>1</v>
      </c>
      <c r="E162" s="0" t="s">
        <v>174</v>
      </c>
      <c r="F162" s="0" t="s">
        <v>1974</v>
      </c>
      <c r="G162" s="0">
        <v>9</v>
      </c>
      <c r="H162" s="0">
        <v>1</v>
      </c>
      <c r="I162" s="0">
        <v>8</v>
      </c>
      <c r="J162" s="0">
        <v>0</v>
      </c>
      <c r="K162" s="0">
        <v>0</v>
      </c>
      <c r="L162" s="0">
        <v>0</v>
      </c>
      <c r="M162" s="0">
        <v>0</v>
      </c>
      <c r="N162" s="0">
        <v>0</v>
      </c>
      <c r="O162" s="0">
        <v>0</v>
      </c>
      <c r="P162" s="0">
        <v>0</v>
      </c>
      <c r="Q162" s="0">
        <v>0</v>
      </c>
      <c r="R162" s="0">
        <v>0</v>
      </c>
      <c r="S162" s="0">
        <v>0</v>
      </c>
      <c r="T162" s="0" t="s">
        <v>34</v>
      </c>
      <c r="U162" s="0" t="s">
        <v>34</v>
      </c>
      <c r="V162" s="0" t="s">
        <v>882</v>
      </c>
      <c r="W162" s="11">
        <f>IF($V162="No","",ROUND((I162*w_Damage + N162*w_Poison + P162*w_Weaken*w_Horizon)*MIN(1+(G162-1)*w_OccEnemy,w_MaxEnemies) + (J162*w_Heal + K162*w_Shield + L162*w_Block + M162*w_Parry + O162*w_Strength*w_Horizon + S162*w_Combo)*MIN(1+(H162-1)*w_OccAlly,w_MaxAllies) + Q162*w_Draw + R162*w_Move,2))</f>
      </c>
      <c r="X162" s="11">
        <f>IF(W162="","",ROUND(W162/MAX(D162,1),2))</f>
      </c>
      <c r="Y162" s="11">
        <f>IF($V162="No","",ROUND((curve_Base+curve_Slope*D162)*IFERROR(VLOOKUP(E162,rarity_Mult,2,FALSE),1),2))</f>
      </c>
      <c r="Z162" s="11">
        <f>IF(OR(W162="",Y162=""),"",ROUND(W162-Y162,2))</f>
      </c>
      <c r="AA162" s="0">
        <f>IF(Z162="","",IF($V162="Partial","RIDER",IF(ABS(Z162)&lt;=Y162*tol_Pct,"OK",IF(Z162&gt;0,"OVER","UNDER"))))</f>
      </c>
      <c r="AB162" s="0" t="s">
        <v>34</v>
      </c>
      <c r="AC162" s="0">
        <f>IF(AND($V162&lt;&gt;"No",$E162="Common",NOT(ISNUMBER(SEARCH("Ideas",$F162)))),$W162,NA())</f>
      </c>
      <c r="AD162" s="0">
        <f>IF(AND($V162&lt;&gt;"No",$E162="Uncommon",NOT(ISNUMBER(SEARCH("Ideas",$F162)))),$W162,NA())</f>
      </c>
      <c r="AE162" s="0">
        <f>IF(AND($V162&lt;&gt;"No",$E162="Rare",NOT(ISNUMBER(SEARCH("Ideas",$F162)))),$W162,NA())</f>
      </c>
      <c r="AF162" s="0">
        <f>IF(AND($V162&lt;&gt;"No",$E162="Legendary",NOT(ISNUMBER(SEARCH("Ideas",$F162)))),$W162,NA())</f>
      </c>
      <c r="AG162" s="0">
        <f>IF(AND($V162&lt;&gt;"No",ISNUMBER(SEARCH("Knight",$C162)),NOT(ISNUMBER(SEARCH("Ideas",$F162)))),$X162,NA())</f>
      </c>
      <c r="AH162" s="0">
        <f>IF(AND($V162&lt;&gt;"No",ISNUMBER(SEARCH("Mage",$C162)),NOT(ISNUMBER(SEARCH("Ideas",$F162)))),$X162,NA())</f>
      </c>
      <c r="AI162" s="0">
        <f>IF(AND($V162&lt;&gt;"No",ISNUMBER(SEARCH("Rogue",$C162)),NOT(ISNUMBER(SEARCH("Ideas",$F162)))),$X162,NA())</f>
      </c>
      <c r="AJ162" s="0">
        <f>IF($V162&lt;&gt;"No",$Y162,NA())</f>
      </c>
      <c r="AK162" s="0">
        <f>IF(AND($V162&lt;&gt;"No",ISNUMBER(SEARCH("Ideas",$F162))),$W162,NA())</f>
      </c>
      <c r="AL162" s="0">
        <f>IF(AND($V162&lt;&gt;"No",ISNUMBER(SEARCH("Cleric",$C162)),NOT(ISNUMBER(SEARCH("Ideas",$F162)))),$X162,NA())</f>
      </c>
    </row>
    <row r="163">
      <c r="A163" s="0" t="s">
        <v>686</v>
      </c>
      <c r="B163" s="0" t="s">
        <v>684</v>
      </c>
      <c r="C163" s="0" t="s">
        <v>393</v>
      </c>
      <c r="D163" s="0">
        <v>1</v>
      </c>
      <c r="E163" s="0" t="s">
        <v>174</v>
      </c>
      <c r="F163" s="0" t="s">
        <v>1974</v>
      </c>
      <c r="G163" s="0">
        <v>1</v>
      </c>
      <c r="H163" s="0">
        <v>1</v>
      </c>
      <c r="I163" s="0">
        <v>4</v>
      </c>
      <c r="J163" s="0">
        <v>0</v>
      </c>
      <c r="K163" s="0">
        <v>4</v>
      </c>
      <c r="L163" s="0">
        <v>0</v>
      </c>
      <c r="M163" s="0">
        <v>0</v>
      </c>
      <c r="N163" s="0">
        <v>0</v>
      </c>
      <c r="O163" s="0">
        <v>0</v>
      </c>
      <c r="P163" s="0">
        <v>0</v>
      </c>
      <c r="Q163" s="0">
        <v>0</v>
      </c>
      <c r="R163" s="0">
        <v>0</v>
      </c>
      <c r="S163" s="0">
        <v>0</v>
      </c>
      <c r="T163" s="0" t="s">
        <v>34</v>
      </c>
      <c r="U163" s="0" t="s">
        <v>34</v>
      </c>
      <c r="V163" s="0" t="s">
        <v>882</v>
      </c>
      <c r="W163" s="11">
        <f>IF($V163="No","",ROUND((I163*w_Damage + N163*w_Poison + P163*w_Weaken*w_Horizon)*MIN(1+(G163-1)*w_OccEnemy,w_MaxEnemies) + (J163*w_Heal + K163*w_Shield + L163*w_Block + M163*w_Parry + O163*w_Strength*w_Horizon + S163*w_Combo)*MIN(1+(H163-1)*w_OccAlly,w_MaxAllies) + Q163*w_Draw + R163*w_Move,2))</f>
      </c>
      <c r="X163" s="11">
        <f>IF(W163="","",ROUND(W163/MAX(D163,1),2))</f>
      </c>
      <c r="Y163" s="11">
        <f>IF($V163="No","",ROUND((curve_Base+curve_Slope*D163)*IFERROR(VLOOKUP(E163,rarity_Mult,2,FALSE),1),2))</f>
      </c>
      <c r="Z163" s="11">
        <f>IF(OR(W163="",Y163=""),"",ROUND(W163-Y163,2))</f>
      </c>
      <c r="AA163" s="0">
        <f>IF(Z163="","",IF($V163="Partial","RIDER",IF(ABS(Z163)&lt;=Y163*tol_Pct,"OK",IF(Z163&gt;0,"OVER","UNDER"))))</f>
      </c>
      <c r="AB163" s="0" t="s">
        <v>34</v>
      </c>
      <c r="AC163" s="0">
        <f>IF(AND($V163&lt;&gt;"No",$E163="Common",NOT(ISNUMBER(SEARCH("Ideas",$F163)))),$W163,NA())</f>
      </c>
      <c r="AD163" s="0">
        <f>IF(AND($V163&lt;&gt;"No",$E163="Uncommon",NOT(ISNUMBER(SEARCH("Ideas",$F163)))),$W163,NA())</f>
      </c>
      <c r="AE163" s="0">
        <f>IF(AND($V163&lt;&gt;"No",$E163="Rare",NOT(ISNUMBER(SEARCH("Ideas",$F163)))),$W163,NA())</f>
      </c>
      <c r="AF163" s="0">
        <f>IF(AND($V163&lt;&gt;"No",$E163="Legendary",NOT(ISNUMBER(SEARCH("Ideas",$F163)))),$W163,NA())</f>
      </c>
      <c r="AG163" s="0">
        <f>IF(AND($V163&lt;&gt;"No",ISNUMBER(SEARCH("Knight",$C163)),NOT(ISNUMBER(SEARCH("Ideas",$F163)))),$X163,NA())</f>
      </c>
      <c r="AH163" s="0">
        <f>IF(AND($V163&lt;&gt;"No",ISNUMBER(SEARCH("Mage",$C163)),NOT(ISNUMBER(SEARCH("Ideas",$F163)))),$X163,NA())</f>
      </c>
      <c r="AI163" s="0">
        <f>IF(AND($V163&lt;&gt;"No",ISNUMBER(SEARCH("Rogue",$C163)),NOT(ISNUMBER(SEARCH("Ideas",$F163)))),$X163,NA())</f>
      </c>
      <c r="AJ163" s="0">
        <f>IF($V163&lt;&gt;"No",$Y163,NA())</f>
      </c>
      <c r="AK163" s="0">
        <f>IF(AND($V163&lt;&gt;"No",ISNUMBER(SEARCH("Ideas",$F163))),$W163,NA())</f>
      </c>
      <c r="AL163" s="0">
        <f>IF(AND($V163&lt;&gt;"No",ISNUMBER(SEARCH("Cleric",$C163)),NOT(ISNUMBER(SEARCH("Ideas",$F163)))),$X163,NA())</f>
      </c>
    </row>
    <row r="164">
      <c r="A164" s="0" t="s">
        <v>692</v>
      </c>
      <c r="B164" s="0" t="s">
        <v>689</v>
      </c>
      <c r="C164" s="0" t="s">
        <v>393</v>
      </c>
      <c r="D164" s="0">
        <v>0</v>
      </c>
      <c r="E164" s="0" t="s">
        <v>174</v>
      </c>
      <c r="F164" s="0" t="s">
        <v>1974</v>
      </c>
      <c r="G164" s="0">
        <v>1</v>
      </c>
      <c r="H164" s="0">
        <v>1</v>
      </c>
      <c r="I164" s="0">
        <v>0</v>
      </c>
      <c r="J164" s="0">
        <v>0</v>
      </c>
      <c r="K164" s="0">
        <v>0</v>
      </c>
      <c r="L164" s="0">
        <v>0</v>
      </c>
      <c r="M164" s="0">
        <v>0</v>
      </c>
      <c r="N164" s="0">
        <v>0</v>
      </c>
      <c r="O164" s="0">
        <v>0</v>
      </c>
      <c r="P164" s="0">
        <v>0</v>
      </c>
      <c r="Q164" s="0">
        <v>0</v>
      </c>
      <c r="R164" s="0">
        <v>0</v>
      </c>
      <c r="S164" s="0">
        <v>0</v>
      </c>
      <c r="T164" s="0" t="s">
        <v>199</v>
      </c>
      <c r="U164" s="0" t="s">
        <v>199</v>
      </c>
      <c r="V164" s="0" t="s">
        <v>1407</v>
      </c>
      <c r="W164" s="11">
        <f>IF($V164="No","",ROUND((I164*w_Damage + N164*w_Poison + P164*w_Weaken*w_Horizon)*MIN(1+(G164-1)*w_OccEnemy,w_MaxEnemies) + (J164*w_Heal + K164*w_Shield + L164*w_Block + M164*w_Parry + O164*w_Strength*w_Horizon + S164*w_Combo)*MIN(1+(H164-1)*w_OccAlly,w_MaxAllies) + Q164*w_Draw + R164*w_Move,2))</f>
      </c>
      <c r="X164" s="11">
        <f>IF(W164="","",ROUND(W164/MAX(D164,1),2))</f>
      </c>
      <c r="Y164" s="11">
        <f>IF($V164="No","",ROUND((curve_Base+curve_Slope*D164)*IFERROR(VLOOKUP(E164,rarity_Mult,2,FALSE),1),2))</f>
      </c>
      <c r="Z164" s="11">
        <f>IF(OR(W164="",Y164=""),"",ROUND(W164-Y164,2))</f>
      </c>
      <c r="AA164" s="0">
        <f>IF(Z164="","",IF($V164="Partial","RIDER",IF(ABS(Z164)&lt;=Y164*tol_Pct,"OK",IF(Z164&gt;0,"OVER","UNDER"))))</f>
      </c>
      <c r="AB164" s="0" t="s">
        <v>34</v>
      </c>
      <c r="AC164" s="0">
        <f>IF(AND($V164&lt;&gt;"No",$E164="Common",NOT(ISNUMBER(SEARCH("Ideas",$F164)))),$W164,NA())</f>
      </c>
      <c r="AD164" s="0">
        <f>IF(AND($V164&lt;&gt;"No",$E164="Uncommon",NOT(ISNUMBER(SEARCH("Ideas",$F164)))),$W164,NA())</f>
      </c>
      <c r="AE164" s="0">
        <f>IF(AND($V164&lt;&gt;"No",$E164="Rare",NOT(ISNUMBER(SEARCH("Ideas",$F164)))),$W164,NA())</f>
      </c>
      <c r="AF164" s="0">
        <f>IF(AND($V164&lt;&gt;"No",$E164="Legendary",NOT(ISNUMBER(SEARCH("Ideas",$F164)))),$W164,NA())</f>
      </c>
      <c r="AG164" s="0">
        <f>IF(AND($V164&lt;&gt;"No",ISNUMBER(SEARCH("Knight",$C164)),NOT(ISNUMBER(SEARCH("Ideas",$F164)))),$X164,NA())</f>
      </c>
      <c r="AH164" s="0">
        <f>IF(AND($V164&lt;&gt;"No",ISNUMBER(SEARCH("Mage",$C164)),NOT(ISNUMBER(SEARCH("Ideas",$F164)))),$X164,NA())</f>
      </c>
      <c r="AI164" s="0">
        <f>IF(AND($V164&lt;&gt;"No",ISNUMBER(SEARCH("Rogue",$C164)),NOT(ISNUMBER(SEARCH("Ideas",$F164)))),$X164,NA())</f>
      </c>
      <c r="AJ164" s="0">
        <f>IF($V164&lt;&gt;"No",$Y164,NA())</f>
      </c>
      <c r="AK164" s="0">
        <f>IF(AND($V164&lt;&gt;"No",ISNUMBER(SEARCH("Ideas",$F164))),$W164,NA())</f>
      </c>
      <c r="AL164" s="0">
        <f>IF(AND($V164&lt;&gt;"No",ISNUMBER(SEARCH("Cleric",$C164)),NOT(ISNUMBER(SEARCH("Ideas",$F164)))),$X164,NA())</f>
      </c>
    </row>
    <row r="165">
      <c r="A165" s="0" t="s">
        <v>696</v>
      </c>
      <c r="B165" s="0" t="s">
        <v>695</v>
      </c>
      <c r="C165" s="0" t="s">
        <v>393</v>
      </c>
      <c r="D165" s="0">
        <v>1</v>
      </c>
      <c r="E165" s="0" t="s">
        <v>174</v>
      </c>
      <c r="F165" s="0" t="s">
        <v>1974</v>
      </c>
      <c r="G165" s="0">
        <v>1</v>
      </c>
      <c r="H165" s="0">
        <v>1</v>
      </c>
      <c r="I165" s="0">
        <v>4</v>
      </c>
      <c r="J165" s="0">
        <v>0</v>
      </c>
      <c r="K165" s="0">
        <v>0</v>
      </c>
      <c r="L165" s="0">
        <v>0</v>
      </c>
      <c r="M165" s="0">
        <v>0</v>
      </c>
      <c r="N165" s="0">
        <v>0</v>
      </c>
      <c r="O165" s="0">
        <v>0</v>
      </c>
      <c r="P165" s="0">
        <v>0</v>
      </c>
      <c r="Q165" s="0">
        <v>0</v>
      </c>
      <c r="R165" s="0">
        <v>0</v>
      </c>
      <c r="S165" s="0">
        <v>0</v>
      </c>
      <c r="T165" s="0" t="s">
        <v>34</v>
      </c>
      <c r="U165" s="0" t="s">
        <v>34</v>
      </c>
      <c r="V165" s="0" t="s">
        <v>882</v>
      </c>
      <c r="W165" s="11">
        <f>IF($V165="No","",ROUND((I165*w_Damage + N165*w_Poison + P165*w_Weaken*w_Horizon)*MIN(1+(G165-1)*w_OccEnemy,w_MaxEnemies) + (J165*w_Heal + K165*w_Shield + L165*w_Block + M165*w_Parry + O165*w_Strength*w_Horizon + S165*w_Combo)*MIN(1+(H165-1)*w_OccAlly,w_MaxAllies) + Q165*w_Draw + R165*w_Move,2))</f>
      </c>
      <c r="X165" s="11">
        <f>IF(W165="","",ROUND(W165/MAX(D165,1),2))</f>
      </c>
      <c r="Y165" s="11">
        <f>IF($V165="No","",ROUND((curve_Base+curve_Slope*D165)*IFERROR(VLOOKUP(E165,rarity_Mult,2,FALSE),1),2))</f>
      </c>
      <c r="Z165" s="11">
        <f>IF(OR(W165="",Y165=""),"",ROUND(W165-Y165,2))</f>
      </c>
      <c r="AA165" s="0">
        <f>IF(Z165="","",IF($V165="Partial","RIDER",IF(ABS(Z165)&lt;=Y165*tol_Pct,"OK",IF(Z165&gt;0,"OVER","UNDER"))))</f>
      </c>
      <c r="AB165" s="0" t="s">
        <v>34</v>
      </c>
      <c r="AC165" s="0">
        <f>IF(AND($V165&lt;&gt;"No",$E165="Common",NOT(ISNUMBER(SEARCH("Ideas",$F165)))),$W165,NA())</f>
      </c>
      <c r="AD165" s="0">
        <f>IF(AND($V165&lt;&gt;"No",$E165="Uncommon",NOT(ISNUMBER(SEARCH("Ideas",$F165)))),$W165,NA())</f>
      </c>
      <c r="AE165" s="0">
        <f>IF(AND($V165&lt;&gt;"No",$E165="Rare",NOT(ISNUMBER(SEARCH("Ideas",$F165)))),$W165,NA())</f>
      </c>
      <c r="AF165" s="0">
        <f>IF(AND($V165&lt;&gt;"No",$E165="Legendary",NOT(ISNUMBER(SEARCH("Ideas",$F165)))),$W165,NA())</f>
      </c>
      <c r="AG165" s="0">
        <f>IF(AND($V165&lt;&gt;"No",ISNUMBER(SEARCH("Knight",$C165)),NOT(ISNUMBER(SEARCH("Ideas",$F165)))),$X165,NA())</f>
      </c>
      <c r="AH165" s="0">
        <f>IF(AND($V165&lt;&gt;"No",ISNUMBER(SEARCH("Mage",$C165)),NOT(ISNUMBER(SEARCH("Ideas",$F165)))),$X165,NA())</f>
      </c>
      <c r="AI165" s="0">
        <f>IF(AND($V165&lt;&gt;"No",ISNUMBER(SEARCH("Rogue",$C165)),NOT(ISNUMBER(SEARCH("Ideas",$F165)))),$X165,NA())</f>
      </c>
      <c r="AJ165" s="0">
        <f>IF($V165&lt;&gt;"No",$Y165,NA())</f>
      </c>
      <c r="AK165" s="0">
        <f>IF(AND($V165&lt;&gt;"No",ISNUMBER(SEARCH("Ideas",$F165))),$W165,NA())</f>
      </c>
      <c r="AL165" s="0">
        <f>IF(AND($V165&lt;&gt;"No",ISNUMBER(SEARCH("Cleric",$C165)),NOT(ISNUMBER(SEARCH("Ideas",$F165)))),$X165,NA())</f>
      </c>
    </row>
    <row r="166">
      <c r="A166" s="0" t="s">
        <v>700</v>
      </c>
      <c r="B166" s="0" t="s">
        <v>698</v>
      </c>
      <c r="C166" s="0" t="s">
        <v>393</v>
      </c>
      <c r="D166" s="0">
        <v>1</v>
      </c>
      <c r="E166" s="0" t="s">
        <v>174</v>
      </c>
      <c r="F166" s="0" t="s">
        <v>1974</v>
      </c>
      <c r="G166" s="0">
        <v>9</v>
      </c>
      <c r="H166" s="0">
        <v>1</v>
      </c>
      <c r="I166" s="0">
        <v>3</v>
      </c>
      <c r="J166" s="0">
        <v>0</v>
      </c>
      <c r="K166" s="0">
        <v>0</v>
      </c>
      <c r="L166" s="0">
        <v>0</v>
      </c>
      <c r="M166" s="0">
        <v>0</v>
      </c>
      <c r="N166" s="0">
        <v>0</v>
      </c>
      <c r="O166" s="0">
        <v>0</v>
      </c>
      <c r="P166" s="0">
        <v>0</v>
      </c>
      <c r="Q166" s="0">
        <v>0</v>
      </c>
      <c r="R166" s="0">
        <v>0</v>
      </c>
      <c r="S166" s="0">
        <v>0</v>
      </c>
      <c r="T166" s="0" t="s">
        <v>34</v>
      </c>
      <c r="U166" s="0" t="s">
        <v>34</v>
      </c>
      <c r="V166" s="0" t="s">
        <v>882</v>
      </c>
      <c r="W166" s="11">
        <f>IF($V166="No","",ROUND((I166*w_Damage + N166*w_Poison + P166*w_Weaken*w_Horizon)*MIN(1+(G166-1)*w_OccEnemy,w_MaxEnemies) + (J166*w_Heal + K166*w_Shield + L166*w_Block + M166*w_Parry + O166*w_Strength*w_Horizon + S166*w_Combo)*MIN(1+(H166-1)*w_OccAlly,w_MaxAllies) + Q166*w_Draw + R166*w_Move,2))</f>
      </c>
      <c r="X166" s="11">
        <f>IF(W166="","",ROUND(W166/MAX(D166,1),2))</f>
      </c>
      <c r="Y166" s="11">
        <f>IF($V166="No","",ROUND((curve_Base+curve_Slope*D166)*IFERROR(VLOOKUP(E166,rarity_Mult,2,FALSE),1),2))</f>
      </c>
      <c r="Z166" s="11">
        <f>IF(OR(W166="",Y166=""),"",ROUND(W166-Y166,2))</f>
      </c>
      <c r="AA166" s="0">
        <f>IF(Z166="","",IF($V166="Partial","RIDER",IF(ABS(Z166)&lt;=Y166*tol_Pct,"OK",IF(Z166&gt;0,"OVER","UNDER"))))</f>
      </c>
      <c r="AB166" s="0" t="s">
        <v>34</v>
      </c>
      <c r="AC166" s="0">
        <f>IF(AND($V166&lt;&gt;"No",$E166="Common",NOT(ISNUMBER(SEARCH("Ideas",$F166)))),$W166,NA())</f>
      </c>
      <c r="AD166" s="0">
        <f>IF(AND($V166&lt;&gt;"No",$E166="Uncommon",NOT(ISNUMBER(SEARCH("Ideas",$F166)))),$W166,NA())</f>
      </c>
      <c r="AE166" s="0">
        <f>IF(AND($V166&lt;&gt;"No",$E166="Rare",NOT(ISNUMBER(SEARCH("Ideas",$F166)))),$W166,NA())</f>
      </c>
      <c r="AF166" s="0">
        <f>IF(AND($V166&lt;&gt;"No",$E166="Legendary",NOT(ISNUMBER(SEARCH("Ideas",$F166)))),$W166,NA())</f>
      </c>
      <c r="AG166" s="0">
        <f>IF(AND($V166&lt;&gt;"No",ISNUMBER(SEARCH("Knight",$C166)),NOT(ISNUMBER(SEARCH("Ideas",$F166)))),$X166,NA())</f>
      </c>
      <c r="AH166" s="0">
        <f>IF(AND($V166&lt;&gt;"No",ISNUMBER(SEARCH("Mage",$C166)),NOT(ISNUMBER(SEARCH("Ideas",$F166)))),$X166,NA())</f>
      </c>
      <c r="AI166" s="0">
        <f>IF(AND($V166&lt;&gt;"No",ISNUMBER(SEARCH("Rogue",$C166)),NOT(ISNUMBER(SEARCH("Ideas",$F166)))),$X166,NA())</f>
      </c>
      <c r="AJ166" s="0">
        <f>IF($V166&lt;&gt;"No",$Y166,NA())</f>
      </c>
      <c r="AK166" s="0">
        <f>IF(AND($V166&lt;&gt;"No",ISNUMBER(SEARCH("Ideas",$F166))),$W166,NA())</f>
      </c>
      <c r="AL166" s="0">
        <f>IF(AND($V166&lt;&gt;"No",ISNUMBER(SEARCH("Cleric",$C166)),NOT(ISNUMBER(SEARCH("Ideas",$F166)))),$X166,NA())</f>
      </c>
    </row>
    <row r="167">
      <c r="A167" s="0" t="s">
        <v>702</v>
      </c>
      <c r="B167" s="0" t="s">
        <v>702</v>
      </c>
      <c r="C167" s="0" t="s">
        <v>393</v>
      </c>
      <c r="D167" s="0">
        <v>0</v>
      </c>
      <c r="E167" s="0" t="s">
        <v>174</v>
      </c>
      <c r="F167" s="0" t="s">
        <v>1974</v>
      </c>
      <c r="G167" s="0">
        <v>1</v>
      </c>
      <c r="H167" s="0">
        <v>3</v>
      </c>
      <c r="I167" s="0">
        <v>0</v>
      </c>
      <c r="J167" s="0">
        <v>0</v>
      </c>
      <c r="K167" s="0">
        <v>0</v>
      </c>
      <c r="L167" s="0">
        <v>0</v>
      </c>
      <c r="M167" s="0">
        <v>0</v>
      </c>
      <c r="N167" s="0">
        <v>0</v>
      </c>
      <c r="O167" s="0">
        <v>0</v>
      </c>
      <c r="P167" s="0">
        <v>0</v>
      </c>
      <c r="Q167" s="0">
        <v>0</v>
      </c>
      <c r="R167" s="0">
        <v>0</v>
      </c>
      <c r="S167" s="0">
        <v>0</v>
      </c>
      <c r="T167" s="0" t="s">
        <v>199</v>
      </c>
      <c r="U167" s="0" t="s">
        <v>199</v>
      </c>
      <c r="V167" s="0" t="s">
        <v>1407</v>
      </c>
      <c r="W167" s="11">
        <f>IF($V167="No","",ROUND((I167*w_Damage + N167*w_Poison + P167*w_Weaken*w_Horizon)*MIN(1+(G167-1)*w_OccEnemy,w_MaxEnemies) + (J167*w_Heal + K167*w_Shield + L167*w_Block + M167*w_Parry + O167*w_Strength*w_Horizon + S167*w_Combo)*MIN(1+(H167-1)*w_OccAlly,w_MaxAllies) + Q167*w_Draw + R167*w_Move,2))</f>
      </c>
      <c r="X167" s="11">
        <f>IF(W167="","",ROUND(W167/MAX(D167,1),2))</f>
      </c>
      <c r="Y167" s="11">
        <f>IF($V167="No","",ROUND((curve_Base+curve_Slope*D167)*IFERROR(VLOOKUP(E167,rarity_Mult,2,FALSE),1),2))</f>
      </c>
      <c r="Z167" s="11">
        <f>IF(OR(W167="",Y167=""),"",ROUND(W167-Y167,2))</f>
      </c>
      <c r="AA167" s="0">
        <f>IF(Z167="","",IF($V167="Partial","RIDER",IF(ABS(Z167)&lt;=Y167*tol_Pct,"OK",IF(Z167&gt;0,"OVER","UNDER"))))</f>
      </c>
      <c r="AB167" s="0" t="s">
        <v>34</v>
      </c>
      <c r="AC167" s="0">
        <f>IF(AND($V167&lt;&gt;"No",$E167="Common",NOT(ISNUMBER(SEARCH("Ideas",$F167)))),$W167,NA())</f>
      </c>
      <c r="AD167" s="0">
        <f>IF(AND($V167&lt;&gt;"No",$E167="Uncommon",NOT(ISNUMBER(SEARCH("Ideas",$F167)))),$W167,NA())</f>
      </c>
      <c r="AE167" s="0">
        <f>IF(AND($V167&lt;&gt;"No",$E167="Rare",NOT(ISNUMBER(SEARCH("Ideas",$F167)))),$W167,NA())</f>
      </c>
      <c r="AF167" s="0">
        <f>IF(AND($V167&lt;&gt;"No",$E167="Legendary",NOT(ISNUMBER(SEARCH("Ideas",$F167)))),$W167,NA())</f>
      </c>
      <c r="AG167" s="0">
        <f>IF(AND($V167&lt;&gt;"No",ISNUMBER(SEARCH("Knight",$C167)),NOT(ISNUMBER(SEARCH("Ideas",$F167)))),$X167,NA())</f>
      </c>
      <c r="AH167" s="0">
        <f>IF(AND($V167&lt;&gt;"No",ISNUMBER(SEARCH("Mage",$C167)),NOT(ISNUMBER(SEARCH("Ideas",$F167)))),$X167,NA())</f>
      </c>
      <c r="AI167" s="0">
        <f>IF(AND($V167&lt;&gt;"No",ISNUMBER(SEARCH("Rogue",$C167)),NOT(ISNUMBER(SEARCH("Ideas",$F167)))),$X167,NA())</f>
      </c>
      <c r="AJ167" s="0">
        <f>IF($V167&lt;&gt;"No",$Y167,NA())</f>
      </c>
      <c r="AK167" s="0">
        <f>IF(AND($V167&lt;&gt;"No",ISNUMBER(SEARCH("Ideas",$F167))),$W167,NA())</f>
      </c>
      <c r="AL167" s="0">
        <f>IF(AND($V167&lt;&gt;"No",ISNUMBER(SEARCH("Cleric",$C167)),NOT(ISNUMBER(SEARCH("Ideas",$F167)))),$X167,NA())</f>
      </c>
    </row>
    <row r="168">
      <c r="A168" s="0" t="s">
        <v>708</v>
      </c>
      <c r="B168" s="0" t="s">
        <v>708</v>
      </c>
      <c r="C168" s="0" t="s">
        <v>393</v>
      </c>
      <c r="D168" s="0">
        <v>1</v>
      </c>
      <c r="E168" s="0" t="s">
        <v>174</v>
      </c>
      <c r="F168" s="0" t="s">
        <v>1974</v>
      </c>
      <c r="G168" s="0">
        <v>1</v>
      </c>
      <c r="H168" s="0">
        <v>1</v>
      </c>
      <c r="I168" s="0">
        <v>6</v>
      </c>
      <c r="J168" s="0">
        <v>0</v>
      </c>
      <c r="K168" s="0">
        <v>0</v>
      </c>
      <c r="L168" s="0">
        <v>0</v>
      </c>
      <c r="M168" s="0">
        <v>1</v>
      </c>
      <c r="N168" s="0">
        <v>0</v>
      </c>
      <c r="O168" s="0">
        <v>0</v>
      </c>
      <c r="P168" s="0">
        <v>0</v>
      </c>
      <c r="Q168" s="0">
        <v>0</v>
      </c>
      <c r="R168" s="0">
        <v>0</v>
      </c>
      <c r="S168" s="0">
        <v>0</v>
      </c>
      <c r="T168" s="0" t="s">
        <v>34</v>
      </c>
      <c r="U168" s="0" t="s">
        <v>34</v>
      </c>
      <c r="V168" s="0" t="s">
        <v>882</v>
      </c>
      <c r="W168" s="11">
        <f>IF($V168="No","",ROUND((I168*w_Damage + N168*w_Poison + P168*w_Weaken*w_Horizon)*MIN(1+(G168-1)*w_OccEnemy,w_MaxEnemies) + (J168*w_Heal + K168*w_Shield + L168*w_Block + M168*w_Parry + O168*w_Strength*w_Horizon + S168*w_Combo)*MIN(1+(H168-1)*w_OccAlly,w_MaxAllies) + Q168*w_Draw + R168*w_Move,2))</f>
      </c>
      <c r="X168" s="11">
        <f>IF(W168="","",ROUND(W168/MAX(D168,1),2))</f>
      </c>
      <c r="Y168" s="11">
        <f>IF($V168="No","",ROUND((curve_Base+curve_Slope*D168)*IFERROR(VLOOKUP(E168,rarity_Mult,2,FALSE),1),2))</f>
      </c>
      <c r="Z168" s="11">
        <f>IF(OR(W168="",Y168=""),"",ROUND(W168-Y168,2))</f>
      </c>
      <c r="AA168" s="0">
        <f>IF(Z168="","",IF($V168="Partial","RIDER",IF(ABS(Z168)&lt;=Y168*tol_Pct,"OK",IF(Z168&gt;0,"OVER","UNDER"))))</f>
      </c>
      <c r="AB168" s="0" t="s">
        <v>34</v>
      </c>
      <c r="AC168" s="0">
        <f>IF(AND($V168&lt;&gt;"No",$E168="Common",NOT(ISNUMBER(SEARCH("Ideas",$F168)))),$W168,NA())</f>
      </c>
      <c r="AD168" s="0">
        <f>IF(AND($V168&lt;&gt;"No",$E168="Uncommon",NOT(ISNUMBER(SEARCH("Ideas",$F168)))),$W168,NA())</f>
      </c>
      <c r="AE168" s="0">
        <f>IF(AND($V168&lt;&gt;"No",$E168="Rare",NOT(ISNUMBER(SEARCH("Ideas",$F168)))),$W168,NA())</f>
      </c>
      <c r="AF168" s="0">
        <f>IF(AND($V168&lt;&gt;"No",$E168="Legendary",NOT(ISNUMBER(SEARCH("Ideas",$F168)))),$W168,NA())</f>
      </c>
      <c r="AG168" s="0">
        <f>IF(AND($V168&lt;&gt;"No",ISNUMBER(SEARCH("Knight",$C168)),NOT(ISNUMBER(SEARCH("Ideas",$F168)))),$X168,NA())</f>
      </c>
      <c r="AH168" s="0">
        <f>IF(AND($V168&lt;&gt;"No",ISNUMBER(SEARCH("Mage",$C168)),NOT(ISNUMBER(SEARCH("Ideas",$F168)))),$X168,NA())</f>
      </c>
      <c r="AI168" s="0">
        <f>IF(AND($V168&lt;&gt;"No",ISNUMBER(SEARCH("Rogue",$C168)),NOT(ISNUMBER(SEARCH("Ideas",$F168)))),$X168,NA())</f>
      </c>
      <c r="AJ168" s="0">
        <f>IF($V168&lt;&gt;"No",$Y168,NA())</f>
      </c>
      <c r="AK168" s="0">
        <f>IF(AND($V168&lt;&gt;"No",ISNUMBER(SEARCH("Ideas",$F168))),$W168,NA())</f>
      </c>
      <c r="AL168" s="0">
        <f>IF(AND($V168&lt;&gt;"No",ISNUMBER(SEARCH("Cleric",$C168)),NOT(ISNUMBER(SEARCH("Ideas",$F168)))),$X168,NA())</f>
      </c>
    </row>
    <row r="169">
      <c r="A169" s="0" t="s">
        <v>712</v>
      </c>
      <c r="B169" s="0" t="s">
        <v>157</v>
      </c>
      <c r="C169" s="0" t="s">
        <v>393</v>
      </c>
      <c r="D169" s="0">
        <v>1</v>
      </c>
      <c r="E169" s="0" t="s">
        <v>174</v>
      </c>
      <c r="F169" s="0" t="s">
        <v>1974</v>
      </c>
      <c r="G169" s="0">
        <v>1</v>
      </c>
      <c r="H169" s="0">
        <v>1</v>
      </c>
      <c r="I169" s="0">
        <v>4</v>
      </c>
      <c r="J169" s="0">
        <v>0</v>
      </c>
      <c r="K169" s="0">
        <v>10</v>
      </c>
      <c r="L169" s="0">
        <v>10</v>
      </c>
      <c r="M169" s="0">
        <v>0</v>
      </c>
      <c r="N169" s="0">
        <v>0</v>
      </c>
      <c r="O169" s="0">
        <v>0</v>
      </c>
      <c r="P169" s="0">
        <v>0</v>
      </c>
      <c r="Q169" s="0">
        <v>0</v>
      </c>
      <c r="R169" s="0">
        <v>0</v>
      </c>
      <c r="S169" s="0">
        <v>0</v>
      </c>
      <c r="T169" s="0" t="s">
        <v>34</v>
      </c>
      <c r="U169" s="0" t="s">
        <v>34</v>
      </c>
      <c r="V169" s="0" t="s">
        <v>882</v>
      </c>
      <c r="W169" s="11">
        <f>IF($V169="No","",ROUND((I169*w_Damage + N169*w_Poison + P169*w_Weaken*w_Horizon)*MIN(1+(G169-1)*w_OccEnemy,w_MaxEnemies) + (J169*w_Heal + K169*w_Shield + L169*w_Block + M169*w_Parry + O169*w_Strength*w_Horizon + S169*w_Combo)*MIN(1+(H169-1)*w_OccAlly,w_MaxAllies) + Q169*w_Draw + R169*w_Move,2))</f>
      </c>
      <c r="X169" s="11">
        <f>IF(W169="","",ROUND(W169/MAX(D169,1),2))</f>
      </c>
      <c r="Y169" s="11">
        <f>IF($V169="No","",ROUND((curve_Base+curve_Slope*D169)*IFERROR(VLOOKUP(E169,rarity_Mult,2,FALSE),1),2))</f>
      </c>
      <c r="Z169" s="11">
        <f>IF(OR(W169="",Y169=""),"",ROUND(W169-Y169,2))</f>
      </c>
      <c r="AA169" s="0">
        <f>IF(Z169="","",IF($V169="Partial","RIDER",IF(ABS(Z169)&lt;=Y169*tol_Pct,"OK",IF(Z169&gt;0,"OVER","UNDER"))))</f>
      </c>
      <c r="AB169" s="0" t="s">
        <v>34</v>
      </c>
      <c r="AC169" s="0">
        <f>IF(AND($V169&lt;&gt;"No",$E169="Common",NOT(ISNUMBER(SEARCH("Ideas",$F169)))),$W169,NA())</f>
      </c>
      <c r="AD169" s="0">
        <f>IF(AND($V169&lt;&gt;"No",$E169="Uncommon",NOT(ISNUMBER(SEARCH("Ideas",$F169)))),$W169,NA())</f>
      </c>
      <c r="AE169" s="0">
        <f>IF(AND($V169&lt;&gt;"No",$E169="Rare",NOT(ISNUMBER(SEARCH("Ideas",$F169)))),$W169,NA())</f>
      </c>
      <c r="AF169" s="0">
        <f>IF(AND($V169&lt;&gt;"No",$E169="Legendary",NOT(ISNUMBER(SEARCH("Ideas",$F169)))),$W169,NA())</f>
      </c>
      <c r="AG169" s="0">
        <f>IF(AND($V169&lt;&gt;"No",ISNUMBER(SEARCH("Knight",$C169)),NOT(ISNUMBER(SEARCH("Ideas",$F169)))),$X169,NA())</f>
      </c>
      <c r="AH169" s="0">
        <f>IF(AND($V169&lt;&gt;"No",ISNUMBER(SEARCH("Mage",$C169)),NOT(ISNUMBER(SEARCH("Ideas",$F169)))),$X169,NA())</f>
      </c>
      <c r="AI169" s="0">
        <f>IF(AND($V169&lt;&gt;"No",ISNUMBER(SEARCH("Rogue",$C169)),NOT(ISNUMBER(SEARCH("Ideas",$F169)))),$X169,NA())</f>
      </c>
      <c r="AJ169" s="0">
        <f>IF($V169&lt;&gt;"No",$Y169,NA())</f>
      </c>
      <c r="AK169" s="0">
        <f>IF(AND($V169&lt;&gt;"No",ISNUMBER(SEARCH("Ideas",$F169))),$W169,NA())</f>
      </c>
      <c r="AL169" s="0">
        <f>IF(AND($V169&lt;&gt;"No",ISNUMBER(SEARCH("Cleric",$C169)),NOT(ISNUMBER(SEARCH("Ideas",$F169)))),$X169,NA())</f>
      </c>
    </row>
    <row r="170">
      <c r="A170" s="0" t="s">
        <v>717</v>
      </c>
      <c r="B170" s="0" t="s">
        <v>714</v>
      </c>
      <c r="C170" s="0" t="s">
        <v>393</v>
      </c>
      <c r="D170" s="0">
        <v>0</v>
      </c>
      <c r="E170" s="0" t="s">
        <v>174</v>
      </c>
      <c r="F170" s="0" t="s">
        <v>1974</v>
      </c>
      <c r="G170" s="0">
        <v>1</v>
      </c>
      <c r="H170" s="0">
        <v>1</v>
      </c>
      <c r="I170" s="0">
        <v>0</v>
      </c>
      <c r="J170" s="0">
        <v>0</v>
      </c>
      <c r="K170" s="0">
        <v>0</v>
      </c>
      <c r="L170" s="0">
        <v>0</v>
      </c>
      <c r="M170" s="0">
        <v>0</v>
      </c>
      <c r="N170" s="0">
        <v>0</v>
      </c>
      <c r="O170" s="0">
        <v>0</v>
      </c>
      <c r="P170" s="0">
        <v>0</v>
      </c>
      <c r="Q170" s="0">
        <v>0</v>
      </c>
      <c r="R170" s="0">
        <v>0</v>
      </c>
      <c r="S170" s="0">
        <v>0</v>
      </c>
      <c r="T170" s="0" t="s">
        <v>199</v>
      </c>
      <c r="U170" s="0" t="s">
        <v>199</v>
      </c>
      <c r="V170" s="0" t="s">
        <v>1407</v>
      </c>
      <c r="W170" s="11">
        <f>IF($V170="No","",ROUND((I170*w_Damage + N170*w_Poison + P170*w_Weaken*w_Horizon)*MIN(1+(G170-1)*w_OccEnemy,w_MaxEnemies) + (J170*w_Heal + K170*w_Shield + L170*w_Block + M170*w_Parry + O170*w_Strength*w_Horizon + S170*w_Combo)*MIN(1+(H170-1)*w_OccAlly,w_MaxAllies) + Q170*w_Draw + R170*w_Move,2))</f>
      </c>
      <c r="X170" s="11">
        <f>IF(W170="","",ROUND(W170/MAX(D170,1),2))</f>
      </c>
      <c r="Y170" s="11">
        <f>IF($V170="No","",ROUND((curve_Base+curve_Slope*D170)*IFERROR(VLOOKUP(E170,rarity_Mult,2,FALSE),1),2))</f>
      </c>
      <c r="Z170" s="11">
        <f>IF(OR(W170="",Y170=""),"",ROUND(W170-Y170,2))</f>
      </c>
      <c r="AA170" s="0">
        <f>IF(Z170="","",IF($V170="Partial","RIDER",IF(ABS(Z170)&lt;=Y170*tol_Pct,"OK",IF(Z170&gt;0,"OVER","UNDER"))))</f>
      </c>
      <c r="AB170" s="0" t="s">
        <v>34</v>
      </c>
      <c r="AC170" s="0">
        <f>IF(AND($V170&lt;&gt;"No",$E170="Common",NOT(ISNUMBER(SEARCH("Ideas",$F170)))),$W170,NA())</f>
      </c>
      <c r="AD170" s="0">
        <f>IF(AND($V170&lt;&gt;"No",$E170="Uncommon",NOT(ISNUMBER(SEARCH("Ideas",$F170)))),$W170,NA())</f>
      </c>
      <c r="AE170" s="0">
        <f>IF(AND($V170&lt;&gt;"No",$E170="Rare",NOT(ISNUMBER(SEARCH("Ideas",$F170)))),$W170,NA())</f>
      </c>
      <c r="AF170" s="0">
        <f>IF(AND($V170&lt;&gt;"No",$E170="Legendary",NOT(ISNUMBER(SEARCH("Ideas",$F170)))),$W170,NA())</f>
      </c>
      <c r="AG170" s="0">
        <f>IF(AND($V170&lt;&gt;"No",ISNUMBER(SEARCH("Knight",$C170)),NOT(ISNUMBER(SEARCH("Ideas",$F170)))),$X170,NA())</f>
      </c>
      <c r="AH170" s="0">
        <f>IF(AND($V170&lt;&gt;"No",ISNUMBER(SEARCH("Mage",$C170)),NOT(ISNUMBER(SEARCH("Ideas",$F170)))),$X170,NA())</f>
      </c>
      <c r="AI170" s="0">
        <f>IF(AND($V170&lt;&gt;"No",ISNUMBER(SEARCH("Rogue",$C170)),NOT(ISNUMBER(SEARCH("Ideas",$F170)))),$X170,NA())</f>
      </c>
      <c r="AJ170" s="0">
        <f>IF($V170&lt;&gt;"No",$Y170,NA())</f>
      </c>
      <c r="AK170" s="0">
        <f>IF(AND($V170&lt;&gt;"No",ISNUMBER(SEARCH("Ideas",$F170))),$W170,NA())</f>
      </c>
      <c r="AL170" s="0">
        <f>IF(AND($V170&lt;&gt;"No",ISNUMBER(SEARCH("Cleric",$C170)),NOT(ISNUMBER(SEARCH("Ideas",$F170)))),$X170,NA())</f>
      </c>
    </row>
    <row r="171">
      <c r="A171" s="0" t="s">
        <v>722</v>
      </c>
      <c r="B171" s="0" t="s">
        <v>720</v>
      </c>
      <c r="C171" s="0" t="s">
        <v>393</v>
      </c>
      <c r="D171" s="0">
        <v>1</v>
      </c>
      <c r="E171" s="0" t="s">
        <v>174</v>
      </c>
      <c r="F171" s="0" t="s">
        <v>1974</v>
      </c>
      <c r="G171" s="0">
        <v>9</v>
      </c>
      <c r="H171" s="0">
        <v>1</v>
      </c>
      <c r="I171" s="0">
        <v>5</v>
      </c>
      <c r="J171" s="0">
        <v>0</v>
      </c>
      <c r="K171" s="0">
        <v>0</v>
      </c>
      <c r="L171" s="0">
        <v>0</v>
      </c>
      <c r="M171" s="0">
        <v>0</v>
      </c>
      <c r="N171" s="0">
        <v>0</v>
      </c>
      <c r="O171" s="0">
        <v>0</v>
      </c>
      <c r="P171" s="0">
        <v>0</v>
      </c>
      <c r="Q171" s="0">
        <v>0</v>
      </c>
      <c r="R171" s="0">
        <v>0</v>
      </c>
      <c r="S171" s="0">
        <v>0</v>
      </c>
      <c r="T171" s="0" t="s">
        <v>34</v>
      </c>
      <c r="U171" s="0" t="s">
        <v>34</v>
      </c>
      <c r="V171" s="0" t="s">
        <v>882</v>
      </c>
      <c r="W171" s="11">
        <f>IF($V171="No","",ROUND((I171*w_Damage + N171*w_Poison + P171*w_Weaken*w_Horizon)*MIN(1+(G171-1)*w_OccEnemy,w_MaxEnemies) + (J171*w_Heal + K171*w_Shield + L171*w_Block + M171*w_Parry + O171*w_Strength*w_Horizon + S171*w_Combo)*MIN(1+(H171-1)*w_OccAlly,w_MaxAllies) + Q171*w_Draw + R171*w_Move,2))</f>
      </c>
      <c r="X171" s="11">
        <f>IF(W171="","",ROUND(W171/MAX(D171,1),2))</f>
      </c>
      <c r="Y171" s="11">
        <f>IF($V171="No","",ROUND((curve_Base+curve_Slope*D171)*IFERROR(VLOOKUP(E171,rarity_Mult,2,FALSE),1),2))</f>
      </c>
      <c r="Z171" s="11">
        <f>IF(OR(W171="",Y171=""),"",ROUND(W171-Y171,2))</f>
      </c>
      <c r="AA171" s="0">
        <f>IF(Z171="","",IF($V171="Partial","RIDER",IF(ABS(Z171)&lt;=Y171*tol_Pct,"OK",IF(Z171&gt;0,"OVER","UNDER"))))</f>
      </c>
      <c r="AB171" s="0" t="s">
        <v>34</v>
      </c>
      <c r="AC171" s="0">
        <f>IF(AND($V171&lt;&gt;"No",$E171="Common",NOT(ISNUMBER(SEARCH("Ideas",$F171)))),$W171,NA())</f>
      </c>
      <c r="AD171" s="0">
        <f>IF(AND($V171&lt;&gt;"No",$E171="Uncommon",NOT(ISNUMBER(SEARCH("Ideas",$F171)))),$W171,NA())</f>
      </c>
      <c r="AE171" s="0">
        <f>IF(AND($V171&lt;&gt;"No",$E171="Rare",NOT(ISNUMBER(SEARCH("Ideas",$F171)))),$W171,NA())</f>
      </c>
      <c r="AF171" s="0">
        <f>IF(AND($V171&lt;&gt;"No",$E171="Legendary",NOT(ISNUMBER(SEARCH("Ideas",$F171)))),$W171,NA())</f>
      </c>
      <c r="AG171" s="0">
        <f>IF(AND($V171&lt;&gt;"No",ISNUMBER(SEARCH("Knight",$C171)),NOT(ISNUMBER(SEARCH("Ideas",$F171)))),$X171,NA())</f>
      </c>
      <c r="AH171" s="0">
        <f>IF(AND($V171&lt;&gt;"No",ISNUMBER(SEARCH("Mage",$C171)),NOT(ISNUMBER(SEARCH("Ideas",$F171)))),$X171,NA())</f>
      </c>
      <c r="AI171" s="0">
        <f>IF(AND($V171&lt;&gt;"No",ISNUMBER(SEARCH("Rogue",$C171)),NOT(ISNUMBER(SEARCH("Ideas",$F171)))),$X171,NA())</f>
      </c>
      <c r="AJ171" s="0">
        <f>IF($V171&lt;&gt;"No",$Y171,NA())</f>
      </c>
      <c r="AK171" s="0">
        <f>IF(AND($V171&lt;&gt;"No",ISNUMBER(SEARCH("Ideas",$F171))),$W171,NA())</f>
      </c>
      <c r="AL171" s="0">
        <f>IF(AND($V171&lt;&gt;"No",ISNUMBER(SEARCH("Cleric",$C171)),NOT(ISNUMBER(SEARCH("Ideas",$F171)))),$X171,NA())</f>
      </c>
    </row>
    <row r="172">
      <c r="A172" s="0" t="s">
        <v>726</v>
      </c>
      <c r="B172" s="0" t="s">
        <v>724</v>
      </c>
      <c r="C172" s="0" t="s">
        <v>393</v>
      </c>
      <c r="D172" s="0">
        <v>1</v>
      </c>
      <c r="E172" s="0" t="s">
        <v>174</v>
      </c>
      <c r="F172" s="0" t="s">
        <v>1974</v>
      </c>
      <c r="G172" s="0">
        <v>1</v>
      </c>
      <c r="H172" s="0">
        <v>1</v>
      </c>
      <c r="I172" s="0">
        <v>3</v>
      </c>
      <c r="J172" s="0">
        <v>0</v>
      </c>
      <c r="K172" s="0">
        <v>7</v>
      </c>
      <c r="L172" s="0">
        <v>0</v>
      </c>
      <c r="M172" s="0">
        <v>0</v>
      </c>
      <c r="N172" s="0">
        <v>0</v>
      </c>
      <c r="O172" s="0">
        <v>0</v>
      </c>
      <c r="P172" s="0">
        <v>0</v>
      </c>
      <c r="Q172" s="0">
        <v>0</v>
      </c>
      <c r="R172" s="0">
        <v>0</v>
      </c>
      <c r="S172" s="0">
        <v>0</v>
      </c>
      <c r="T172" s="0" t="s">
        <v>34</v>
      </c>
      <c r="U172" s="0" t="s">
        <v>34</v>
      </c>
      <c r="V172" s="0" t="s">
        <v>882</v>
      </c>
      <c r="W172" s="11">
        <f>IF($V172="No","",ROUND((I172*w_Damage + N172*w_Poison + P172*w_Weaken*w_Horizon)*MIN(1+(G172-1)*w_OccEnemy,w_MaxEnemies) + (J172*w_Heal + K172*w_Shield + L172*w_Block + M172*w_Parry + O172*w_Strength*w_Horizon + S172*w_Combo)*MIN(1+(H172-1)*w_OccAlly,w_MaxAllies) + Q172*w_Draw + R172*w_Move,2))</f>
      </c>
      <c r="X172" s="11">
        <f>IF(W172="","",ROUND(W172/MAX(D172,1),2))</f>
      </c>
      <c r="Y172" s="11">
        <f>IF($V172="No","",ROUND((curve_Base+curve_Slope*D172)*IFERROR(VLOOKUP(E172,rarity_Mult,2,FALSE),1),2))</f>
      </c>
      <c r="Z172" s="11">
        <f>IF(OR(W172="",Y172=""),"",ROUND(W172-Y172,2))</f>
      </c>
      <c r="AA172" s="0">
        <f>IF(Z172="","",IF($V172="Partial","RIDER",IF(ABS(Z172)&lt;=Y172*tol_Pct,"OK",IF(Z172&gt;0,"OVER","UNDER"))))</f>
      </c>
      <c r="AB172" s="0" t="s">
        <v>34</v>
      </c>
      <c r="AC172" s="0">
        <f>IF(AND($V172&lt;&gt;"No",$E172="Common",NOT(ISNUMBER(SEARCH("Ideas",$F172)))),$W172,NA())</f>
      </c>
      <c r="AD172" s="0">
        <f>IF(AND($V172&lt;&gt;"No",$E172="Uncommon",NOT(ISNUMBER(SEARCH("Ideas",$F172)))),$W172,NA())</f>
      </c>
      <c r="AE172" s="0">
        <f>IF(AND($V172&lt;&gt;"No",$E172="Rare",NOT(ISNUMBER(SEARCH("Ideas",$F172)))),$W172,NA())</f>
      </c>
      <c r="AF172" s="0">
        <f>IF(AND($V172&lt;&gt;"No",$E172="Legendary",NOT(ISNUMBER(SEARCH("Ideas",$F172)))),$W172,NA())</f>
      </c>
      <c r="AG172" s="0">
        <f>IF(AND($V172&lt;&gt;"No",ISNUMBER(SEARCH("Knight",$C172)),NOT(ISNUMBER(SEARCH("Ideas",$F172)))),$X172,NA())</f>
      </c>
      <c r="AH172" s="0">
        <f>IF(AND($V172&lt;&gt;"No",ISNUMBER(SEARCH("Mage",$C172)),NOT(ISNUMBER(SEARCH("Ideas",$F172)))),$X172,NA())</f>
      </c>
      <c r="AI172" s="0">
        <f>IF(AND($V172&lt;&gt;"No",ISNUMBER(SEARCH("Rogue",$C172)),NOT(ISNUMBER(SEARCH("Ideas",$F172)))),$X172,NA())</f>
      </c>
      <c r="AJ172" s="0">
        <f>IF($V172&lt;&gt;"No",$Y172,NA())</f>
      </c>
      <c r="AK172" s="0">
        <f>IF(AND($V172&lt;&gt;"No",ISNUMBER(SEARCH("Ideas",$F172))),$W172,NA())</f>
      </c>
      <c r="AL172" s="0">
        <f>IF(AND($V172&lt;&gt;"No",ISNUMBER(SEARCH("Cleric",$C172)),NOT(ISNUMBER(SEARCH("Ideas",$F172)))),$X172,NA())</f>
      </c>
    </row>
    <row r="173">
      <c r="A173" s="0" t="s">
        <v>731</v>
      </c>
      <c r="B173" s="0" t="s">
        <v>728</v>
      </c>
      <c r="C173" s="0" t="s">
        <v>393</v>
      </c>
      <c r="D173" s="0">
        <v>0</v>
      </c>
      <c r="E173" s="0" t="s">
        <v>174</v>
      </c>
      <c r="F173" s="0" t="s">
        <v>1974</v>
      </c>
      <c r="G173" s="0">
        <v>1</v>
      </c>
      <c r="H173" s="0">
        <v>1</v>
      </c>
      <c r="I173" s="0">
        <v>0</v>
      </c>
      <c r="J173" s="0">
        <v>0</v>
      </c>
      <c r="K173" s="0">
        <v>0</v>
      </c>
      <c r="L173" s="0">
        <v>0</v>
      </c>
      <c r="M173" s="0">
        <v>0</v>
      </c>
      <c r="N173" s="0">
        <v>0</v>
      </c>
      <c r="O173" s="0">
        <v>0</v>
      </c>
      <c r="P173" s="0">
        <v>0</v>
      </c>
      <c r="Q173" s="0">
        <v>0</v>
      </c>
      <c r="R173" s="0">
        <v>0</v>
      </c>
      <c r="S173" s="0">
        <v>0</v>
      </c>
      <c r="T173" s="0" t="s">
        <v>199</v>
      </c>
      <c r="U173" s="0" t="s">
        <v>199</v>
      </c>
      <c r="V173" s="0" t="s">
        <v>1407</v>
      </c>
      <c r="W173" s="11">
        <f>IF($V173="No","",ROUND((I173*w_Damage + N173*w_Poison + P173*w_Weaken*w_Horizon)*MIN(1+(G173-1)*w_OccEnemy,w_MaxEnemies) + (J173*w_Heal + K173*w_Shield + L173*w_Block + M173*w_Parry + O173*w_Strength*w_Horizon + S173*w_Combo)*MIN(1+(H173-1)*w_OccAlly,w_MaxAllies) + Q173*w_Draw + R173*w_Move,2))</f>
      </c>
      <c r="X173" s="11">
        <f>IF(W173="","",ROUND(W173/MAX(D173,1),2))</f>
      </c>
      <c r="Y173" s="11">
        <f>IF($V173="No","",ROUND((curve_Base+curve_Slope*D173)*IFERROR(VLOOKUP(E173,rarity_Mult,2,FALSE),1),2))</f>
      </c>
      <c r="Z173" s="11">
        <f>IF(OR(W173="",Y173=""),"",ROUND(W173-Y173,2))</f>
      </c>
      <c r="AA173" s="0">
        <f>IF(Z173="","",IF($V173="Partial","RIDER",IF(ABS(Z173)&lt;=Y173*tol_Pct,"OK",IF(Z173&gt;0,"OVER","UNDER"))))</f>
      </c>
      <c r="AB173" s="0" t="s">
        <v>34</v>
      </c>
      <c r="AC173" s="0">
        <f>IF(AND($V173&lt;&gt;"No",$E173="Common",NOT(ISNUMBER(SEARCH("Ideas",$F173)))),$W173,NA())</f>
      </c>
      <c r="AD173" s="0">
        <f>IF(AND($V173&lt;&gt;"No",$E173="Uncommon",NOT(ISNUMBER(SEARCH("Ideas",$F173)))),$W173,NA())</f>
      </c>
      <c r="AE173" s="0">
        <f>IF(AND($V173&lt;&gt;"No",$E173="Rare",NOT(ISNUMBER(SEARCH("Ideas",$F173)))),$W173,NA())</f>
      </c>
      <c r="AF173" s="0">
        <f>IF(AND($V173&lt;&gt;"No",$E173="Legendary",NOT(ISNUMBER(SEARCH("Ideas",$F173)))),$W173,NA())</f>
      </c>
      <c r="AG173" s="0">
        <f>IF(AND($V173&lt;&gt;"No",ISNUMBER(SEARCH("Knight",$C173)),NOT(ISNUMBER(SEARCH("Ideas",$F173)))),$X173,NA())</f>
      </c>
      <c r="AH173" s="0">
        <f>IF(AND($V173&lt;&gt;"No",ISNUMBER(SEARCH("Mage",$C173)),NOT(ISNUMBER(SEARCH("Ideas",$F173)))),$X173,NA())</f>
      </c>
      <c r="AI173" s="0">
        <f>IF(AND($V173&lt;&gt;"No",ISNUMBER(SEARCH("Rogue",$C173)),NOT(ISNUMBER(SEARCH("Ideas",$F173)))),$X173,NA())</f>
      </c>
      <c r="AJ173" s="0">
        <f>IF($V173&lt;&gt;"No",$Y173,NA())</f>
      </c>
      <c r="AK173" s="0">
        <f>IF(AND($V173&lt;&gt;"No",ISNUMBER(SEARCH("Ideas",$F173))),$W173,NA())</f>
      </c>
      <c r="AL173" s="0">
        <f>IF(AND($V173&lt;&gt;"No",ISNUMBER(SEARCH("Cleric",$C173)),NOT(ISNUMBER(SEARCH("Ideas",$F173)))),$X173,NA())</f>
      </c>
    </row>
    <row r="174">
      <c r="A174" s="0" t="s">
        <v>737</v>
      </c>
      <c r="B174" s="0" t="s">
        <v>735</v>
      </c>
      <c r="C174" s="0" t="s">
        <v>393</v>
      </c>
      <c r="D174" s="0">
        <v>1</v>
      </c>
      <c r="E174" s="0" t="s">
        <v>174</v>
      </c>
      <c r="F174" s="0" t="s">
        <v>1974</v>
      </c>
      <c r="G174" s="0">
        <v>1</v>
      </c>
      <c r="H174" s="0">
        <v>1</v>
      </c>
      <c r="I174" s="0">
        <v>6</v>
      </c>
      <c r="J174" s="0">
        <v>0</v>
      </c>
      <c r="K174" s="0">
        <v>0</v>
      </c>
      <c r="L174" s="0">
        <v>0</v>
      </c>
      <c r="M174" s="0">
        <v>0</v>
      </c>
      <c r="N174" s="0">
        <v>0</v>
      </c>
      <c r="O174" s="0">
        <v>0</v>
      </c>
      <c r="P174" s="0">
        <v>0</v>
      </c>
      <c r="Q174" s="0">
        <v>0</v>
      </c>
      <c r="R174" s="0">
        <v>0</v>
      </c>
      <c r="S174" s="0">
        <v>0</v>
      </c>
      <c r="T174" s="0" t="s">
        <v>34</v>
      </c>
      <c r="U174" s="0" t="s">
        <v>34</v>
      </c>
      <c r="V174" s="0" t="s">
        <v>882</v>
      </c>
      <c r="W174" s="11">
        <f>IF($V174="No","",ROUND((I174*w_Damage + N174*w_Poison + P174*w_Weaken*w_Horizon)*MIN(1+(G174-1)*w_OccEnemy,w_MaxEnemies) + (J174*w_Heal + K174*w_Shield + L174*w_Block + M174*w_Parry + O174*w_Strength*w_Horizon + S174*w_Combo)*MIN(1+(H174-1)*w_OccAlly,w_MaxAllies) + Q174*w_Draw + R174*w_Move,2))</f>
      </c>
      <c r="X174" s="11">
        <f>IF(W174="","",ROUND(W174/MAX(D174,1),2))</f>
      </c>
      <c r="Y174" s="11">
        <f>IF($V174="No","",ROUND((curve_Base+curve_Slope*D174)*IFERROR(VLOOKUP(E174,rarity_Mult,2,FALSE),1),2))</f>
      </c>
      <c r="Z174" s="11">
        <f>IF(OR(W174="",Y174=""),"",ROUND(W174-Y174,2))</f>
      </c>
      <c r="AA174" s="0">
        <f>IF(Z174="","",IF($V174="Partial","RIDER",IF(ABS(Z174)&lt;=Y174*tol_Pct,"OK",IF(Z174&gt;0,"OVER","UNDER"))))</f>
      </c>
      <c r="AB174" s="0" t="s">
        <v>34</v>
      </c>
      <c r="AC174" s="0">
        <f>IF(AND($V174&lt;&gt;"No",$E174="Common",NOT(ISNUMBER(SEARCH("Ideas",$F174)))),$W174,NA())</f>
      </c>
      <c r="AD174" s="0">
        <f>IF(AND($V174&lt;&gt;"No",$E174="Uncommon",NOT(ISNUMBER(SEARCH("Ideas",$F174)))),$W174,NA())</f>
      </c>
      <c r="AE174" s="0">
        <f>IF(AND($V174&lt;&gt;"No",$E174="Rare",NOT(ISNUMBER(SEARCH("Ideas",$F174)))),$W174,NA())</f>
      </c>
      <c r="AF174" s="0">
        <f>IF(AND($V174&lt;&gt;"No",$E174="Legendary",NOT(ISNUMBER(SEARCH("Ideas",$F174)))),$W174,NA())</f>
      </c>
      <c r="AG174" s="0">
        <f>IF(AND($V174&lt;&gt;"No",ISNUMBER(SEARCH("Knight",$C174)),NOT(ISNUMBER(SEARCH("Ideas",$F174)))),$X174,NA())</f>
      </c>
      <c r="AH174" s="0">
        <f>IF(AND($V174&lt;&gt;"No",ISNUMBER(SEARCH("Mage",$C174)),NOT(ISNUMBER(SEARCH("Ideas",$F174)))),$X174,NA())</f>
      </c>
      <c r="AI174" s="0">
        <f>IF(AND($V174&lt;&gt;"No",ISNUMBER(SEARCH("Rogue",$C174)),NOT(ISNUMBER(SEARCH("Ideas",$F174)))),$X174,NA())</f>
      </c>
      <c r="AJ174" s="0">
        <f>IF($V174&lt;&gt;"No",$Y174,NA())</f>
      </c>
      <c r="AK174" s="0">
        <f>IF(AND($V174&lt;&gt;"No",ISNUMBER(SEARCH("Ideas",$F174))),$W174,NA())</f>
      </c>
      <c r="AL174" s="0">
        <f>IF(AND($V174&lt;&gt;"No",ISNUMBER(SEARCH("Cleric",$C174)),NOT(ISNUMBER(SEARCH("Ideas",$F174)))),$X174,NA())</f>
      </c>
    </row>
    <row r="175">
      <c r="A175" s="0" t="s">
        <v>741</v>
      </c>
      <c r="B175" s="0" t="s">
        <v>739</v>
      </c>
      <c r="C175" s="0" t="s">
        <v>393</v>
      </c>
      <c r="D175" s="0">
        <v>1</v>
      </c>
      <c r="E175" s="0" t="s">
        <v>174</v>
      </c>
      <c r="F175" s="0" t="s">
        <v>1974</v>
      </c>
      <c r="G175" s="0">
        <v>1</v>
      </c>
      <c r="H175" s="0">
        <v>1</v>
      </c>
      <c r="I175" s="0">
        <v>3</v>
      </c>
      <c r="J175" s="0">
        <v>0</v>
      </c>
      <c r="K175" s="0">
        <v>0</v>
      </c>
      <c r="L175" s="0">
        <v>0</v>
      </c>
      <c r="M175" s="0">
        <v>0</v>
      </c>
      <c r="N175" s="0">
        <v>0</v>
      </c>
      <c r="O175" s="0">
        <v>0</v>
      </c>
      <c r="P175" s="0">
        <v>1</v>
      </c>
      <c r="Q175" s="0">
        <v>0</v>
      </c>
      <c r="R175" s="0">
        <v>0</v>
      </c>
      <c r="S175" s="0">
        <v>0</v>
      </c>
      <c r="T175" s="0" t="s">
        <v>34</v>
      </c>
      <c r="U175" s="0" t="s">
        <v>178</v>
      </c>
      <c r="V175" s="0" t="s">
        <v>882</v>
      </c>
      <c r="W175" s="11">
        <f>IF($V175="No","",ROUND((I175*w_Damage + N175*w_Poison + P175*w_Weaken*w_Horizon)*MIN(1+(G175-1)*w_OccEnemy,w_MaxEnemies) + (J175*w_Heal + K175*w_Shield + L175*w_Block + M175*w_Parry + O175*w_Strength*w_Horizon + S175*w_Combo)*MIN(1+(H175-1)*w_OccAlly,w_MaxAllies) + Q175*w_Draw + R175*w_Move,2))</f>
      </c>
      <c r="X175" s="11">
        <f>IF(W175="","",ROUND(W175/MAX(D175,1),2))</f>
      </c>
      <c r="Y175" s="11">
        <f>IF($V175="No","",ROUND((curve_Base+curve_Slope*D175)*IFERROR(VLOOKUP(E175,rarity_Mult,2,FALSE),1),2))</f>
      </c>
      <c r="Z175" s="11">
        <f>IF(OR(W175="",Y175=""),"",ROUND(W175-Y175,2))</f>
      </c>
      <c r="AA175" s="0">
        <f>IF(Z175="","",IF($V175="Partial","RIDER",IF(ABS(Z175)&lt;=Y175*tol_Pct,"OK",IF(Z175&gt;0,"OVER","UNDER"))))</f>
      </c>
      <c r="AB175" s="0" t="s">
        <v>34</v>
      </c>
      <c r="AC175" s="0">
        <f>IF(AND($V175&lt;&gt;"No",$E175="Common",NOT(ISNUMBER(SEARCH("Ideas",$F175)))),$W175,NA())</f>
      </c>
      <c r="AD175" s="0">
        <f>IF(AND($V175&lt;&gt;"No",$E175="Uncommon",NOT(ISNUMBER(SEARCH("Ideas",$F175)))),$W175,NA())</f>
      </c>
      <c r="AE175" s="0">
        <f>IF(AND($V175&lt;&gt;"No",$E175="Rare",NOT(ISNUMBER(SEARCH("Ideas",$F175)))),$W175,NA())</f>
      </c>
      <c r="AF175" s="0">
        <f>IF(AND($V175&lt;&gt;"No",$E175="Legendary",NOT(ISNUMBER(SEARCH("Ideas",$F175)))),$W175,NA())</f>
      </c>
      <c r="AG175" s="0">
        <f>IF(AND($V175&lt;&gt;"No",ISNUMBER(SEARCH("Knight",$C175)),NOT(ISNUMBER(SEARCH("Ideas",$F175)))),$X175,NA())</f>
      </c>
      <c r="AH175" s="0">
        <f>IF(AND($V175&lt;&gt;"No",ISNUMBER(SEARCH("Mage",$C175)),NOT(ISNUMBER(SEARCH("Ideas",$F175)))),$X175,NA())</f>
      </c>
      <c r="AI175" s="0">
        <f>IF(AND($V175&lt;&gt;"No",ISNUMBER(SEARCH("Rogue",$C175)),NOT(ISNUMBER(SEARCH("Ideas",$F175)))),$X175,NA())</f>
      </c>
      <c r="AJ175" s="0">
        <f>IF($V175&lt;&gt;"No",$Y175,NA())</f>
      </c>
      <c r="AK175" s="0">
        <f>IF(AND($V175&lt;&gt;"No",ISNUMBER(SEARCH("Ideas",$F175))),$W175,NA())</f>
      </c>
      <c r="AL175" s="0">
        <f>IF(AND($V175&lt;&gt;"No",ISNUMBER(SEARCH("Cleric",$C175)),NOT(ISNUMBER(SEARCH("Ideas",$F175)))),$X175,NA())</f>
      </c>
    </row>
    <row r="176">
      <c r="A176" s="0" t="s">
        <v>747</v>
      </c>
      <c r="B176" s="0" t="s">
        <v>744</v>
      </c>
      <c r="C176" s="0" t="s">
        <v>393</v>
      </c>
      <c r="D176" s="0">
        <v>0</v>
      </c>
      <c r="E176" s="0" t="s">
        <v>174</v>
      </c>
      <c r="F176" s="0" t="s">
        <v>1974</v>
      </c>
      <c r="G176" s="0">
        <v>1</v>
      </c>
      <c r="H176" s="0">
        <v>1</v>
      </c>
      <c r="I176" s="0">
        <v>0</v>
      </c>
      <c r="J176" s="0">
        <v>0</v>
      </c>
      <c r="K176" s="0">
        <v>0</v>
      </c>
      <c r="L176" s="0">
        <v>0</v>
      </c>
      <c r="M176" s="0">
        <v>0</v>
      </c>
      <c r="N176" s="0">
        <v>0</v>
      </c>
      <c r="O176" s="0">
        <v>0</v>
      </c>
      <c r="P176" s="0">
        <v>0</v>
      </c>
      <c r="Q176" s="0">
        <v>0</v>
      </c>
      <c r="R176" s="0">
        <v>0</v>
      </c>
      <c r="S176" s="0">
        <v>0</v>
      </c>
      <c r="T176" s="0" t="s">
        <v>199</v>
      </c>
      <c r="U176" s="0" t="s">
        <v>199</v>
      </c>
      <c r="V176" s="0" t="s">
        <v>1407</v>
      </c>
      <c r="W176" s="11">
        <f>IF($V176="No","",ROUND((I176*w_Damage + N176*w_Poison + P176*w_Weaken*w_Horizon)*MIN(1+(G176-1)*w_OccEnemy,w_MaxEnemies) + (J176*w_Heal + K176*w_Shield + L176*w_Block + M176*w_Parry + O176*w_Strength*w_Horizon + S176*w_Combo)*MIN(1+(H176-1)*w_OccAlly,w_MaxAllies) + Q176*w_Draw + R176*w_Move,2))</f>
      </c>
      <c r="X176" s="11">
        <f>IF(W176="","",ROUND(W176/MAX(D176,1),2))</f>
      </c>
      <c r="Y176" s="11">
        <f>IF($V176="No","",ROUND((curve_Base+curve_Slope*D176)*IFERROR(VLOOKUP(E176,rarity_Mult,2,FALSE),1),2))</f>
      </c>
      <c r="Z176" s="11">
        <f>IF(OR(W176="",Y176=""),"",ROUND(W176-Y176,2))</f>
      </c>
      <c r="AA176" s="0">
        <f>IF(Z176="","",IF($V176="Partial","RIDER",IF(ABS(Z176)&lt;=Y176*tol_Pct,"OK",IF(Z176&gt;0,"OVER","UNDER"))))</f>
      </c>
      <c r="AB176" s="0" t="s">
        <v>34</v>
      </c>
      <c r="AC176" s="0">
        <f>IF(AND($V176&lt;&gt;"No",$E176="Common",NOT(ISNUMBER(SEARCH("Ideas",$F176)))),$W176,NA())</f>
      </c>
      <c r="AD176" s="0">
        <f>IF(AND($V176&lt;&gt;"No",$E176="Uncommon",NOT(ISNUMBER(SEARCH("Ideas",$F176)))),$W176,NA())</f>
      </c>
      <c r="AE176" s="0">
        <f>IF(AND($V176&lt;&gt;"No",$E176="Rare",NOT(ISNUMBER(SEARCH("Ideas",$F176)))),$W176,NA())</f>
      </c>
      <c r="AF176" s="0">
        <f>IF(AND($V176&lt;&gt;"No",$E176="Legendary",NOT(ISNUMBER(SEARCH("Ideas",$F176)))),$W176,NA())</f>
      </c>
      <c r="AG176" s="0">
        <f>IF(AND($V176&lt;&gt;"No",ISNUMBER(SEARCH("Knight",$C176)),NOT(ISNUMBER(SEARCH("Ideas",$F176)))),$X176,NA())</f>
      </c>
      <c r="AH176" s="0">
        <f>IF(AND($V176&lt;&gt;"No",ISNUMBER(SEARCH("Mage",$C176)),NOT(ISNUMBER(SEARCH("Ideas",$F176)))),$X176,NA())</f>
      </c>
      <c r="AI176" s="0">
        <f>IF(AND($V176&lt;&gt;"No",ISNUMBER(SEARCH("Rogue",$C176)),NOT(ISNUMBER(SEARCH("Ideas",$F176)))),$X176,NA())</f>
      </c>
      <c r="AJ176" s="0">
        <f>IF($V176&lt;&gt;"No",$Y176,NA())</f>
      </c>
      <c r="AK176" s="0">
        <f>IF(AND($V176&lt;&gt;"No",ISNUMBER(SEARCH("Ideas",$F176))),$W176,NA())</f>
      </c>
      <c r="AL176" s="0">
        <f>IF(AND($V176&lt;&gt;"No",ISNUMBER(SEARCH("Cleric",$C176)),NOT(ISNUMBER(SEARCH("Ideas",$F176)))),$X176,NA())</f>
      </c>
    </row>
    <row r="177">
      <c r="A177" s="0" t="s">
        <v>752</v>
      </c>
      <c r="B177" s="0" t="s">
        <v>750</v>
      </c>
      <c r="C177" s="0" t="s">
        <v>393</v>
      </c>
      <c r="D177" s="0">
        <v>1</v>
      </c>
      <c r="E177" s="0" t="s">
        <v>174</v>
      </c>
      <c r="F177" s="0" t="s">
        <v>1974</v>
      </c>
      <c r="G177" s="0">
        <v>1</v>
      </c>
      <c r="H177" s="0">
        <v>1</v>
      </c>
      <c r="I177" s="0">
        <v>4</v>
      </c>
      <c r="J177" s="0">
        <v>0</v>
      </c>
      <c r="K177" s="0">
        <v>7</v>
      </c>
      <c r="L177" s="0">
        <v>0</v>
      </c>
      <c r="M177" s="0">
        <v>0</v>
      </c>
      <c r="N177" s="0">
        <v>0</v>
      </c>
      <c r="O177" s="0">
        <v>0</v>
      </c>
      <c r="P177" s="0">
        <v>0</v>
      </c>
      <c r="Q177" s="0">
        <v>0</v>
      </c>
      <c r="R177" s="0">
        <v>0</v>
      </c>
      <c r="S177" s="0">
        <v>0</v>
      </c>
      <c r="T177" s="0" t="s">
        <v>34</v>
      </c>
      <c r="U177" s="0" t="s">
        <v>34</v>
      </c>
      <c r="V177" s="0" t="s">
        <v>882</v>
      </c>
      <c r="W177" s="11">
        <f>IF($V177="No","",ROUND((I177*w_Damage + N177*w_Poison + P177*w_Weaken*w_Horizon)*MIN(1+(G177-1)*w_OccEnemy,w_MaxEnemies) + (J177*w_Heal + K177*w_Shield + L177*w_Block + M177*w_Parry + O177*w_Strength*w_Horizon + S177*w_Combo)*MIN(1+(H177-1)*w_OccAlly,w_MaxAllies) + Q177*w_Draw + R177*w_Move,2))</f>
      </c>
      <c r="X177" s="11">
        <f>IF(W177="","",ROUND(W177/MAX(D177,1),2))</f>
      </c>
      <c r="Y177" s="11">
        <f>IF($V177="No","",ROUND((curve_Base+curve_Slope*D177)*IFERROR(VLOOKUP(E177,rarity_Mult,2,FALSE),1),2))</f>
      </c>
      <c r="Z177" s="11">
        <f>IF(OR(W177="",Y177=""),"",ROUND(W177-Y177,2))</f>
      </c>
      <c r="AA177" s="0">
        <f>IF(Z177="","",IF($V177="Partial","RIDER",IF(ABS(Z177)&lt;=Y177*tol_Pct,"OK",IF(Z177&gt;0,"OVER","UNDER"))))</f>
      </c>
      <c r="AB177" s="0" t="s">
        <v>34</v>
      </c>
      <c r="AC177" s="0">
        <f>IF(AND($V177&lt;&gt;"No",$E177="Common",NOT(ISNUMBER(SEARCH("Ideas",$F177)))),$W177,NA())</f>
      </c>
      <c r="AD177" s="0">
        <f>IF(AND($V177&lt;&gt;"No",$E177="Uncommon",NOT(ISNUMBER(SEARCH("Ideas",$F177)))),$W177,NA())</f>
      </c>
      <c r="AE177" s="0">
        <f>IF(AND($V177&lt;&gt;"No",$E177="Rare",NOT(ISNUMBER(SEARCH("Ideas",$F177)))),$W177,NA())</f>
      </c>
      <c r="AF177" s="0">
        <f>IF(AND($V177&lt;&gt;"No",$E177="Legendary",NOT(ISNUMBER(SEARCH("Ideas",$F177)))),$W177,NA())</f>
      </c>
      <c r="AG177" s="0">
        <f>IF(AND($V177&lt;&gt;"No",ISNUMBER(SEARCH("Knight",$C177)),NOT(ISNUMBER(SEARCH("Ideas",$F177)))),$X177,NA())</f>
      </c>
      <c r="AH177" s="0">
        <f>IF(AND($V177&lt;&gt;"No",ISNUMBER(SEARCH("Mage",$C177)),NOT(ISNUMBER(SEARCH("Ideas",$F177)))),$X177,NA())</f>
      </c>
      <c r="AI177" s="0">
        <f>IF(AND($V177&lt;&gt;"No",ISNUMBER(SEARCH("Rogue",$C177)),NOT(ISNUMBER(SEARCH("Ideas",$F177)))),$X177,NA())</f>
      </c>
      <c r="AJ177" s="0">
        <f>IF($V177&lt;&gt;"No",$Y177,NA())</f>
      </c>
      <c r="AK177" s="0">
        <f>IF(AND($V177&lt;&gt;"No",ISNUMBER(SEARCH("Ideas",$F177))),$W177,NA())</f>
      </c>
      <c r="AL177" s="0">
        <f>IF(AND($V177&lt;&gt;"No",ISNUMBER(SEARCH("Cleric",$C177)),NOT(ISNUMBER(SEARCH("Ideas",$F177)))),$X177,NA())</f>
      </c>
    </row>
    <row r="178">
      <c r="A178" s="0" t="s">
        <v>756</v>
      </c>
      <c r="B178" s="0" t="s">
        <v>754</v>
      </c>
      <c r="C178" s="0" t="s">
        <v>393</v>
      </c>
      <c r="D178" s="0">
        <v>1</v>
      </c>
      <c r="E178" s="0" t="s">
        <v>174</v>
      </c>
      <c r="F178" s="0" t="s">
        <v>1974</v>
      </c>
      <c r="G178" s="0">
        <v>1</v>
      </c>
      <c r="H178" s="0">
        <v>1</v>
      </c>
      <c r="I178" s="0">
        <v>8</v>
      </c>
      <c r="J178" s="0">
        <v>0</v>
      </c>
      <c r="K178" s="0">
        <v>0</v>
      </c>
      <c r="L178" s="0">
        <v>0</v>
      </c>
      <c r="M178" s="0">
        <v>0</v>
      </c>
      <c r="N178" s="0">
        <v>0</v>
      </c>
      <c r="O178" s="0">
        <v>0</v>
      </c>
      <c r="P178" s="0">
        <v>0</v>
      </c>
      <c r="Q178" s="0">
        <v>0</v>
      </c>
      <c r="R178" s="0">
        <v>0</v>
      </c>
      <c r="S178" s="0">
        <v>0</v>
      </c>
      <c r="T178" s="0" t="s">
        <v>34</v>
      </c>
      <c r="U178" s="0" t="s">
        <v>34</v>
      </c>
      <c r="V178" s="0" t="s">
        <v>882</v>
      </c>
      <c r="W178" s="11">
        <f>IF($V178="No","",ROUND((I178*w_Damage + N178*w_Poison + P178*w_Weaken*w_Horizon)*MIN(1+(G178-1)*w_OccEnemy,w_MaxEnemies) + (J178*w_Heal + K178*w_Shield + L178*w_Block + M178*w_Parry + O178*w_Strength*w_Horizon + S178*w_Combo)*MIN(1+(H178-1)*w_OccAlly,w_MaxAllies) + Q178*w_Draw + R178*w_Move,2))</f>
      </c>
      <c r="X178" s="11">
        <f>IF(W178="","",ROUND(W178/MAX(D178,1),2))</f>
      </c>
      <c r="Y178" s="11">
        <f>IF($V178="No","",ROUND((curve_Base+curve_Slope*D178)*IFERROR(VLOOKUP(E178,rarity_Mult,2,FALSE),1),2))</f>
      </c>
      <c r="Z178" s="11">
        <f>IF(OR(W178="",Y178=""),"",ROUND(W178-Y178,2))</f>
      </c>
      <c r="AA178" s="0">
        <f>IF(Z178="","",IF($V178="Partial","RIDER",IF(ABS(Z178)&lt;=Y178*tol_Pct,"OK",IF(Z178&gt;0,"OVER","UNDER"))))</f>
      </c>
      <c r="AB178" s="0" t="s">
        <v>34</v>
      </c>
      <c r="AC178" s="0">
        <f>IF(AND($V178&lt;&gt;"No",$E178="Common",NOT(ISNUMBER(SEARCH("Ideas",$F178)))),$W178,NA())</f>
      </c>
      <c r="AD178" s="0">
        <f>IF(AND($V178&lt;&gt;"No",$E178="Uncommon",NOT(ISNUMBER(SEARCH("Ideas",$F178)))),$W178,NA())</f>
      </c>
      <c r="AE178" s="0">
        <f>IF(AND($V178&lt;&gt;"No",$E178="Rare",NOT(ISNUMBER(SEARCH("Ideas",$F178)))),$W178,NA())</f>
      </c>
      <c r="AF178" s="0">
        <f>IF(AND($V178&lt;&gt;"No",$E178="Legendary",NOT(ISNUMBER(SEARCH("Ideas",$F178)))),$W178,NA())</f>
      </c>
      <c r="AG178" s="0">
        <f>IF(AND($V178&lt;&gt;"No",ISNUMBER(SEARCH("Knight",$C178)),NOT(ISNUMBER(SEARCH("Ideas",$F178)))),$X178,NA())</f>
      </c>
      <c r="AH178" s="0">
        <f>IF(AND($V178&lt;&gt;"No",ISNUMBER(SEARCH("Mage",$C178)),NOT(ISNUMBER(SEARCH("Ideas",$F178)))),$X178,NA())</f>
      </c>
      <c r="AI178" s="0">
        <f>IF(AND($V178&lt;&gt;"No",ISNUMBER(SEARCH("Rogue",$C178)),NOT(ISNUMBER(SEARCH("Ideas",$F178)))),$X178,NA())</f>
      </c>
      <c r="AJ178" s="0">
        <f>IF($V178&lt;&gt;"No",$Y178,NA())</f>
      </c>
      <c r="AK178" s="0">
        <f>IF(AND($V178&lt;&gt;"No",ISNUMBER(SEARCH("Ideas",$F178))),$W178,NA())</f>
      </c>
      <c r="AL178" s="0">
        <f>IF(AND($V178&lt;&gt;"No",ISNUMBER(SEARCH("Cleric",$C178)),NOT(ISNUMBER(SEARCH("Ideas",$F178)))),$X178,NA())</f>
      </c>
    </row>
    <row r="179">
      <c r="A179" s="0" t="s">
        <v>759</v>
      </c>
      <c r="B179" s="0" t="s">
        <v>758</v>
      </c>
      <c r="C179" s="0" t="s">
        <v>393</v>
      </c>
      <c r="D179" s="0">
        <v>1</v>
      </c>
      <c r="E179" s="0" t="s">
        <v>174</v>
      </c>
      <c r="F179" s="0" t="s">
        <v>1974</v>
      </c>
      <c r="G179" s="0">
        <v>1</v>
      </c>
      <c r="H179" s="0">
        <v>1</v>
      </c>
      <c r="I179" s="0">
        <v>3</v>
      </c>
      <c r="J179" s="0">
        <v>0</v>
      </c>
      <c r="K179" s="0">
        <v>0</v>
      </c>
      <c r="L179" s="0">
        <v>0</v>
      </c>
      <c r="M179" s="0">
        <v>0</v>
      </c>
      <c r="N179" s="0">
        <v>0</v>
      </c>
      <c r="O179" s="0">
        <v>0</v>
      </c>
      <c r="P179" s="0">
        <v>0</v>
      </c>
      <c r="Q179" s="0">
        <v>0</v>
      </c>
      <c r="R179" s="0">
        <v>0</v>
      </c>
      <c r="S179" s="0">
        <v>0</v>
      </c>
      <c r="T179" s="0" t="s">
        <v>34</v>
      </c>
      <c r="U179" s="0" t="s">
        <v>34</v>
      </c>
      <c r="V179" s="0" t="s">
        <v>882</v>
      </c>
      <c r="W179" s="11">
        <f>IF($V179="No","",ROUND((I179*w_Damage + N179*w_Poison + P179*w_Weaken*w_Horizon)*MIN(1+(G179-1)*w_OccEnemy,w_MaxEnemies) + (J179*w_Heal + K179*w_Shield + L179*w_Block + M179*w_Parry + O179*w_Strength*w_Horizon + S179*w_Combo)*MIN(1+(H179-1)*w_OccAlly,w_MaxAllies) + Q179*w_Draw + R179*w_Move,2))</f>
      </c>
      <c r="X179" s="11">
        <f>IF(W179="","",ROUND(W179/MAX(D179,1),2))</f>
      </c>
      <c r="Y179" s="11">
        <f>IF($V179="No","",ROUND((curve_Base+curve_Slope*D179)*IFERROR(VLOOKUP(E179,rarity_Mult,2,FALSE),1),2))</f>
      </c>
      <c r="Z179" s="11">
        <f>IF(OR(W179="",Y179=""),"",ROUND(W179-Y179,2))</f>
      </c>
      <c r="AA179" s="0">
        <f>IF(Z179="","",IF($V179="Partial","RIDER",IF(ABS(Z179)&lt;=Y179*tol_Pct,"OK",IF(Z179&gt;0,"OVER","UNDER"))))</f>
      </c>
      <c r="AB179" s="0" t="s">
        <v>34</v>
      </c>
      <c r="AC179" s="0">
        <f>IF(AND($V179&lt;&gt;"No",$E179="Common",NOT(ISNUMBER(SEARCH("Ideas",$F179)))),$W179,NA())</f>
      </c>
      <c r="AD179" s="0">
        <f>IF(AND($V179&lt;&gt;"No",$E179="Uncommon",NOT(ISNUMBER(SEARCH("Ideas",$F179)))),$W179,NA())</f>
      </c>
      <c r="AE179" s="0">
        <f>IF(AND($V179&lt;&gt;"No",$E179="Rare",NOT(ISNUMBER(SEARCH("Ideas",$F179)))),$W179,NA())</f>
      </c>
      <c r="AF179" s="0">
        <f>IF(AND($V179&lt;&gt;"No",$E179="Legendary",NOT(ISNUMBER(SEARCH("Ideas",$F179)))),$W179,NA())</f>
      </c>
      <c r="AG179" s="0">
        <f>IF(AND($V179&lt;&gt;"No",ISNUMBER(SEARCH("Knight",$C179)),NOT(ISNUMBER(SEARCH("Ideas",$F179)))),$X179,NA())</f>
      </c>
      <c r="AH179" s="0">
        <f>IF(AND($V179&lt;&gt;"No",ISNUMBER(SEARCH("Mage",$C179)),NOT(ISNUMBER(SEARCH("Ideas",$F179)))),$X179,NA())</f>
      </c>
      <c r="AI179" s="0">
        <f>IF(AND($V179&lt;&gt;"No",ISNUMBER(SEARCH("Rogue",$C179)),NOT(ISNUMBER(SEARCH("Ideas",$F179)))),$X179,NA())</f>
      </c>
      <c r="AJ179" s="0">
        <f>IF($V179&lt;&gt;"No",$Y179,NA())</f>
      </c>
      <c r="AK179" s="0">
        <f>IF(AND($V179&lt;&gt;"No",ISNUMBER(SEARCH("Ideas",$F179))),$W179,NA())</f>
      </c>
      <c r="AL179" s="0">
        <f>IF(AND($V179&lt;&gt;"No",ISNUMBER(SEARCH("Cleric",$C179)),NOT(ISNUMBER(SEARCH("Ideas",$F179)))),$X179,NA())</f>
      </c>
    </row>
    <row r="180">
      <c r="A180" s="0" t="s">
        <v>762</v>
      </c>
      <c r="B180" s="0" t="s">
        <v>762</v>
      </c>
      <c r="C180" s="0" t="s">
        <v>393</v>
      </c>
      <c r="D180" s="0">
        <v>1</v>
      </c>
      <c r="E180" s="0" t="s">
        <v>174</v>
      </c>
      <c r="F180" s="0" t="s">
        <v>1974</v>
      </c>
      <c r="G180" s="0">
        <v>1</v>
      </c>
      <c r="H180" s="0">
        <v>1</v>
      </c>
      <c r="I180" s="0">
        <v>5</v>
      </c>
      <c r="J180" s="0">
        <v>0</v>
      </c>
      <c r="K180" s="0">
        <v>0</v>
      </c>
      <c r="L180" s="0">
        <v>0</v>
      </c>
      <c r="M180" s="0">
        <v>0</v>
      </c>
      <c r="N180" s="0">
        <v>0</v>
      </c>
      <c r="O180" s="0">
        <v>0</v>
      </c>
      <c r="P180" s="0">
        <v>0</v>
      </c>
      <c r="Q180" s="0">
        <v>0</v>
      </c>
      <c r="R180" s="0">
        <v>0</v>
      </c>
      <c r="S180" s="0">
        <v>0</v>
      </c>
      <c r="T180" s="0" t="s">
        <v>34</v>
      </c>
      <c r="U180" s="0" t="s">
        <v>34</v>
      </c>
      <c r="V180" s="0" t="s">
        <v>882</v>
      </c>
      <c r="W180" s="11">
        <f>IF($V180="No","",ROUND((I180*w_Damage + N180*w_Poison + P180*w_Weaken*w_Horizon)*MIN(1+(G180-1)*w_OccEnemy,w_MaxEnemies) + (J180*w_Heal + K180*w_Shield + L180*w_Block + M180*w_Parry + O180*w_Strength*w_Horizon + S180*w_Combo)*MIN(1+(H180-1)*w_OccAlly,w_MaxAllies) + Q180*w_Draw + R180*w_Move,2))</f>
      </c>
      <c r="X180" s="11">
        <f>IF(W180="","",ROUND(W180/MAX(D180,1),2))</f>
      </c>
      <c r="Y180" s="11">
        <f>IF($V180="No","",ROUND((curve_Base+curve_Slope*D180)*IFERROR(VLOOKUP(E180,rarity_Mult,2,FALSE),1),2))</f>
      </c>
      <c r="Z180" s="11">
        <f>IF(OR(W180="",Y180=""),"",ROUND(W180-Y180,2))</f>
      </c>
      <c r="AA180" s="0">
        <f>IF(Z180="","",IF($V180="Partial","RIDER",IF(ABS(Z180)&lt;=Y180*tol_Pct,"OK",IF(Z180&gt;0,"OVER","UNDER"))))</f>
      </c>
      <c r="AB180" s="0" t="s">
        <v>34</v>
      </c>
      <c r="AC180" s="0">
        <f>IF(AND($V180&lt;&gt;"No",$E180="Common",NOT(ISNUMBER(SEARCH("Ideas",$F180)))),$W180,NA())</f>
      </c>
      <c r="AD180" s="0">
        <f>IF(AND($V180&lt;&gt;"No",$E180="Uncommon",NOT(ISNUMBER(SEARCH("Ideas",$F180)))),$W180,NA())</f>
      </c>
      <c r="AE180" s="0">
        <f>IF(AND($V180&lt;&gt;"No",$E180="Rare",NOT(ISNUMBER(SEARCH("Ideas",$F180)))),$W180,NA())</f>
      </c>
      <c r="AF180" s="0">
        <f>IF(AND($V180&lt;&gt;"No",$E180="Legendary",NOT(ISNUMBER(SEARCH("Ideas",$F180)))),$W180,NA())</f>
      </c>
      <c r="AG180" s="0">
        <f>IF(AND($V180&lt;&gt;"No",ISNUMBER(SEARCH("Knight",$C180)),NOT(ISNUMBER(SEARCH("Ideas",$F180)))),$X180,NA())</f>
      </c>
      <c r="AH180" s="0">
        <f>IF(AND($V180&lt;&gt;"No",ISNUMBER(SEARCH("Mage",$C180)),NOT(ISNUMBER(SEARCH("Ideas",$F180)))),$X180,NA())</f>
      </c>
      <c r="AI180" s="0">
        <f>IF(AND($V180&lt;&gt;"No",ISNUMBER(SEARCH("Rogue",$C180)),NOT(ISNUMBER(SEARCH("Ideas",$F180)))),$X180,NA())</f>
      </c>
      <c r="AJ180" s="0">
        <f>IF($V180&lt;&gt;"No",$Y180,NA())</f>
      </c>
      <c r="AK180" s="0">
        <f>IF(AND($V180&lt;&gt;"No",ISNUMBER(SEARCH("Ideas",$F180))),$W180,NA())</f>
      </c>
      <c r="AL180" s="0">
        <f>IF(AND($V180&lt;&gt;"No",ISNUMBER(SEARCH("Cleric",$C180)),NOT(ISNUMBER(SEARCH("Ideas",$F180)))),$X180,NA())</f>
      </c>
    </row>
    <row r="181">
      <c r="A181" s="0" t="s">
        <v>766</v>
      </c>
      <c r="B181" s="0" t="s">
        <v>765</v>
      </c>
      <c r="C181" s="0" t="s">
        <v>393</v>
      </c>
      <c r="D181" s="0">
        <v>1</v>
      </c>
      <c r="E181" s="0" t="s">
        <v>174</v>
      </c>
      <c r="F181" s="0" t="s">
        <v>1974</v>
      </c>
      <c r="G181" s="0">
        <v>1</v>
      </c>
      <c r="H181" s="0">
        <v>1</v>
      </c>
      <c r="I181" s="0">
        <v>5</v>
      </c>
      <c r="J181" s="0">
        <v>0</v>
      </c>
      <c r="K181" s="0">
        <v>0</v>
      </c>
      <c r="L181" s="0">
        <v>0</v>
      </c>
      <c r="M181" s="0">
        <v>0</v>
      </c>
      <c r="N181" s="0">
        <v>0</v>
      </c>
      <c r="O181" s="0">
        <v>0</v>
      </c>
      <c r="P181" s="0">
        <v>0</v>
      </c>
      <c r="Q181" s="0">
        <v>0</v>
      </c>
      <c r="R181" s="0">
        <v>0</v>
      </c>
      <c r="S181" s="0">
        <v>0</v>
      </c>
      <c r="T181" s="0" t="s">
        <v>34</v>
      </c>
      <c r="U181" s="0" t="s">
        <v>34</v>
      </c>
      <c r="V181" s="0" t="s">
        <v>882</v>
      </c>
      <c r="W181" s="11">
        <f>IF($V181="No","",ROUND((I181*w_Damage + N181*w_Poison + P181*w_Weaken*w_Horizon)*MIN(1+(G181-1)*w_OccEnemy,w_MaxEnemies) + (J181*w_Heal + K181*w_Shield + L181*w_Block + M181*w_Parry + O181*w_Strength*w_Horizon + S181*w_Combo)*MIN(1+(H181-1)*w_OccAlly,w_MaxAllies) + Q181*w_Draw + R181*w_Move,2))</f>
      </c>
      <c r="X181" s="11">
        <f>IF(W181="","",ROUND(W181/MAX(D181,1),2))</f>
      </c>
      <c r="Y181" s="11">
        <f>IF($V181="No","",ROUND((curve_Base+curve_Slope*D181)*IFERROR(VLOOKUP(E181,rarity_Mult,2,FALSE),1),2))</f>
      </c>
      <c r="Z181" s="11">
        <f>IF(OR(W181="",Y181=""),"",ROUND(W181-Y181,2))</f>
      </c>
      <c r="AA181" s="0">
        <f>IF(Z181="","",IF($V181="Partial","RIDER",IF(ABS(Z181)&lt;=Y181*tol_Pct,"OK",IF(Z181&gt;0,"OVER","UNDER"))))</f>
      </c>
      <c r="AB181" s="0" t="s">
        <v>34</v>
      </c>
      <c r="AC181" s="0">
        <f>IF(AND($V181&lt;&gt;"No",$E181="Common",NOT(ISNUMBER(SEARCH("Ideas",$F181)))),$W181,NA())</f>
      </c>
      <c r="AD181" s="0">
        <f>IF(AND($V181&lt;&gt;"No",$E181="Uncommon",NOT(ISNUMBER(SEARCH("Ideas",$F181)))),$W181,NA())</f>
      </c>
      <c r="AE181" s="0">
        <f>IF(AND($V181&lt;&gt;"No",$E181="Rare",NOT(ISNUMBER(SEARCH("Ideas",$F181)))),$W181,NA())</f>
      </c>
      <c r="AF181" s="0">
        <f>IF(AND($V181&lt;&gt;"No",$E181="Legendary",NOT(ISNUMBER(SEARCH("Ideas",$F181)))),$W181,NA())</f>
      </c>
      <c r="AG181" s="0">
        <f>IF(AND($V181&lt;&gt;"No",ISNUMBER(SEARCH("Knight",$C181)),NOT(ISNUMBER(SEARCH("Ideas",$F181)))),$X181,NA())</f>
      </c>
      <c r="AH181" s="0">
        <f>IF(AND($V181&lt;&gt;"No",ISNUMBER(SEARCH("Mage",$C181)),NOT(ISNUMBER(SEARCH("Ideas",$F181)))),$X181,NA())</f>
      </c>
      <c r="AI181" s="0">
        <f>IF(AND($V181&lt;&gt;"No",ISNUMBER(SEARCH("Rogue",$C181)),NOT(ISNUMBER(SEARCH("Ideas",$F181)))),$X181,NA())</f>
      </c>
      <c r="AJ181" s="0">
        <f>IF($V181&lt;&gt;"No",$Y181,NA())</f>
      </c>
      <c r="AK181" s="0">
        <f>IF(AND($V181&lt;&gt;"No",ISNUMBER(SEARCH("Ideas",$F181))),$W181,NA())</f>
      </c>
      <c r="AL181" s="0">
        <f>IF(AND($V181&lt;&gt;"No",ISNUMBER(SEARCH("Cleric",$C181)),NOT(ISNUMBER(SEARCH("Ideas",$F181)))),$X181,NA())</f>
      </c>
    </row>
    <row r="182">
      <c r="A182" s="0" t="s">
        <v>772</v>
      </c>
      <c r="B182" s="0" t="s">
        <v>769</v>
      </c>
      <c r="C182" s="0" t="s">
        <v>393</v>
      </c>
      <c r="D182" s="0">
        <v>1</v>
      </c>
      <c r="E182" s="0" t="s">
        <v>174</v>
      </c>
      <c r="F182" s="0" t="s">
        <v>1974</v>
      </c>
      <c r="G182" s="0">
        <v>1</v>
      </c>
      <c r="H182" s="0">
        <v>1</v>
      </c>
      <c r="I182" s="0">
        <v>0</v>
      </c>
      <c r="J182" s="0">
        <v>0</v>
      </c>
      <c r="K182" s="0">
        <v>0</v>
      </c>
      <c r="L182" s="0">
        <v>0</v>
      </c>
      <c r="M182" s="0">
        <v>0</v>
      </c>
      <c r="N182" s="0">
        <v>0</v>
      </c>
      <c r="O182" s="0">
        <v>0</v>
      </c>
      <c r="P182" s="0">
        <v>0</v>
      </c>
      <c r="Q182" s="0">
        <v>0</v>
      </c>
      <c r="R182" s="0">
        <v>0</v>
      </c>
      <c r="S182" s="0">
        <v>0</v>
      </c>
      <c r="T182" s="0" t="s">
        <v>199</v>
      </c>
      <c r="U182" s="0" t="s">
        <v>199</v>
      </c>
      <c r="V182" s="0" t="s">
        <v>1407</v>
      </c>
      <c r="W182" s="11">
        <f>IF($V182="No","",ROUND((I182*w_Damage + N182*w_Poison + P182*w_Weaken*w_Horizon)*MIN(1+(G182-1)*w_OccEnemy,w_MaxEnemies) + (J182*w_Heal + K182*w_Shield + L182*w_Block + M182*w_Parry + O182*w_Strength*w_Horizon + S182*w_Combo)*MIN(1+(H182-1)*w_OccAlly,w_MaxAllies) + Q182*w_Draw + R182*w_Move,2))</f>
      </c>
      <c r="X182" s="11">
        <f>IF(W182="","",ROUND(W182/MAX(D182,1),2))</f>
      </c>
      <c r="Y182" s="11">
        <f>IF($V182="No","",ROUND((curve_Base+curve_Slope*D182)*IFERROR(VLOOKUP(E182,rarity_Mult,2,FALSE),1),2))</f>
      </c>
      <c r="Z182" s="11">
        <f>IF(OR(W182="",Y182=""),"",ROUND(W182-Y182,2))</f>
      </c>
      <c r="AA182" s="0">
        <f>IF(Z182="","",IF($V182="Partial","RIDER",IF(ABS(Z182)&lt;=Y182*tol_Pct,"OK",IF(Z182&gt;0,"OVER","UNDER"))))</f>
      </c>
      <c r="AB182" s="0" t="s">
        <v>34</v>
      </c>
      <c r="AC182" s="0">
        <f>IF(AND($V182&lt;&gt;"No",$E182="Common",NOT(ISNUMBER(SEARCH("Ideas",$F182)))),$W182,NA())</f>
      </c>
      <c r="AD182" s="0">
        <f>IF(AND($V182&lt;&gt;"No",$E182="Uncommon",NOT(ISNUMBER(SEARCH("Ideas",$F182)))),$W182,NA())</f>
      </c>
      <c r="AE182" s="0">
        <f>IF(AND($V182&lt;&gt;"No",$E182="Rare",NOT(ISNUMBER(SEARCH("Ideas",$F182)))),$W182,NA())</f>
      </c>
      <c r="AF182" s="0">
        <f>IF(AND($V182&lt;&gt;"No",$E182="Legendary",NOT(ISNUMBER(SEARCH("Ideas",$F182)))),$W182,NA())</f>
      </c>
      <c r="AG182" s="0">
        <f>IF(AND($V182&lt;&gt;"No",ISNUMBER(SEARCH("Knight",$C182)),NOT(ISNUMBER(SEARCH("Ideas",$F182)))),$X182,NA())</f>
      </c>
      <c r="AH182" s="0">
        <f>IF(AND($V182&lt;&gt;"No",ISNUMBER(SEARCH("Mage",$C182)),NOT(ISNUMBER(SEARCH("Ideas",$F182)))),$X182,NA())</f>
      </c>
      <c r="AI182" s="0">
        <f>IF(AND($V182&lt;&gt;"No",ISNUMBER(SEARCH("Rogue",$C182)),NOT(ISNUMBER(SEARCH("Ideas",$F182)))),$X182,NA())</f>
      </c>
      <c r="AJ182" s="0">
        <f>IF($V182&lt;&gt;"No",$Y182,NA())</f>
      </c>
      <c r="AK182" s="0">
        <f>IF(AND($V182&lt;&gt;"No",ISNUMBER(SEARCH("Ideas",$F182))),$W182,NA())</f>
      </c>
      <c r="AL182" s="0">
        <f>IF(AND($V182&lt;&gt;"No",ISNUMBER(SEARCH("Cleric",$C182)),NOT(ISNUMBER(SEARCH("Ideas",$F182)))),$X182,NA())</f>
      </c>
    </row>
    <row r="183">
      <c r="A183" s="0" t="s">
        <v>776</v>
      </c>
      <c r="B183" s="0" t="s">
        <v>774</v>
      </c>
      <c r="C183" s="0" t="s">
        <v>393</v>
      </c>
      <c r="D183" s="0">
        <v>1</v>
      </c>
      <c r="E183" s="0" t="s">
        <v>174</v>
      </c>
      <c r="F183" s="0" t="s">
        <v>1974</v>
      </c>
      <c r="G183" s="0">
        <v>1</v>
      </c>
      <c r="H183" s="0">
        <v>1</v>
      </c>
      <c r="I183" s="0">
        <v>6</v>
      </c>
      <c r="J183" s="0">
        <v>0</v>
      </c>
      <c r="K183" s="0">
        <v>5</v>
      </c>
      <c r="L183" s="0">
        <v>10</v>
      </c>
      <c r="M183" s="0">
        <v>0</v>
      </c>
      <c r="N183" s="0">
        <v>0</v>
      </c>
      <c r="O183" s="0">
        <v>0</v>
      </c>
      <c r="P183" s="0">
        <v>0</v>
      </c>
      <c r="Q183" s="0">
        <v>0</v>
      </c>
      <c r="R183" s="0">
        <v>0</v>
      </c>
      <c r="S183" s="0">
        <v>0</v>
      </c>
      <c r="T183" s="0" t="s">
        <v>34</v>
      </c>
      <c r="U183" s="0" t="s">
        <v>34</v>
      </c>
      <c r="V183" s="0" t="s">
        <v>882</v>
      </c>
      <c r="W183" s="11">
        <f>IF($V183="No","",ROUND((I183*w_Damage + N183*w_Poison + P183*w_Weaken*w_Horizon)*MIN(1+(G183-1)*w_OccEnemy,w_MaxEnemies) + (J183*w_Heal + K183*w_Shield + L183*w_Block + M183*w_Parry + O183*w_Strength*w_Horizon + S183*w_Combo)*MIN(1+(H183-1)*w_OccAlly,w_MaxAllies) + Q183*w_Draw + R183*w_Move,2))</f>
      </c>
      <c r="X183" s="11">
        <f>IF(W183="","",ROUND(W183/MAX(D183,1),2))</f>
      </c>
      <c r="Y183" s="11">
        <f>IF($V183="No","",ROUND((curve_Base+curve_Slope*D183)*IFERROR(VLOOKUP(E183,rarity_Mult,2,FALSE),1),2))</f>
      </c>
      <c r="Z183" s="11">
        <f>IF(OR(W183="",Y183=""),"",ROUND(W183-Y183,2))</f>
      </c>
      <c r="AA183" s="0">
        <f>IF(Z183="","",IF($V183="Partial","RIDER",IF(ABS(Z183)&lt;=Y183*tol_Pct,"OK",IF(Z183&gt;0,"OVER","UNDER"))))</f>
      </c>
      <c r="AB183" s="0" t="s">
        <v>34</v>
      </c>
      <c r="AC183" s="0">
        <f>IF(AND($V183&lt;&gt;"No",$E183="Common",NOT(ISNUMBER(SEARCH("Ideas",$F183)))),$W183,NA())</f>
      </c>
      <c r="AD183" s="0">
        <f>IF(AND($V183&lt;&gt;"No",$E183="Uncommon",NOT(ISNUMBER(SEARCH("Ideas",$F183)))),$W183,NA())</f>
      </c>
      <c r="AE183" s="0">
        <f>IF(AND($V183&lt;&gt;"No",$E183="Rare",NOT(ISNUMBER(SEARCH("Ideas",$F183)))),$W183,NA())</f>
      </c>
      <c r="AF183" s="0">
        <f>IF(AND($V183&lt;&gt;"No",$E183="Legendary",NOT(ISNUMBER(SEARCH("Ideas",$F183)))),$W183,NA())</f>
      </c>
      <c r="AG183" s="0">
        <f>IF(AND($V183&lt;&gt;"No",ISNUMBER(SEARCH("Knight",$C183)),NOT(ISNUMBER(SEARCH("Ideas",$F183)))),$X183,NA())</f>
      </c>
      <c r="AH183" s="0">
        <f>IF(AND($V183&lt;&gt;"No",ISNUMBER(SEARCH("Mage",$C183)),NOT(ISNUMBER(SEARCH("Ideas",$F183)))),$X183,NA())</f>
      </c>
      <c r="AI183" s="0">
        <f>IF(AND($V183&lt;&gt;"No",ISNUMBER(SEARCH("Rogue",$C183)),NOT(ISNUMBER(SEARCH("Ideas",$F183)))),$X183,NA())</f>
      </c>
      <c r="AJ183" s="0">
        <f>IF($V183&lt;&gt;"No",$Y183,NA())</f>
      </c>
      <c r="AK183" s="0">
        <f>IF(AND($V183&lt;&gt;"No",ISNUMBER(SEARCH("Ideas",$F183))),$W183,NA())</f>
      </c>
      <c r="AL183" s="0">
        <f>IF(AND($V183&lt;&gt;"No",ISNUMBER(SEARCH("Cleric",$C183)),NOT(ISNUMBER(SEARCH("Ideas",$F183)))),$X183,NA())</f>
      </c>
    </row>
    <row r="184">
      <c r="A184" s="0" t="s">
        <v>782</v>
      </c>
      <c r="B184" s="0" t="s">
        <v>779</v>
      </c>
      <c r="C184" s="0" t="s">
        <v>393</v>
      </c>
      <c r="D184" s="0">
        <v>1</v>
      </c>
      <c r="E184" s="0" t="s">
        <v>174</v>
      </c>
      <c r="F184" s="0" t="s">
        <v>1974</v>
      </c>
      <c r="G184" s="0">
        <v>9</v>
      </c>
      <c r="H184" s="0">
        <v>1</v>
      </c>
      <c r="I184" s="0">
        <v>1</v>
      </c>
      <c r="J184" s="0">
        <v>0</v>
      </c>
      <c r="K184" s="0">
        <v>0</v>
      </c>
      <c r="L184" s="0">
        <v>0</v>
      </c>
      <c r="M184" s="0">
        <v>0</v>
      </c>
      <c r="N184" s="0">
        <v>0</v>
      </c>
      <c r="O184" s="0">
        <v>0</v>
      </c>
      <c r="P184" s="0">
        <v>1</v>
      </c>
      <c r="Q184" s="0">
        <v>0</v>
      </c>
      <c r="R184" s="0">
        <v>0</v>
      </c>
      <c r="S184" s="0">
        <v>0</v>
      </c>
      <c r="T184" s="0" t="s">
        <v>34</v>
      </c>
      <c r="U184" s="0" t="s">
        <v>34</v>
      </c>
      <c r="V184" s="0" t="s">
        <v>882</v>
      </c>
      <c r="W184" s="11">
        <f>IF($V184="No","",ROUND((I184*w_Damage + N184*w_Poison + P184*w_Weaken*w_Horizon)*MIN(1+(G184-1)*w_OccEnemy,w_MaxEnemies) + (J184*w_Heal + K184*w_Shield + L184*w_Block + M184*w_Parry + O184*w_Strength*w_Horizon + S184*w_Combo)*MIN(1+(H184-1)*w_OccAlly,w_MaxAllies) + Q184*w_Draw + R184*w_Move,2))</f>
      </c>
      <c r="X184" s="11">
        <f>IF(W184="","",ROUND(W184/MAX(D184,1),2))</f>
      </c>
      <c r="Y184" s="11">
        <f>IF($V184="No","",ROUND((curve_Base+curve_Slope*D184)*IFERROR(VLOOKUP(E184,rarity_Mult,2,FALSE),1),2))</f>
      </c>
      <c r="Z184" s="11">
        <f>IF(OR(W184="",Y184=""),"",ROUND(W184-Y184,2))</f>
      </c>
      <c r="AA184" s="0">
        <f>IF(Z184="","",IF($V184="Partial","RIDER",IF(ABS(Z184)&lt;=Y184*tol_Pct,"OK",IF(Z184&gt;0,"OVER","UNDER"))))</f>
      </c>
      <c r="AB184" s="0" t="s">
        <v>34</v>
      </c>
      <c r="AC184" s="0">
        <f>IF(AND($V184&lt;&gt;"No",$E184="Common",NOT(ISNUMBER(SEARCH("Ideas",$F184)))),$W184,NA())</f>
      </c>
      <c r="AD184" s="0">
        <f>IF(AND($V184&lt;&gt;"No",$E184="Uncommon",NOT(ISNUMBER(SEARCH("Ideas",$F184)))),$W184,NA())</f>
      </c>
      <c r="AE184" s="0">
        <f>IF(AND($V184&lt;&gt;"No",$E184="Rare",NOT(ISNUMBER(SEARCH("Ideas",$F184)))),$W184,NA())</f>
      </c>
      <c r="AF184" s="0">
        <f>IF(AND($V184&lt;&gt;"No",$E184="Legendary",NOT(ISNUMBER(SEARCH("Ideas",$F184)))),$W184,NA())</f>
      </c>
      <c r="AG184" s="0">
        <f>IF(AND($V184&lt;&gt;"No",ISNUMBER(SEARCH("Knight",$C184)),NOT(ISNUMBER(SEARCH("Ideas",$F184)))),$X184,NA())</f>
      </c>
      <c r="AH184" s="0">
        <f>IF(AND($V184&lt;&gt;"No",ISNUMBER(SEARCH("Mage",$C184)),NOT(ISNUMBER(SEARCH("Ideas",$F184)))),$X184,NA())</f>
      </c>
      <c r="AI184" s="0">
        <f>IF(AND($V184&lt;&gt;"No",ISNUMBER(SEARCH("Rogue",$C184)),NOT(ISNUMBER(SEARCH("Ideas",$F184)))),$X184,NA())</f>
      </c>
      <c r="AJ184" s="0">
        <f>IF($V184&lt;&gt;"No",$Y184,NA())</f>
      </c>
      <c r="AK184" s="0">
        <f>IF(AND($V184&lt;&gt;"No",ISNUMBER(SEARCH("Ideas",$F184))),$W184,NA())</f>
      </c>
      <c r="AL184" s="0">
        <f>IF(AND($V184&lt;&gt;"No",ISNUMBER(SEARCH("Cleric",$C184)),NOT(ISNUMBER(SEARCH("Ideas",$F184)))),$X184,NA())</f>
      </c>
    </row>
    <row r="185">
      <c r="A185" s="0" t="s">
        <v>788</v>
      </c>
      <c r="B185" s="0" t="s">
        <v>785</v>
      </c>
      <c r="C185" s="0" t="s">
        <v>393</v>
      </c>
      <c r="D185" s="0">
        <v>1</v>
      </c>
      <c r="E185" s="0" t="s">
        <v>174</v>
      </c>
      <c r="F185" s="0" t="s">
        <v>1974</v>
      </c>
      <c r="G185" s="0">
        <v>1</v>
      </c>
      <c r="H185" s="0">
        <v>1</v>
      </c>
      <c r="I185" s="0">
        <v>1</v>
      </c>
      <c r="J185" s="0">
        <v>0</v>
      </c>
      <c r="K185" s="0">
        <v>0</v>
      </c>
      <c r="L185" s="0">
        <v>0</v>
      </c>
      <c r="M185" s="0">
        <v>0</v>
      </c>
      <c r="N185" s="0">
        <v>3</v>
      </c>
      <c r="O185" s="0">
        <v>0</v>
      </c>
      <c r="P185" s="0">
        <v>0</v>
      </c>
      <c r="Q185" s="0">
        <v>0</v>
      </c>
      <c r="R185" s="0">
        <v>0</v>
      </c>
      <c r="S185" s="0">
        <v>0</v>
      </c>
      <c r="T185" s="0" t="s">
        <v>34</v>
      </c>
      <c r="U185" s="0" t="s">
        <v>34</v>
      </c>
      <c r="V185" s="0" t="s">
        <v>882</v>
      </c>
      <c r="W185" s="11">
        <f>IF($V185="No","",ROUND((I185*w_Damage + N185*w_Poison + P185*w_Weaken*w_Horizon)*MIN(1+(G185-1)*w_OccEnemy,w_MaxEnemies) + (J185*w_Heal + K185*w_Shield + L185*w_Block + M185*w_Parry + O185*w_Strength*w_Horizon + S185*w_Combo)*MIN(1+(H185-1)*w_OccAlly,w_MaxAllies) + Q185*w_Draw + R185*w_Move,2))</f>
      </c>
      <c r="X185" s="11">
        <f>IF(W185="","",ROUND(W185/MAX(D185,1),2))</f>
      </c>
      <c r="Y185" s="11">
        <f>IF($V185="No","",ROUND((curve_Base+curve_Slope*D185)*IFERROR(VLOOKUP(E185,rarity_Mult,2,FALSE),1),2))</f>
      </c>
      <c r="Z185" s="11">
        <f>IF(OR(W185="",Y185=""),"",ROUND(W185-Y185,2))</f>
      </c>
      <c r="AA185" s="0">
        <f>IF(Z185="","",IF($V185="Partial","RIDER",IF(ABS(Z185)&lt;=Y185*tol_Pct,"OK",IF(Z185&gt;0,"OVER","UNDER"))))</f>
      </c>
      <c r="AB185" s="0" t="s">
        <v>34</v>
      </c>
      <c r="AC185" s="0">
        <f>IF(AND($V185&lt;&gt;"No",$E185="Common",NOT(ISNUMBER(SEARCH("Ideas",$F185)))),$W185,NA())</f>
      </c>
      <c r="AD185" s="0">
        <f>IF(AND($V185&lt;&gt;"No",$E185="Uncommon",NOT(ISNUMBER(SEARCH("Ideas",$F185)))),$W185,NA())</f>
      </c>
      <c r="AE185" s="0">
        <f>IF(AND($V185&lt;&gt;"No",$E185="Rare",NOT(ISNUMBER(SEARCH("Ideas",$F185)))),$W185,NA())</f>
      </c>
      <c r="AF185" s="0">
        <f>IF(AND($V185&lt;&gt;"No",$E185="Legendary",NOT(ISNUMBER(SEARCH("Ideas",$F185)))),$W185,NA())</f>
      </c>
      <c r="AG185" s="0">
        <f>IF(AND($V185&lt;&gt;"No",ISNUMBER(SEARCH("Knight",$C185)),NOT(ISNUMBER(SEARCH("Ideas",$F185)))),$X185,NA())</f>
      </c>
      <c r="AH185" s="0">
        <f>IF(AND($V185&lt;&gt;"No",ISNUMBER(SEARCH("Mage",$C185)),NOT(ISNUMBER(SEARCH("Ideas",$F185)))),$X185,NA())</f>
      </c>
      <c r="AI185" s="0">
        <f>IF(AND($V185&lt;&gt;"No",ISNUMBER(SEARCH("Rogue",$C185)),NOT(ISNUMBER(SEARCH("Ideas",$F185)))),$X185,NA())</f>
      </c>
      <c r="AJ185" s="0">
        <f>IF($V185&lt;&gt;"No",$Y185,NA())</f>
      </c>
      <c r="AK185" s="0">
        <f>IF(AND($V185&lt;&gt;"No",ISNUMBER(SEARCH("Ideas",$F185))),$W185,NA())</f>
      </c>
      <c r="AL185" s="0">
        <f>IF(AND($V185&lt;&gt;"No",ISNUMBER(SEARCH("Cleric",$C185)),NOT(ISNUMBER(SEARCH("Ideas",$F185)))),$X185,NA())</f>
      </c>
    </row>
    <row r="186">
      <c r="A186" s="0" t="s">
        <v>790</v>
      </c>
      <c r="B186" s="0" t="s">
        <v>790</v>
      </c>
      <c r="C186" s="0" t="s">
        <v>393</v>
      </c>
      <c r="D186" s="0">
        <v>1</v>
      </c>
      <c r="E186" s="0" t="s">
        <v>174</v>
      </c>
      <c r="F186" s="0" t="s">
        <v>1974</v>
      </c>
      <c r="G186" s="0">
        <v>1</v>
      </c>
      <c r="H186" s="0">
        <v>1</v>
      </c>
      <c r="I186" s="0">
        <v>7</v>
      </c>
      <c r="J186" s="0">
        <v>0</v>
      </c>
      <c r="K186" s="0">
        <v>0</v>
      </c>
      <c r="L186" s="0">
        <v>0</v>
      </c>
      <c r="M186" s="0">
        <v>0</v>
      </c>
      <c r="N186" s="0">
        <v>0</v>
      </c>
      <c r="O186" s="0">
        <v>0</v>
      </c>
      <c r="P186" s="0">
        <v>0</v>
      </c>
      <c r="Q186" s="0">
        <v>0</v>
      </c>
      <c r="R186" s="0">
        <v>0</v>
      </c>
      <c r="S186" s="0">
        <v>0</v>
      </c>
      <c r="T186" s="0" t="s">
        <v>34</v>
      </c>
      <c r="U186" s="0" t="s">
        <v>1803</v>
      </c>
      <c r="V186" s="0" t="s">
        <v>1905</v>
      </c>
      <c r="W186" s="11">
        <f>IF($V186="No","",ROUND((I186*w_Damage + N186*w_Poison + P186*w_Weaken*w_Horizon)*MIN(1+(G186-1)*w_OccEnemy,w_MaxEnemies) + (J186*w_Heal + K186*w_Shield + L186*w_Block + M186*w_Parry + O186*w_Strength*w_Horizon + S186*w_Combo)*MIN(1+(H186-1)*w_OccAlly,w_MaxAllies) + Q186*w_Draw + R186*w_Move,2))</f>
      </c>
      <c r="X186" s="11">
        <f>IF(W186="","",ROUND(W186/MAX(D186,1),2))</f>
      </c>
      <c r="Y186" s="11">
        <f>IF($V186="No","",ROUND((curve_Base+curve_Slope*D186)*IFERROR(VLOOKUP(E186,rarity_Mult,2,FALSE),1),2))</f>
      </c>
      <c r="Z186" s="11">
        <f>IF(OR(W186="",Y186=""),"",ROUND(W186-Y186,2))</f>
      </c>
      <c r="AA186" s="0">
        <f>IF(Z186="","",IF($V186="Partial","RIDER",IF(ABS(Z186)&lt;=Y186*tol_Pct,"OK",IF(Z186&gt;0,"OVER","UNDER"))))</f>
      </c>
      <c r="AB186" s="0" t="s">
        <v>34</v>
      </c>
      <c r="AC186" s="0">
        <f>IF(AND($V186&lt;&gt;"No",$E186="Common",NOT(ISNUMBER(SEARCH("Ideas",$F186)))),$W186,NA())</f>
      </c>
      <c r="AD186" s="0">
        <f>IF(AND($V186&lt;&gt;"No",$E186="Uncommon",NOT(ISNUMBER(SEARCH("Ideas",$F186)))),$W186,NA())</f>
      </c>
      <c r="AE186" s="0">
        <f>IF(AND($V186&lt;&gt;"No",$E186="Rare",NOT(ISNUMBER(SEARCH("Ideas",$F186)))),$W186,NA())</f>
      </c>
      <c r="AF186" s="0">
        <f>IF(AND($V186&lt;&gt;"No",$E186="Legendary",NOT(ISNUMBER(SEARCH("Ideas",$F186)))),$W186,NA())</f>
      </c>
      <c r="AG186" s="0">
        <f>IF(AND($V186&lt;&gt;"No",ISNUMBER(SEARCH("Knight",$C186)),NOT(ISNUMBER(SEARCH("Ideas",$F186)))),$X186,NA())</f>
      </c>
      <c r="AH186" s="0">
        <f>IF(AND($V186&lt;&gt;"No",ISNUMBER(SEARCH("Mage",$C186)),NOT(ISNUMBER(SEARCH("Ideas",$F186)))),$X186,NA())</f>
      </c>
      <c r="AI186" s="0">
        <f>IF(AND($V186&lt;&gt;"No",ISNUMBER(SEARCH("Rogue",$C186)),NOT(ISNUMBER(SEARCH("Ideas",$F186)))),$X186,NA())</f>
      </c>
      <c r="AJ186" s="0">
        <f>IF($V186&lt;&gt;"No",$Y186,NA())</f>
      </c>
      <c r="AK186" s="0">
        <f>IF(AND($V186&lt;&gt;"No",ISNUMBER(SEARCH("Ideas",$F186))),$W186,NA())</f>
      </c>
      <c r="AL186" s="0">
        <f>IF(AND($V186&lt;&gt;"No",ISNUMBER(SEARCH("Cleric",$C186)),NOT(ISNUMBER(SEARCH("Ideas",$F186)))),$X186,NA())</f>
      </c>
    </row>
    <row r="187">
      <c r="A187" s="0" t="s">
        <v>796</v>
      </c>
      <c r="B187" s="0" t="s">
        <v>794</v>
      </c>
      <c r="C187" s="0" t="s">
        <v>393</v>
      </c>
      <c r="D187" s="0">
        <v>1</v>
      </c>
      <c r="E187" s="0" t="s">
        <v>174</v>
      </c>
      <c r="F187" s="0" t="s">
        <v>1974</v>
      </c>
      <c r="G187" s="0">
        <v>9</v>
      </c>
      <c r="H187" s="0">
        <v>1</v>
      </c>
      <c r="I187" s="0">
        <v>0</v>
      </c>
      <c r="J187" s="0">
        <v>0</v>
      </c>
      <c r="K187" s="0">
        <v>0</v>
      </c>
      <c r="L187" s="0">
        <v>0</v>
      </c>
      <c r="M187" s="0">
        <v>0</v>
      </c>
      <c r="N187" s="0">
        <v>6</v>
      </c>
      <c r="O187" s="0">
        <v>0</v>
      </c>
      <c r="P187" s="0">
        <v>0</v>
      </c>
      <c r="Q187" s="0">
        <v>0</v>
      </c>
      <c r="R187" s="0">
        <v>0</v>
      </c>
      <c r="S187" s="0">
        <v>0</v>
      </c>
      <c r="T187" s="0" t="s">
        <v>34</v>
      </c>
      <c r="U187" s="0" t="s">
        <v>34</v>
      </c>
      <c r="V187" s="0" t="s">
        <v>882</v>
      </c>
      <c r="W187" s="11">
        <f>IF($V187="No","",ROUND((I187*w_Damage + N187*w_Poison + P187*w_Weaken*w_Horizon)*MIN(1+(G187-1)*w_OccEnemy,w_MaxEnemies) + (J187*w_Heal + K187*w_Shield + L187*w_Block + M187*w_Parry + O187*w_Strength*w_Horizon + S187*w_Combo)*MIN(1+(H187-1)*w_OccAlly,w_MaxAllies) + Q187*w_Draw + R187*w_Move,2))</f>
      </c>
      <c r="X187" s="11">
        <f>IF(W187="","",ROUND(W187/MAX(D187,1),2))</f>
      </c>
      <c r="Y187" s="11">
        <f>IF($V187="No","",ROUND((curve_Base+curve_Slope*D187)*IFERROR(VLOOKUP(E187,rarity_Mult,2,FALSE),1),2))</f>
      </c>
      <c r="Z187" s="11">
        <f>IF(OR(W187="",Y187=""),"",ROUND(W187-Y187,2))</f>
      </c>
      <c r="AA187" s="0">
        <f>IF(Z187="","",IF($V187="Partial","RIDER",IF(ABS(Z187)&lt;=Y187*tol_Pct,"OK",IF(Z187&gt;0,"OVER","UNDER"))))</f>
      </c>
      <c r="AB187" s="0" t="s">
        <v>34</v>
      </c>
      <c r="AC187" s="0">
        <f>IF(AND($V187&lt;&gt;"No",$E187="Common",NOT(ISNUMBER(SEARCH("Ideas",$F187)))),$W187,NA())</f>
      </c>
      <c r="AD187" s="0">
        <f>IF(AND($V187&lt;&gt;"No",$E187="Uncommon",NOT(ISNUMBER(SEARCH("Ideas",$F187)))),$W187,NA())</f>
      </c>
      <c r="AE187" s="0">
        <f>IF(AND($V187&lt;&gt;"No",$E187="Rare",NOT(ISNUMBER(SEARCH("Ideas",$F187)))),$W187,NA())</f>
      </c>
      <c r="AF187" s="0">
        <f>IF(AND($V187&lt;&gt;"No",$E187="Legendary",NOT(ISNUMBER(SEARCH("Ideas",$F187)))),$W187,NA())</f>
      </c>
      <c r="AG187" s="0">
        <f>IF(AND($V187&lt;&gt;"No",ISNUMBER(SEARCH("Knight",$C187)),NOT(ISNUMBER(SEARCH("Ideas",$F187)))),$X187,NA())</f>
      </c>
      <c r="AH187" s="0">
        <f>IF(AND($V187&lt;&gt;"No",ISNUMBER(SEARCH("Mage",$C187)),NOT(ISNUMBER(SEARCH("Ideas",$F187)))),$X187,NA())</f>
      </c>
      <c r="AI187" s="0">
        <f>IF(AND($V187&lt;&gt;"No",ISNUMBER(SEARCH("Rogue",$C187)),NOT(ISNUMBER(SEARCH("Ideas",$F187)))),$X187,NA())</f>
      </c>
      <c r="AJ187" s="0">
        <f>IF($V187&lt;&gt;"No",$Y187,NA())</f>
      </c>
      <c r="AK187" s="0">
        <f>IF(AND($V187&lt;&gt;"No",ISNUMBER(SEARCH("Ideas",$F187))),$W187,NA())</f>
      </c>
      <c r="AL187" s="0">
        <f>IF(AND($V187&lt;&gt;"No",ISNUMBER(SEARCH("Cleric",$C187)),NOT(ISNUMBER(SEARCH("Ideas",$F187)))),$X187,NA())</f>
      </c>
    </row>
    <row r="188">
      <c r="A188" s="0" t="s">
        <v>800</v>
      </c>
      <c r="B188" s="0" t="s">
        <v>800</v>
      </c>
      <c r="C188" s="0" t="s">
        <v>393</v>
      </c>
      <c r="D188" s="0">
        <v>1</v>
      </c>
      <c r="E188" s="0" t="s">
        <v>174</v>
      </c>
      <c r="F188" s="0" t="s">
        <v>1974</v>
      </c>
      <c r="G188" s="0">
        <v>1</v>
      </c>
      <c r="H188" s="0">
        <v>1</v>
      </c>
      <c r="I188" s="0">
        <v>2</v>
      </c>
      <c r="J188" s="0">
        <v>0</v>
      </c>
      <c r="K188" s="0">
        <v>0</v>
      </c>
      <c r="L188" s="0">
        <v>0</v>
      </c>
      <c r="M188" s="0">
        <v>0</v>
      </c>
      <c r="N188" s="0">
        <v>0</v>
      </c>
      <c r="O188" s="0">
        <v>0</v>
      </c>
      <c r="P188" s="0">
        <v>0</v>
      </c>
      <c r="Q188" s="0">
        <v>0</v>
      </c>
      <c r="R188" s="0">
        <v>0</v>
      </c>
      <c r="S188" s="0">
        <v>0</v>
      </c>
      <c r="T188" s="0" t="s">
        <v>34</v>
      </c>
      <c r="U188" s="0" t="s">
        <v>34</v>
      </c>
      <c r="V188" s="0" t="s">
        <v>882</v>
      </c>
      <c r="W188" s="11">
        <f>IF($V188="No","",ROUND((I188*w_Damage + N188*w_Poison + P188*w_Weaken*w_Horizon)*MIN(1+(G188-1)*w_OccEnemy,w_MaxEnemies) + (J188*w_Heal + K188*w_Shield + L188*w_Block + M188*w_Parry + O188*w_Strength*w_Horizon + S188*w_Combo)*MIN(1+(H188-1)*w_OccAlly,w_MaxAllies) + Q188*w_Draw + R188*w_Move,2))</f>
      </c>
      <c r="X188" s="11">
        <f>IF(W188="","",ROUND(W188/MAX(D188,1),2))</f>
      </c>
      <c r="Y188" s="11">
        <f>IF($V188="No","",ROUND((curve_Base+curve_Slope*D188)*IFERROR(VLOOKUP(E188,rarity_Mult,2,FALSE),1),2))</f>
      </c>
      <c r="Z188" s="11">
        <f>IF(OR(W188="",Y188=""),"",ROUND(W188-Y188,2))</f>
      </c>
      <c r="AA188" s="0">
        <f>IF(Z188="","",IF($V188="Partial","RIDER",IF(ABS(Z188)&lt;=Y188*tol_Pct,"OK",IF(Z188&gt;0,"OVER","UNDER"))))</f>
      </c>
      <c r="AB188" s="0" t="s">
        <v>34</v>
      </c>
      <c r="AC188" s="0">
        <f>IF(AND($V188&lt;&gt;"No",$E188="Common",NOT(ISNUMBER(SEARCH("Ideas",$F188)))),$W188,NA())</f>
      </c>
      <c r="AD188" s="0">
        <f>IF(AND($V188&lt;&gt;"No",$E188="Uncommon",NOT(ISNUMBER(SEARCH("Ideas",$F188)))),$W188,NA())</f>
      </c>
      <c r="AE188" s="0">
        <f>IF(AND($V188&lt;&gt;"No",$E188="Rare",NOT(ISNUMBER(SEARCH("Ideas",$F188)))),$W188,NA())</f>
      </c>
      <c r="AF188" s="0">
        <f>IF(AND($V188&lt;&gt;"No",$E188="Legendary",NOT(ISNUMBER(SEARCH("Ideas",$F188)))),$W188,NA())</f>
      </c>
      <c r="AG188" s="0">
        <f>IF(AND($V188&lt;&gt;"No",ISNUMBER(SEARCH("Knight",$C188)),NOT(ISNUMBER(SEARCH("Ideas",$F188)))),$X188,NA())</f>
      </c>
      <c r="AH188" s="0">
        <f>IF(AND($V188&lt;&gt;"No",ISNUMBER(SEARCH("Mage",$C188)),NOT(ISNUMBER(SEARCH("Ideas",$F188)))),$X188,NA())</f>
      </c>
      <c r="AI188" s="0">
        <f>IF(AND($V188&lt;&gt;"No",ISNUMBER(SEARCH("Rogue",$C188)),NOT(ISNUMBER(SEARCH("Ideas",$F188)))),$X188,NA())</f>
      </c>
      <c r="AJ188" s="0">
        <f>IF($V188&lt;&gt;"No",$Y188,NA())</f>
      </c>
      <c r="AK188" s="0">
        <f>IF(AND($V188&lt;&gt;"No",ISNUMBER(SEARCH("Ideas",$F188))),$W188,NA())</f>
      </c>
      <c r="AL188" s="0">
        <f>IF(AND($V188&lt;&gt;"No",ISNUMBER(SEARCH("Cleric",$C188)),NOT(ISNUMBER(SEARCH("Ideas",$F188)))),$X188,NA())</f>
      </c>
    </row>
    <row r="189">
      <c r="A189" s="0" t="s">
        <v>807</v>
      </c>
      <c r="B189" s="0" t="s">
        <v>805</v>
      </c>
      <c r="C189" s="0" t="s">
        <v>393</v>
      </c>
      <c r="D189" s="0">
        <v>1</v>
      </c>
      <c r="E189" s="0" t="s">
        <v>174</v>
      </c>
      <c r="F189" s="0" t="s">
        <v>1974</v>
      </c>
      <c r="G189" s="0">
        <v>1</v>
      </c>
      <c r="H189" s="0">
        <v>1</v>
      </c>
      <c r="I189" s="0">
        <v>2</v>
      </c>
      <c r="J189" s="0">
        <v>0</v>
      </c>
      <c r="K189" s="0">
        <v>0</v>
      </c>
      <c r="L189" s="0">
        <v>0</v>
      </c>
      <c r="M189" s="0">
        <v>0</v>
      </c>
      <c r="N189" s="0">
        <v>6</v>
      </c>
      <c r="O189" s="0">
        <v>0</v>
      </c>
      <c r="P189" s="0">
        <v>0</v>
      </c>
      <c r="Q189" s="0">
        <v>0</v>
      </c>
      <c r="R189" s="0">
        <v>0</v>
      </c>
      <c r="S189" s="0">
        <v>0</v>
      </c>
      <c r="T189" s="0" t="s">
        <v>34</v>
      </c>
      <c r="U189" s="0" t="s">
        <v>34</v>
      </c>
      <c r="V189" s="0" t="s">
        <v>882</v>
      </c>
      <c r="W189" s="11">
        <f>IF($V189="No","",ROUND((I189*w_Damage + N189*w_Poison + P189*w_Weaken*w_Horizon)*MIN(1+(G189-1)*w_OccEnemy,w_MaxEnemies) + (J189*w_Heal + K189*w_Shield + L189*w_Block + M189*w_Parry + O189*w_Strength*w_Horizon + S189*w_Combo)*MIN(1+(H189-1)*w_OccAlly,w_MaxAllies) + Q189*w_Draw + R189*w_Move,2))</f>
      </c>
      <c r="X189" s="11">
        <f>IF(W189="","",ROUND(W189/MAX(D189,1),2))</f>
      </c>
      <c r="Y189" s="11">
        <f>IF($V189="No","",ROUND((curve_Base+curve_Slope*D189)*IFERROR(VLOOKUP(E189,rarity_Mult,2,FALSE),1),2))</f>
      </c>
      <c r="Z189" s="11">
        <f>IF(OR(W189="",Y189=""),"",ROUND(W189-Y189,2))</f>
      </c>
      <c r="AA189" s="0">
        <f>IF(Z189="","",IF($V189="Partial","RIDER",IF(ABS(Z189)&lt;=Y189*tol_Pct,"OK",IF(Z189&gt;0,"OVER","UNDER"))))</f>
      </c>
      <c r="AB189" s="0" t="s">
        <v>34</v>
      </c>
      <c r="AC189" s="0">
        <f>IF(AND($V189&lt;&gt;"No",$E189="Common",NOT(ISNUMBER(SEARCH("Ideas",$F189)))),$W189,NA())</f>
      </c>
      <c r="AD189" s="0">
        <f>IF(AND($V189&lt;&gt;"No",$E189="Uncommon",NOT(ISNUMBER(SEARCH("Ideas",$F189)))),$W189,NA())</f>
      </c>
      <c r="AE189" s="0">
        <f>IF(AND($V189&lt;&gt;"No",$E189="Rare",NOT(ISNUMBER(SEARCH("Ideas",$F189)))),$W189,NA())</f>
      </c>
      <c r="AF189" s="0">
        <f>IF(AND($V189&lt;&gt;"No",$E189="Legendary",NOT(ISNUMBER(SEARCH("Ideas",$F189)))),$W189,NA())</f>
      </c>
      <c r="AG189" s="0">
        <f>IF(AND($V189&lt;&gt;"No",ISNUMBER(SEARCH("Knight",$C189)),NOT(ISNUMBER(SEARCH("Ideas",$F189)))),$X189,NA())</f>
      </c>
      <c r="AH189" s="0">
        <f>IF(AND($V189&lt;&gt;"No",ISNUMBER(SEARCH("Mage",$C189)),NOT(ISNUMBER(SEARCH("Ideas",$F189)))),$X189,NA())</f>
      </c>
      <c r="AI189" s="0">
        <f>IF(AND($V189&lt;&gt;"No",ISNUMBER(SEARCH("Rogue",$C189)),NOT(ISNUMBER(SEARCH("Ideas",$F189)))),$X189,NA())</f>
      </c>
      <c r="AJ189" s="0">
        <f>IF($V189&lt;&gt;"No",$Y189,NA())</f>
      </c>
      <c r="AK189" s="0">
        <f>IF(AND($V189&lt;&gt;"No",ISNUMBER(SEARCH("Ideas",$F189))),$W189,NA())</f>
      </c>
      <c r="AL189" s="0">
        <f>IF(AND($V189&lt;&gt;"No",ISNUMBER(SEARCH("Cleric",$C189)),NOT(ISNUMBER(SEARCH("Ideas",$F189)))),$X189,NA())</f>
      </c>
    </row>
    <row r="190">
      <c r="A190" s="0" t="s">
        <v>810</v>
      </c>
      <c r="B190" s="0" t="s">
        <v>810</v>
      </c>
      <c r="C190" s="0" t="s">
        <v>393</v>
      </c>
      <c r="D190" s="0">
        <v>1</v>
      </c>
      <c r="E190" s="0" t="s">
        <v>174</v>
      </c>
      <c r="F190" s="0" t="s">
        <v>1974</v>
      </c>
      <c r="G190" s="0">
        <v>1</v>
      </c>
      <c r="H190" s="0">
        <v>1</v>
      </c>
      <c r="I190" s="0">
        <v>4</v>
      </c>
      <c r="J190" s="0">
        <v>0</v>
      </c>
      <c r="K190" s="0">
        <v>0</v>
      </c>
      <c r="L190" s="0">
        <v>0</v>
      </c>
      <c r="M190" s="0">
        <v>0</v>
      </c>
      <c r="N190" s="0">
        <v>0</v>
      </c>
      <c r="O190" s="0">
        <v>0</v>
      </c>
      <c r="P190" s="0">
        <v>0</v>
      </c>
      <c r="Q190" s="0">
        <v>0</v>
      </c>
      <c r="R190" s="0">
        <v>0</v>
      </c>
      <c r="S190" s="0">
        <v>0</v>
      </c>
      <c r="T190" s="0" t="s">
        <v>34</v>
      </c>
      <c r="U190" s="0" t="s">
        <v>34</v>
      </c>
      <c r="V190" s="0" t="s">
        <v>882</v>
      </c>
      <c r="W190" s="11">
        <f>IF($V190="No","",ROUND((I190*w_Damage + N190*w_Poison + P190*w_Weaken*w_Horizon)*MIN(1+(G190-1)*w_OccEnemy,w_MaxEnemies) + (J190*w_Heal + K190*w_Shield + L190*w_Block + M190*w_Parry + O190*w_Strength*w_Horizon + S190*w_Combo)*MIN(1+(H190-1)*w_OccAlly,w_MaxAllies) + Q190*w_Draw + R190*w_Move,2))</f>
      </c>
      <c r="X190" s="11">
        <f>IF(W190="","",ROUND(W190/MAX(D190,1),2))</f>
      </c>
      <c r="Y190" s="11">
        <f>IF($V190="No","",ROUND((curve_Base+curve_Slope*D190)*IFERROR(VLOOKUP(E190,rarity_Mult,2,FALSE),1),2))</f>
      </c>
      <c r="Z190" s="11">
        <f>IF(OR(W190="",Y190=""),"",ROUND(W190-Y190,2))</f>
      </c>
      <c r="AA190" s="0">
        <f>IF(Z190="","",IF($V190="Partial","RIDER",IF(ABS(Z190)&lt;=Y190*tol_Pct,"OK",IF(Z190&gt;0,"OVER","UNDER"))))</f>
      </c>
      <c r="AB190" s="0" t="s">
        <v>34</v>
      </c>
      <c r="AC190" s="0">
        <f>IF(AND($V190&lt;&gt;"No",$E190="Common",NOT(ISNUMBER(SEARCH("Ideas",$F190)))),$W190,NA())</f>
      </c>
      <c r="AD190" s="0">
        <f>IF(AND($V190&lt;&gt;"No",$E190="Uncommon",NOT(ISNUMBER(SEARCH("Ideas",$F190)))),$W190,NA())</f>
      </c>
      <c r="AE190" s="0">
        <f>IF(AND($V190&lt;&gt;"No",$E190="Rare",NOT(ISNUMBER(SEARCH("Ideas",$F190)))),$W190,NA())</f>
      </c>
      <c r="AF190" s="0">
        <f>IF(AND($V190&lt;&gt;"No",$E190="Legendary",NOT(ISNUMBER(SEARCH("Ideas",$F190)))),$W190,NA())</f>
      </c>
      <c r="AG190" s="0">
        <f>IF(AND($V190&lt;&gt;"No",ISNUMBER(SEARCH("Knight",$C190)),NOT(ISNUMBER(SEARCH("Ideas",$F190)))),$X190,NA())</f>
      </c>
      <c r="AH190" s="0">
        <f>IF(AND($V190&lt;&gt;"No",ISNUMBER(SEARCH("Mage",$C190)),NOT(ISNUMBER(SEARCH("Ideas",$F190)))),$X190,NA())</f>
      </c>
      <c r="AI190" s="0">
        <f>IF(AND($V190&lt;&gt;"No",ISNUMBER(SEARCH("Rogue",$C190)),NOT(ISNUMBER(SEARCH("Ideas",$F190)))),$X190,NA())</f>
      </c>
      <c r="AJ190" s="0">
        <f>IF($V190&lt;&gt;"No",$Y190,NA())</f>
      </c>
      <c r="AK190" s="0">
        <f>IF(AND($V190&lt;&gt;"No",ISNUMBER(SEARCH("Ideas",$F190))),$W190,NA())</f>
      </c>
      <c r="AL190" s="0">
        <f>IF(AND($V190&lt;&gt;"No",ISNUMBER(SEARCH("Cleric",$C190)),NOT(ISNUMBER(SEARCH("Ideas",$F190)))),$X190,NA())</f>
      </c>
    </row>
    <row r="191">
      <c r="A191" s="0" t="s">
        <v>815</v>
      </c>
      <c r="B191" s="0" t="s">
        <v>814</v>
      </c>
      <c r="C191" s="0" t="s">
        <v>393</v>
      </c>
      <c r="D191" s="0">
        <v>0</v>
      </c>
      <c r="E191" s="0" t="s">
        <v>174</v>
      </c>
      <c r="F191" s="0" t="s">
        <v>1974</v>
      </c>
      <c r="G191" s="0">
        <v>1</v>
      </c>
      <c r="H191" s="0">
        <v>1</v>
      </c>
      <c r="I191" s="0">
        <v>0</v>
      </c>
      <c r="J191" s="0">
        <v>0</v>
      </c>
      <c r="K191" s="0">
        <v>0</v>
      </c>
      <c r="L191" s="0">
        <v>0</v>
      </c>
      <c r="M191" s="0">
        <v>0</v>
      </c>
      <c r="N191" s="0">
        <v>0</v>
      </c>
      <c r="O191" s="0">
        <v>0</v>
      </c>
      <c r="P191" s="0">
        <v>0</v>
      </c>
      <c r="Q191" s="0">
        <v>0</v>
      </c>
      <c r="R191" s="0">
        <v>0</v>
      </c>
      <c r="S191" s="0">
        <v>0</v>
      </c>
      <c r="T191" s="0" t="s">
        <v>199</v>
      </c>
      <c r="U191" s="0" t="s">
        <v>199</v>
      </c>
      <c r="V191" s="0" t="s">
        <v>1407</v>
      </c>
      <c r="W191" s="11">
        <f>IF($V191="No","",ROUND((I191*w_Damage + N191*w_Poison + P191*w_Weaken*w_Horizon)*MIN(1+(G191-1)*w_OccEnemy,w_MaxEnemies) + (J191*w_Heal + K191*w_Shield + L191*w_Block + M191*w_Parry + O191*w_Strength*w_Horizon + S191*w_Combo)*MIN(1+(H191-1)*w_OccAlly,w_MaxAllies) + Q191*w_Draw + R191*w_Move,2))</f>
      </c>
      <c r="X191" s="11">
        <f>IF(W191="","",ROUND(W191/MAX(D191,1),2))</f>
      </c>
      <c r="Y191" s="11">
        <f>IF($V191="No","",ROUND((curve_Base+curve_Slope*D191)*IFERROR(VLOOKUP(E191,rarity_Mult,2,FALSE),1),2))</f>
      </c>
      <c r="Z191" s="11">
        <f>IF(OR(W191="",Y191=""),"",ROUND(W191-Y191,2))</f>
      </c>
      <c r="AA191" s="0">
        <f>IF(Z191="","",IF($V191="Partial","RIDER",IF(ABS(Z191)&lt;=Y191*tol_Pct,"OK",IF(Z191&gt;0,"OVER","UNDER"))))</f>
      </c>
      <c r="AB191" s="0" t="s">
        <v>34</v>
      </c>
      <c r="AC191" s="0">
        <f>IF(AND($V191&lt;&gt;"No",$E191="Common",NOT(ISNUMBER(SEARCH("Ideas",$F191)))),$W191,NA())</f>
      </c>
      <c r="AD191" s="0">
        <f>IF(AND($V191&lt;&gt;"No",$E191="Uncommon",NOT(ISNUMBER(SEARCH("Ideas",$F191)))),$W191,NA())</f>
      </c>
      <c r="AE191" s="0">
        <f>IF(AND($V191&lt;&gt;"No",$E191="Rare",NOT(ISNUMBER(SEARCH("Ideas",$F191)))),$W191,NA())</f>
      </c>
      <c r="AF191" s="0">
        <f>IF(AND($V191&lt;&gt;"No",$E191="Legendary",NOT(ISNUMBER(SEARCH("Ideas",$F191)))),$W191,NA())</f>
      </c>
      <c r="AG191" s="0">
        <f>IF(AND($V191&lt;&gt;"No",ISNUMBER(SEARCH("Knight",$C191)),NOT(ISNUMBER(SEARCH("Ideas",$F191)))),$X191,NA())</f>
      </c>
      <c r="AH191" s="0">
        <f>IF(AND($V191&lt;&gt;"No",ISNUMBER(SEARCH("Mage",$C191)),NOT(ISNUMBER(SEARCH("Ideas",$F191)))),$X191,NA())</f>
      </c>
      <c r="AI191" s="0">
        <f>IF(AND($V191&lt;&gt;"No",ISNUMBER(SEARCH("Rogue",$C191)),NOT(ISNUMBER(SEARCH("Ideas",$F191)))),$X191,NA())</f>
      </c>
      <c r="AJ191" s="0">
        <f>IF($V191&lt;&gt;"No",$Y191,NA())</f>
      </c>
      <c r="AK191" s="0">
        <f>IF(AND($V191&lt;&gt;"No",ISNUMBER(SEARCH("Ideas",$F191))),$W191,NA())</f>
      </c>
      <c r="AL191" s="0">
        <f>IF(AND($V191&lt;&gt;"No",ISNUMBER(SEARCH("Cleric",$C191)),NOT(ISNUMBER(SEARCH("Ideas",$F191)))),$X191,NA())</f>
      </c>
    </row>
    <row r="192">
      <c r="A192" s="0" t="s">
        <v>820</v>
      </c>
      <c r="B192" s="0" t="s">
        <v>818</v>
      </c>
      <c r="C192" s="0" t="s">
        <v>393</v>
      </c>
      <c r="D192" s="0">
        <v>1</v>
      </c>
      <c r="E192" s="0" t="s">
        <v>174</v>
      </c>
      <c r="F192" s="0" t="s">
        <v>1974</v>
      </c>
      <c r="G192" s="0">
        <v>9</v>
      </c>
      <c r="H192" s="0">
        <v>1</v>
      </c>
      <c r="I192" s="0">
        <v>4</v>
      </c>
      <c r="J192" s="0">
        <v>0</v>
      </c>
      <c r="K192" s="0">
        <v>0</v>
      </c>
      <c r="L192" s="0">
        <v>0</v>
      </c>
      <c r="M192" s="0">
        <v>0</v>
      </c>
      <c r="N192" s="0">
        <v>0</v>
      </c>
      <c r="O192" s="0">
        <v>0</v>
      </c>
      <c r="P192" s="0">
        <v>0</v>
      </c>
      <c r="Q192" s="0">
        <v>0</v>
      </c>
      <c r="R192" s="0">
        <v>0</v>
      </c>
      <c r="S192" s="0">
        <v>0</v>
      </c>
      <c r="T192" s="0" t="s">
        <v>34</v>
      </c>
      <c r="U192" s="0" t="s">
        <v>178</v>
      </c>
      <c r="V192" s="0" t="s">
        <v>882</v>
      </c>
      <c r="W192" s="11">
        <f>IF($V192="No","",ROUND((I192*w_Damage + N192*w_Poison + P192*w_Weaken*w_Horizon)*MIN(1+(G192-1)*w_OccEnemy,w_MaxEnemies) + (J192*w_Heal + K192*w_Shield + L192*w_Block + M192*w_Parry + O192*w_Strength*w_Horizon + S192*w_Combo)*MIN(1+(H192-1)*w_OccAlly,w_MaxAllies) + Q192*w_Draw + R192*w_Move,2))</f>
      </c>
      <c r="X192" s="11">
        <f>IF(W192="","",ROUND(W192/MAX(D192,1),2))</f>
      </c>
      <c r="Y192" s="11">
        <f>IF($V192="No","",ROUND((curve_Base+curve_Slope*D192)*IFERROR(VLOOKUP(E192,rarity_Mult,2,FALSE),1),2))</f>
      </c>
      <c r="Z192" s="11">
        <f>IF(OR(W192="",Y192=""),"",ROUND(W192-Y192,2))</f>
      </c>
      <c r="AA192" s="0">
        <f>IF(Z192="","",IF($V192="Partial","RIDER",IF(ABS(Z192)&lt;=Y192*tol_Pct,"OK",IF(Z192&gt;0,"OVER","UNDER"))))</f>
      </c>
      <c r="AB192" s="0" t="s">
        <v>34</v>
      </c>
      <c r="AC192" s="0">
        <f>IF(AND($V192&lt;&gt;"No",$E192="Common",NOT(ISNUMBER(SEARCH("Ideas",$F192)))),$W192,NA())</f>
      </c>
      <c r="AD192" s="0">
        <f>IF(AND($V192&lt;&gt;"No",$E192="Uncommon",NOT(ISNUMBER(SEARCH("Ideas",$F192)))),$W192,NA())</f>
      </c>
      <c r="AE192" s="0">
        <f>IF(AND($V192&lt;&gt;"No",$E192="Rare",NOT(ISNUMBER(SEARCH("Ideas",$F192)))),$W192,NA())</f>
      </c>
      <c r="AF192" s="0">
        <f>IF(AND($V192&lt;&gt;"No",$E192="Legendary",NOT(ISNUMBER(SEARCH("Ideas",$F192)))),$W192,NA())</f>
      </c>
      <c r="AG192" s="0">
        <f>IF(AND($V192&lt;&gt;"No",ISNUMBER(SEARCH("Knight",$C192)),NOT(ISNUMBER(SEARCH("Ideas",$F192)))),$X192,NA())</f>
      </c>
      <c r="AH192" s="0">
        <f>IF(AND($V192&lt;&gt;"No",ISNUMBER(SEARCH("Mage",$C192)),NOT(ISNUMBER(SEARCH("Ideas",$F192)))),$X192,NA())</f>
      </c>
      <c r="AI192" s="0">
        <f>IF(AND($V192&lt;&gt;"No",ISNUMBER(SEARCH("Rogue",$C192)),NOT(ISNUMBER(SEARCH("Ideas",$F192)))),$X192,NA())</f>
      </c>
      <c r="AJ192" s="0">
        <f>IF($V192&lt;&gt;"No",$Y192,NA())</f>
      </c>
      <c r="AK192" s="0">
        <f>IF(AND($V192&lt;&gt;"No",ISNUMBER(SEARCH("Ideas",$F192))),$W192,NA())</f>
      </c>
      <c r="AL192" s="0">
        <f>IF(AND($V192&lt;&gt;"No",ISNUMBER(SEARCH("Cleric",$C192)),NOT(ISNUMBER(SEARCH("Ideas",$F192)))),$X192,NA())</f>
      </c>
    </row>
    <row r="193">
      <c r="A193" s="0" t="s">
        <v>826</v>
      </c>
      <c r="B193" s="0" t="s">
        <v>823</v>
      </c>
      <c r="C193" s="0" t="s">
        <v>393</v>
      </c>
      <c r="D193" s="0">
        <v>1</v>
      </c>
      <c r="E193" s="0" t="s">
        <v>174</v>
      </c>
      <c r="F193" s="0" t="s">
        <v>1974</v>
      </c>
      <c r="G193" s="0">
        <v>1</v>
      </c>
      <c r="H193" s="0">
        <v>1</v>
      </c>
      <c r="I193" s="0">
        <v>2</v>
      </c>
      <c r="J193" s="0">
        <v>0</v>
      </c>
      <c r="K193" s="0">
        <v>0</v>
      </c>
      <c r="L193" s="0">
        <v>0</v>
      </c>
      <c r="M193" s="0">
        <v>0</v>
      </c>
      <c r="N193" s="0">
        <v>0</v>
      </c>
      <c r="O193" s="0">
        <v>0</v>
      </c>
      <c r="P193" s="0">
        <v>0</v>
      </c>
      <c r="Q193" s="0">
        <v>0</v>
      </c>
      <c r="R193" s="0">
        <v>0</v>
      </c>
      <c r="S193" s="0">
        <v>0</v>
      </c>
      <c r="T193" s="0" t="s">
        <v>34</v>
      </c>
      <c r="U193" s="0" t="s">
        <v>1862</v>
      </c>
      <c r="V193" s="0" t="s">
        <v>882</v>
      </c>
      <c r="W193" s="11">
        <f>IF($V193="No","",ROUND((I193*w_Damage + N193*w_Poison + P193*w_Weaken*w_Horizon)*MIN(1+(G193-1)*w_OccEnemy,w_MaxEnemies) + (J193*w_Heal + K193*w_Shield + L193*w_Block + M193*w_Parry + O193*w_Strength*w_Horizon + S193*w_Combo)*MIN(1+(H193-1)*w_OccAlly,w_MaxAllies) + Q193*w_Draw + R193*w_Move,2))</f>
      </c>
      <c r="X193" s="11">
        <f>IF(W193="","",ROUND(W193/MAX(D193,1),2))</f>
      </c>
      <c r="Y193" s="11">
        <f>IF($V193="No","",ROUND((curve_Base+curve_Slope*D193)*IFERROR(VLOOKUP(E193,rarity_Mult,2,FALSE),1),2))</f>
      </c>
      <c r="Z193" s="11">
        <f>IF(OR(W193="",Y193=""),"",ROUND(W193-Y193,2))</f>
      </c>
      <c r="AA193" s="0">
        <f>IF(Z193="","",IF($V193="Partial","RIDER",IF(ABS(Z193)&lt;=Y193*tol_Pct,"OK",IF(Z193&gt;0,"OVER","UNDER"))))</f>
      </c>
      <c r="AB193" s="0" t="s">
        <v>34</v>
      </c>
      <c r="AC193" s="0">
        <f>IF(AND($V193&lt;&gt;"No",$E193="Common",NOT(ISNUMBER(SEARCH("Ideas",$F193)))),$W193,NA())</f>
      </c>
      <c r="AD193" s="0">
        <f>IF(AND($V193&lt;&gt;"No",$E193="Uncommon",NOT(ISNUMBER(SEARCH("Ideas",$F193)))),$W193,NA())</f>
      </c>
      <c r="AE193" s="0">
        <f>IF(AND($V193&lt;&gt;"No",$E193="Rare",NOT(ISNUMBER(SEARCH("Ideas",$F193)))),$W193,NA())</f>
      </c>
      <c r="AF193" s="0">
        <f>IF(AND($V193&lt;&gt;"No",$E193="Legendary",NOT(ISNUMBER(SEARCH("Ideas",$F193)))),$W193,NA())</f>
      </c>
      <c r="AG193" s="0">
        <f>IF(AND($V193&lt;&gt;"No",ISNUMBER(SEARCH("Knight",$C193)),NOT(ISNUMBER(SEARCH("Ideas",$F193)))),$X193,NA())</f>
      </c>
      <c r="AH193" s="0">
        <f>IF(AND($V193&lt;&gt;"No",ISNUMBER(SEARCH("Mage",$C193)),NOT(ISNUMBER(SEARCH("Ideas",$F193)))),$X193,NA())</f>
      </c>
      <c r="AI193" s="0">
        <f>IF(AND($V193&lt;&gt;"No",ISNUMBER(SEARCH("Rogue",$C193)),NOT(ISNUMBER(SEARCH("Ideas",$F193)))),$X193,NA())</f>
      </c>
      <c r="AJ193" s="0">
        <f>IF($V193&lt;&gt;"No",$Y193,NA())</f>
      </c>
      <c r="AK193" s="0">
        <f>IF(AND($V193&lt;&gt;"No",ISNUMBER(SEARCH("Ideas",$F193))),$W193,NA())</f>
      </c>
      <c r="AL193" s="0">
        <f>IF(AND($V193&lt;&gt;"No",ISNUMBER(SEARCH("Cleric",$C193)),NOT(ISNUMBER(SEARCH("Ideas",$F193)))),$X193,NA())</f>
      </c>
    </row>
    <row r="194">
      <c r="A194" s="0" t="s">
        <v>832</v>
      </c>
      <c r="B194" s="0" t="s">
        <v>829</v>
      </c>
      <c r="C194" s="0" t="s">
        <v>393</v>
      </c>
      <c r="D194" s="0">
        <v>1</v>
      </c>
      <c r="E194" s="0" t="s">
        <v>174</v>
      </c>
      <c r="F194" s="0" t="s">
        <v>1974</v>
      </c>
      <c r="G194" s="0">
        <v>1</v>
      </c>
      <c r="H194" s="0">
        <v>1</v>
      </c>
      <c r="I194" s="0">
        <v>2</v>
      </c>
      <c r="J194" s="0">
        <v>0</v>
      </c>
      <c r="K194" s="0">
        <v>0</v>
      </c>
      <c r="L194" s="0">
        <v>0</v>
      </c>
      <c r="M194" s="0">
        <v>0</v>
      </c>
      <c r="N194" s="0">
        <v>0</v>
      </c>
      <c r="O194" s="0">
        <v>0</v>
      </c>
      <c r="P194" s="0">
        <v>0</v>
      </c>
      <c r="Q194" s="0">
        <v>0</v>
      </c>
      <c r="R194" s="0">
        <v>0</v>
      </c>
      <c r="S194" s="0">
        <v>0</v>
      </c>
      <c r="T194" s="0" t="s">
        <v>34</v>
      </c>
      <c r="U194" s="0" t="s">
        <v>1865</v>
      </c>
      <c r="V194" s="0" t="s">
        <v>882</v>
      </c>
      <c r="W194" s="11">
        <f>IF($V194="No","",ROUND((I194*w_Damage + N194*w_Poison + P194*w_Weaken*w_Horizon)*MIN(1+(G194-1)*w_OccEnemy,w_MaxEnemies) + (J194*w_Heal + K194*w_Shield + L194*w_Block + M194*w_Parry + O194*w_Strength*w_Horizon + S194*w_Combo)*MIN(1+(H194-1)*w_OccAlly,w_MaxAllies) + Q194*w_Draw + R194*w_Move,2))</f>
      </c>
      <c r="X194" s="11">
        <f>IF(W194="","",ROUND(W194/MAX(D194,1),2))</f>
      </c>
      <c r="Y194" s="11">
        <f>IF($V194="No","",ROUND((curve_Base+curve_Slope*D194)*IFERROR(VLOOKUP(E194,rarity_Mult,2,FALSE),1),2))</f>
      </c>
      <c r="Z194" s="11">
        <f>IF(OR(W194="",Y194=""),"",ROUND(W194-Y194,2))</f>
      </c>
      <c r="AA194" s="0">
        <f>IF(Z194="","",IF($V194="Partial","RIDER",IF(ABS(Z194)&lt;=Y194*tol_Pct,"OK",IF(Z194&gt;0,"OVER","UNDER"))))</f>
      </c>
      <c r="AB194" s="0" t="s">
        <v>34</v>
      </c>
      <c r="AC194" s="0">
        <f>IF(AND($V194&lt;&gt;"No",$E194="Common",NOT(ISNUMBER(SEARCH("Ideas",$F194)))),$W194,NA())</f>
      </c>
      <c r="AD194" s="0">
        <f>IF(AND($V194&lt;&gt;"No",$E194="Uncommon",NOT(ISNUMBER(SEARCH("Ideas",$F194)))),$W194,NA())</f>
      </c>
      <c r="AE194" s="0">
        <f>IF(AND($V194&lt;&gt;"No",$E194="Rare",NOT(ISNUMBER(SEARCH("Ideas",$F194)))),$W194,NA())</f>
      </c>
      <c r="AF194" s="0">
        <f>IF(AND($V194&lt;&gt;"No",$E194="Legendary",NOT(ISNUMBER(SEARCH("Ideas",$F194)))),$W194,NA())</f>
      </c>
      <c r="AG194" s="0">
        <f>IF(AND($V194&lt;&gt;"No",ISNUMBER(SEARCH("Knight",$C194)),NOT(ISNUMBER(SEARCH("Ideas",$F194)))),$X194,NA())</f>
      </c>
      <c r="AH194" s="0">
        <f>IF(AND($V194&lt;&gt;"No",ISNUMBER(SEARCH("Mage",$C194)),NOT(ISNUMBER(SEARCH("Ideas",$F194)))),$X194,NA())</f>
      </c>
      <c r="AI194" s="0">
        <f>IF(AND($V194&lt;&gt;"No",ISNUMBER(SEARCH("Rogue",$C194)),NOT(ISNUMBER(SEARCH("Ideas",$F194)))),$X194,NA())</f>
      </c>
      <c r="AJ194" s="0">
        <f>IF($V194&lt;&gt;"No",$Y194,NA())</f>
      </c>
      <c r="AK194" s="0">
        <f>IF(AND($V194&lt;&gt;"No",ISNUMBER(SEARCH("Ideas",$F194))),$W194,NA())</f>
      </c>
      <c r="AL194" s="0">
        <f>IF(AND($V194&lt;&gt;"No",ISNUMBER(SEARCH("Cleric",$C194)),NOT(ISNUMBER(SEARCH("Ideas",$F194)))),$X194,NA())</f>
      </c>
    </row>
    <row r="195">
      <c r="A195" s="0" t="s">
        <v>836</v>
      </c>
      <c r="B195" s="0" t="s">
        <v>834</v>
      </c>
      <c r="C195" s="0" t="s">
        <v>393</v>
      </c>
      <c r="D195" s="0">
        <v>1</v>
      </c>
      <c r="E195" s="0" t="s">
        <v>174</v>
      </c>
      <c r="F195" s="0" t="s">
        <v>1974</v>
      </c>
      <c r="G195" s="0">
        <v>1</v>
      </c>
      <c r="H195" s="0">
        <v>1</v>
      </c>
      <c r="I195" s="0">
        <v>2</v>
      </c>
      <c r="J195" s="0">
        <v>0</v>
      </c>
      <c r="K195" s="0">
        <v>0</v>
      </c>
      <c r="L195" s="0">
        <v>0</v>
      </c>
      <c r="M195" s="0">
        <v>0</v>
      </c>
      <c r="N195" s="0">
        <v>0</v>
      </c>
      <c r="O195" s="0">
        <v>0</v>
      </c>
      <c r="P195" s="0">
        <v>1</v>
      </c>
      <c r="Q195" s="0">
        <v>0</v>
      </c>
      <c r="R195" s="0">
        <v>0</v>
      </c>
      <c r="S195" s="0">
        <v>0</v>
      </c>
      <c r="T195" s="0" t="s">
        <v>34</v>
      </c>
      <c r="U195" s="0" t="s">
        <v>34</v>
      </c>
      <c r="V195" s="0" t="s">
        <v>882</v>
      </c>
      <c r="W195" s="11">
        <f>IF($V195="No","",ROUND((I195*w_Damage + N195*w_Poison + P195*w_Weaken*w_Horizon)*MIN(1+(G195-1)*w_OccEnemy,w_MaxEnemies) + (J195*w_Heal + K195*w_Shield + L195*w_Block + M195*w_Parry + O195*w_Strength*w_Horizon + S195*w_Combo)*MIN(1+(H195-1)*w_OccAlly,w_MaxAllies) + Q195*w_Draw + R195*w_Move,2))</f>
      </c>
      <c r="X195" s="11">
        <f>IF(W195="","",ROUND(W195/MAX(D195,1),2))</f>
      </c>
      <c r="Y195" s="11">
        <f>IF($V195="No","",ROUND((curve_Base+curve_Slope*D195)*IFERROR(VLOOKUP(E195,rarity_Mult,2,FALSE),1),2))</f>
      </c>
      <c r="Z195" s="11">
        <f>IF(OR(W195="",Y195=""),"",ROUND(W195-Y195,2))</f>
      </c>
      <c r="AA195" s="0">
        <f>IF(Z195="","",IF($V195="Partial","RIDER",IF(ABS(Z195)&lt;=Y195*tol_Pct,"OK",IF(Z195&gt;0,"OVER","UNDER"))))</f>
      </c>
      <c r="AB195" s="0" t="s">
        <v>34</v>
      </c>
      <c r="AC195" s="0">
        <f>IF(AND($V195&lt;&gt;"No",$E195="Common",NOT(ISNUMBER(SEARCH("Ideas",$F195)))),$W195,NA())</f>
      </c>
      <c r="AD195" s="0">
        <f>IF(AND($V195&lt;&gt;"No",$E195="Uncommon",NOT(ISNUMBER(SEARCH("Ideas",$F195)))),$W195,NA())</f>
      </c>
      <c r="AE195" s="0">
        <f>IF(AND($V195&lt;&gt;"No",$E195="Rare",NOT(ISNUMBER(SEARCH("Ideas",$F195)))),$W195,NA())</f>
      </c>
      <c r="AF195" s="0">
        <f>IF(AND($V195&lt;&gt;"No",$E195="Legendary",NOT(ISNUMBER(SEARCH("Ideas",$F195)))),$W195,NA())</f>
      </c>
      <c r="AG195" s="0">
        <f>IF(AND($V195&lt;&gt;"No",ISNUMBER(SEARCH("Knight",$C195)),NOT(ISNUMBER(SEARCH("Ideas",$F195)))),$X195,NA())</f>
      </c>
      <c r="AH195" s="0">
        <f>IF(AND($V195&lt;&gt;"No",ISNUMBER(SEARCH("Mage",$C195)),NOT(ISNUMBER(SEARCH("Ideas",$F195)))),$X195,NA())</f>
      </c>
      <c r="AI195" s="0">
        <f>IF(AND($V195&lt;&gt;"No",ISNUMBER(SEARCH("Rogue",$C195)),NOT(ISNUMBER(SEARCH("Ideas",$F195)))),$X195,NA())</f>
      </c>
      <c r="AJ195" s="0">
        <f>IF($V195&lt;&gt;"No",$Y195,NA())</f>
      </c>
      <c r="AK195" s="0">
        <f>IF(AND($V195&lt;&gt;"No",ISNUMBER(SEARCH("Ideas",$F195))),$W195,NA())</f>
      </c>
      <c r="AL195" s="0">
        <f>IF(AND($V195&lt;&gt;"No",ISNUMBER(SEARCH("Cleric",$C195)),NOT(ISNUMBER(SEARCH("Ideas",$F195)))),$X195,NA())</f>
      </c>
    </row>
    <row r="196">
      <c r="A196" s="0" t="s">
        <v>840</v>
      </c>
      <c r="B196" s="0" t="s">
        <v>838</v>
      </c>
      <c r="C196" s="0" t="s">
        <v>393</v>
      </c>
      <c r="D196" s="0">
        <v>1</v>
      </c>
      <c r="E196" s="0" t="s">
        <v>174</v>
      </c>
      <c r="F196" s="0" t="s">
        <v>1974</v>
      </c>
      <c r="G196" s="0">
        <v>1</v>
      </c>
      <c r="H196" s="0">
        <v>1</v>
      </c>
      <c r="I196" s="0">
        <v>0</v>
      </c>
      <c r="J196" s="0">
        <v>0</v>
      </c>
      <c r="K196" s="0">
        <v>0</v>
      </c>
      <c r="L196" s="0">
        <v>0</v>
      </c>
      <c r="M196" s="0">
        <v>0</v>
      </c>
      <c r="N196" s="0">
        <v>0</v>
      </c>
      <c r="O196" s="0">
        <v>0</v>
      </c>
      <c r="P196" s="0">
        <v>0</v>
      </c>
      <c r="Q196" s="0">
        <v>0</v>
      </c>
      <c r="R196" s="0">
        <v>0</v>
      </c>
      <c r="S196" s="0">
        <v>0</v>
      </c>
      <c r="T196" s="0" t="s">
        <v>34</v>
      </c>
      <c r="U196" s="0" t="s">
        <v>396</v>
      </c>
      <c r="V196" s="0" t="s">
        <v>1407</v>
      </c>
      <c r="W196" s="11">
        <f>IF($V196="No","",ROUND((I196*w_Damage + N196*w_Poison + P196*w_Weaken*w_Horizon)*MIN(1+(G196-1)*w_OccEnemy,w_MaxEnemies) + (J196*w_Heal + K196*w_Shield + L196*w_Block + M196*w_Parry + O196*w_Strength*w_Horizon + S196*w_Combo)*MIN(1+(H196-1)*w_OccAlly,w_MaxAllies) + Q196*w_Draw + R196*w_Move,2))</f>
      </c>
      <c r="X196" s="11">
        <f>IF(W196="","",ROUND(W196/MAX(D196,1),2))</f>
      </c>
      <c r="Y196" s="11">
        <f>IF($V196="No","",ROUND((curve_Base+curve_Slope*D196)*IFERROR(VLOOKUP(E196,rarity_Mult,2,FALSE),1),2))</f>
      </c>
      <c r="Z196" s="11">
        <f>IF(OR(W196="",Y196=""),"",ROUND(W196-Y196,2))</f>
      </c>
      <c r="AA196" s="0">
        <f>IF(Z196="","",IF($V196="Partial","RIDER",IF(ABS(Z196)&lt;=Y196*tol_Pct,"OK",IF(Z196&gt;0,"OVER","UNDER"))))</f>
      </c>
      <c r="AB196" s="0" t="s">
        <v>34</v>
      </c>
      <c r="AC196" s="0">
        <f>IF(AND($V196&lt;&gt;"No",$E196="Common",NOT(ISNUMBER(SEARCH("Ideas",$F196)))),$W196,NA())</f>
      </c>
      <c r="AD196" s="0">
        <f>IF(AND($V196&lt;&gt;"No",$E196="Uncommon",NOT(ISNUMBER(SEARCH("Ideas",$F196)))),$W196,NA())</f>
      </c>
      <c r="AE196" s="0">
        <f>IF(AND($V196&lt;&gt;"No",$E196="Rare",NOT(ISNUMBER(SEARCH("Ideas",$F196)))),$W196,NA())</f>
      </c>
      <c r="AF196" s="0">
        <f>IF(AND($V196&lt;&gt;"No",$E196="Legendary",NOT(ISNUMBER(SEARCH("Ideas",$F196)))),$W196,NA())</f>
      </c>
      <c r="AG196" s="0">
        <f>IF(AND($V196&lt;&gt;"No",ISNUMBER(SEARCH("Knight",$C196)),NOT(ISNUMBER(SEARCH("Ideas",$F196)))),$X196,NA())</f>
      </c>
      <c r="AH196" s="0">
        <f>IF(AND($V196&lt;&gt;"No",ISNUMBER(SEARCH("Mage",$C196)),NOT(ISNUMBER(SEARCH("Ideas",$F196)))),$X196,NA())</f>
      </c>
      <c r="AI196" s="0">
        <f>IF(AND($V196&lt;&gt;"No",ISNUMBER(SEARCH("Rogue",$C196)),NOT(ISNUMBER(SEARCH("Ideas",$F196)))),$X196,NA())</f>
      </c>
      <c r="AJ196" s="0">
        <f>IF($V196&lt;&gt;"No",$Y196,NA())</f>
      </c>
      <c r="AK196" s="0">
        <f>IF(AND($V196&lt;&gt;"No",ISNUMBER(SEARCH("Ideas",$F196))),$W196,NA())</f>
      </c>
      <c r="AL196" s="0">
        <f>IF(AND($V196&lt;&gt;"No",ISNUMBER(SEARCH("Cleric",$C196)),NOT(ISNUMBER(SEARCH("Ideas",$F196)))),$X196,NA())</f>
      </c>
    </row>
    <row r="197">
      <c r="A197" s="0" t="s">
        <v>843</v>
      </c>
      <c r="B197" s="0" t="s">
        <v>842</v>
      </c>
      <c r="C197" s="0" t="s">
        <v>393</v>
      </c>
      <c r="D197" s="0">
        <v>0</v>
      </c>
      <c r="E197" s="0" t="s">
        <v>174</v>
      </c>
      <c r="F197" s="0" t="s">
        <v>1974</v>
      </c>
      <c r="G197" s="0">
        <v>1</v>
      </c>
      <c r="H197" s="0">
        <v>1</v>
      </c>
      <c r="I197" s="0">
        <v>0</v>
      </c>
      <c r="J197" s="0">
        <v>0</v>
      </c>
      <c r="K197" s="0">
        <v>0</v>
      </c>
      <c r="L197" s="0">
        <v>0</v>
      </c>
      <c r="M197" s="0">
        <v>0</v>
      </c>
      <c r="N197" s="0">
        <v>0</v>
      </c>
      <c r="O197" s="0">
        <v>0</v>
      </c>
      <c r="P197" s="0">
        <v>0</v>
      </c>
      <c r="Q197" s="0">
        <v>0</v>
      </c>
      <c r="R197" s="0">
        <v>0</v>
      </c>
      <c r="S197" s="0">
        <v>0</v>
      </c>
      <c r="T197" s="0" t="s">
        <v>199</v>
      </c>
      <c r="U197" s="0" t="s">
        <v>199</v>
      </c>
      <c r="V197" s="0" t="s">
        <v>1407</v>
      </c>
      <c r="W197" s="11">
        <f>IF($V197="No","",ROUND((I197*w_Damage + N197*w_Poison + P197*w_Weaken*w_Horizon)*MIN(1+(G197-1)*w_OccEnemy,w_MaxEnemies) + (J197*w_Heal + K197*w_Shield + L197*w_Block + M197*w_Parry + O197*w_Strength*w_Horizon + S197*w_Combo)*MIN(1+(H197-1)*w_OccAlly,w_MaxAllies) + Q197*w_Draw + R197*w_Move,2))</f>
      </c>
      <c r="X197" s="11">
        <f>IF(W197="","",ROUND(W197/MAX(D197,1),2))</f>
      </c>
      <c r="Y197" s="11">
        <f>IF($V197="No","",ROUND((curve_Base+curve_Slope*D197)*IFERROR(VLOOKUP(E197,rarity_Mult,2,FALSE),1),2))</f>
      </c>
      <c r="Z197" s="11">
        <f>IF(OR(W197="",Y197=""),"",ROUND(W197-Y197,2))</f>
      </c>
      <c r="AA197" s="0">
        <f>IF(Z197="","",IF($V197="Partial","RIDER",IF(ABS(Z197)&lt;=Y197*tol_Pct,"OK",IF(Z197&gt;0,"OVER","UNDER"))))</f>
      </c>
      <c r="AB197" s="0" t="s">
        <v>34</v>
      </c>
      <c r="AC197" s="0">
        <f>IF(AND($V197&lt;&gt;"No",$E197="Common",NOT(ISNUMBER(SEARCH("Ideas",$F197)))),$W197,NA())</f>
      </c>
      <c r="AD197" s="0">
        <f>IF(AND($V197&lt;&gt;"No",$E197="Uncommon",NOT(ISNUMBER(SEARCH("Ideas",$F197)))),$W197,NA())</f>
      </c>
      <c r="AE197" s="0">
        <f>IF(AND($V197&lt;&gt;"No",$E197="Rare",NOT(ISNUMBER(SEARCH("Ideas",$F197)))),$W197,NA())</f>
      </c>
      <c r="AF197" s="0">
        <f>IF(AND($V197&lt;&gt;"No",$E197="Legendary",NOT(ISNUMBER(SEARCH("Ideas",$F197)))),$W197,NA())</f>
      </c>
      <c r="AG197" s="0">
        <f>IF(AND($V197&lt;&gt;"No",ISNUMBER(SEARCH("Knight",$C197)),NOT(ISNUMBER(SEARCH("Ideas",$F197)))),$X197,NA())</f>
      </c>
      <c r="AH197" s="0">
        <f>IF(AND($V197&lt;&gt;"No",ISNUMBER(SEARCH("Mage",$C197)),NOT(ISNUMBER(SEARCH("Ideas",$F197)))),$X197,NA())</f>
      </c>
      <c r="AI197" s="0">
        <f>IF(AND($V197&lt;&gt;"No",ISNUMBER(SEARCH("Rogue",$C197)),NOT(ISNUMBER(SEARCH("Ideas",$F197)))),$X197,NA())</f>
      </c>
      <c r="AJ197" s="0">
        <f>IF($V197&lt;&gt;"No",$Y197,NA())</f>
      </c>
      <c r="AK197" s="0">
        <f>IF(AND($V197&lt;&gt;"No",ISNUMBER(SEARCH("Ideas",$F197))),$W197,NA())</f>
      </c>
      <c r="AL197" s="0">
        <f>IF(AND($V197&lt;&gt;"No",ISNUMBER(SEARCH("Cleric",$C197)),NOT(ISNUMBER(SEARCH("Ideas",$F197)))),$X197,NA())</f>
      </c>
    </row>
    <row r="198">
      <c r="A198" s="0" t="s">
        <v>848</v>
      </c>
      <c r="B198" s="0" t="s">
        <v>846</v>
      </c>
      <c r="C198" s="0" t="s">
        <v>393</v>
      </c>
      <c r="D198" s="0">
        <v>1</v>
      </c>
      <c r="E198" s="0" t="s">
        <v>174</v>
      </c>
      <c r="F198" s="0" t="s">
        <v>1974</v>
      </c>
      <c r="G198" s="0">
        <v>9</v>
      </c>
      <c r="H198" s="0">
        <v>1</v>
      </c>
      <c r="I198" s="0">
        <v>7</v>
      </c>
      <c r="J198" s="0">
        <v>0</v>
      </c>
      <c r="K198" s="0">
        <v>0</v>
      </c>
      <c r="L198" s="0">
        <v>0</v>
      </c>
      <c r="M198" s="0">
        <v>0</v>
      </c>
      <c r="N198" s="0">
        <v>0</v>
      </c>
      <c r="O198" s="0">
        <v>0</v>
      </c>
      <c r="P198" s="0">
        <v>0</v>
      </c>
      <c r="Q198" s="0">
        <v>0</v>
      </c>
      <c r="R198" s="0">
        <v>0</v>
      </c>
      <c r="S198" s="0">
        <v>0</v>
      </c>
      <c r="T198" s="0" t="s">
        <v>34</v>
      </c>
      <c r="U198" s="0" t="s">
        <v>34</v>
      </c>
      <c r="V198" s="0" t="s">
        <v>882</v>
      </c>
      <c r="W198" s="11">
        <f>IF($V198="No","",ROUND((I198*w_Damage + N198*w_Poison + P198*w_Weaken*w_Horizon)*MIN(1+(G198-1)*w_OccEnemy,w_MaxEnemies) + (J198*w_Heal + K198*w_Shield + L198*w_Block + M198*w_Parry + O198*w_Strength*w_Horizon + S198*w_Combo)*MIN(1+(H198-1)*w_OccAlly,w_MaxAllies) + Q198*w_Draw + R198*w_Move,2))</f>
      </c>
      <c r="X198" s="11">
        <f>IF(W198="","",ROUND(W198/MAX(D198,1),2))</f>
      </c>
      <c r="Y198" s="11">
        <f>IF($V198="No","",ROUND((curve_Base+curve_Slope*D198)*IFERROR(VLOOKUP(E198,rarity_Mult,2,FALSE),1),2))</f>
      </c>
      <c r="Z198" s="11">
        <f>IF(OR(W198="",Y198=""),"",ROUND(W198-Y198,2))</f>
      </c>
      <c r="AA198" s="0">
        <f>IF(Z198="","",IF($V198="Partial","RIDER",IF(ABS(Z198)&lt;=Y198*tol_Pct,"OK",IF(Z198&gt;0,"OVER","UNDER"))))</f>
      </c>
      <c r="AB198" s="0" t="s">
        <v>34</v>
      </c>
      <c r="AC198" s="0">
        <f>IF(AND($V198&lt;&gt;"No",$E198="Common",NOT(ISNUMBER(SEARCH("Ideas",$F198)))),$W198,NA())</f>
      </c>
      <c r="AD198" s="0">
        <f>IF(AND($V198&lt;&gt;"No",$E198="Uncommon",NOT(ISNUMBER(SEARCH("Ideas",$F198)))),$W198,NA())</f>
      </c>
      <c r="AE198" s="0">
        <f>IF(AND($V198&lt;&gt;"No",$E198="Rare",NOT(ISNUMBER(SEARCH("Ideas",$F198)))),$W198,NA())</f>
      </c>
      <c r="AF198" s="0">
        <f>IF(AND($V198&lt;&gt;"No",$E198="Legendary",NOT(ISNUMBER(SEARCH("Ideas",$F198)))),$W198,NA())</f>
      </c>
      <c r="AG198" s="0">
        <f>IF(AND($V198&lt;&gt;"No",ISNUMBER(SEARCH("Knight",$C198)),NOT(ISNUMBER(SEARCH("Ideas",$F198)))),$X198,NA())</f>
      </c>
      <c r="AH198" s="0">
        <f>IF(AND($V198&lt;&gt;"No",ISNUMBER(SEARCH("Mage",$C198)),NOT(ISNUMBER(SEARCH("Ideas",$F198)))),$X198,NA())</f>
      </c>
      <c r="AI198" s="0">
        <f>IF(AND($V198&lt;&gt;"No",ISNUMBER(SEARCH("Rogue",$C198)),NOT(ISNUMBER(SEARCH("Ideas",$F198)))),$X198,NA())</f>
      </c>
      <c r="AJ198" s="0">
        <f>IF($V198&lt;&gt;"No",$Y198,NA())</f>
      </c>
      <c r="AK198" s="0">
        <f>IF(AND($V198&lt;&gt;"No",ISNUMBER(SEARCH("Ideas",$F198))),$W198,NA())</f>
      </c>
      <c r="AL198" s="0">
        <f>IF(AND($V198&lt;&gt;"No",ISNUMBER(SEARCH("Cleric",$C198)),NOT(ISNUMBER(SEARCH("Ideas",$F198)))),$X198,NA())</f>
      </c>
    </row>
    <row r="199">
      <c r="A199" s="0" t="s">
        <v>852</v>
      </c>
      <c r="B199" s="0" t="s">
        <v>850</v>
      </c>
      <c r="C199" s="0" t="s">
        <v>393</v>
      </c>
      <c r="D199" s="0">
        <v>1</v>
      </c>
      <c r="E199" s="0" t="s">
        <v>174</v>
      </c>
      <c r="F199" s="0" t="s">
        <v>1974</v>
      </c>
      <c r="G199" s="0">
        <v>1</v>
      </c>
      <c r="H199" s="0">
        <v>1</v>
      </c>
      <c r="I199" s="0">
        <v>4</v>
      </c>
      <c r="J199" s="0">
        <v>0</v>
      </c>
      <c r="K199" s="0">
        <v>10</v>
      </c>
      <c r="L199" s="0">
        <v>0</v>
      </c>
      <c r="M199" s="0">
        <v>0</v>
      </c>
      <c r="N199" s="0">
        <v>0</v>
      </c>
      <c r="O199" s="0">
        <v>0</v>
      </c>
      <c r="P199" s="0">
        <v>0</v>
      </c>
      <c r="Q199" s="0">
        <v>0</v>
      </c>
      <c r="R199" s="0">
        <v>0</v>
      </c>
      <c r="S199" s="0">
        <v>0</v>
      </c>
      <c r="T199" s="0" t="s">
        <v>34</v>
      </c>
      <c r="U199" s="0" t="s">
        <v>34</v>
      </c>
      <c r="V199" s="0" t="s">
        <v>882</v>
      </c>
      <c r="W199" s="11">
        <f>IF($V199="No","",ROUND((I199*w_Damage + N199*w_Poison + P199*w_Weaken*w_Horizon)*MIN(1+(G199-1)*w_OccEnemy,w_MaxEnemies) + (J199*w_Heal + K199*w_Shield + L199*w_Block + M199*w_Parry + O199*w_Strength*w_Horizon + S199*w_Combo)*MIN(1+(H199-1)*w_OccAlly,w_MaxAllies) + Q199*w_Draw + R199*w_Move,2))</f>
      </c>
      <c r="X199" s="11">
        <f>IF(W199="","",ROUND(W199/MAX(D199,1),2))</f>
      </c>
      <c r="Y199" s="11">
        <f>IF($V199="No","",ROUND((curve_Base+curve_Slope*D199)*IFERROR(VLOOKUP(E199,rarity_Mult,2,FALSE),1),2))</f>
      </c>
      <c r="Z199" s="11">
        <f>IF(OR(W199="",Y199=""),"",ROUND(W199-Y199,2))</f>
      </c>
      <c r="AA199" s="0">
        <f>IF(Z199="","",IF($V199="Partial","RIDER",IF(ABS(Z199)&lt;=Y199*tol_Pct,"OK",IF(Z199&gt;0,"OVER","UNDER"))))</f>
      </c>
      <c r="AB199" s="0" t="s">
        <v>34</v>
      </c>
      <c r="AC199" s="0">
        <f>IF(AND($V199&lt;&gt;"No",$E199="Common",NOT(ISNUMBER(SEARCH("Ideas",$F199)))),$W199,NA())</f>
      </c>
      <c r="AD199" s="0">
        <f>IF(AND($V199&lt;&gt;"No",$E199="Uncommon",NOT(ISNUMBER(SEARCH("Ideas",$F199)))),$W199,NA())</f>
      </c>
      <c r="AE199" s="0">
        <f>IF(AND($V199&lt;&gt;"No",$E199="Rare",NOT(ISNUMBER(SEARCH("Ideas",$F199)))),$W199,NA())</f>
      </c>
      <c r="AF199" s="0">
        <f>IF(AND($V199&lt;&gt;"No",$E199="Legendary",NOT(ISNUMBER(SEARCH("Ideas",$F199)))),$W199,NA())</f>
      </c>
      <c r="AG199" s="0">
        <f>IF(AND($V199&lt;&gt;"No",ISNUMBER(SEARCH("Knight",$C199)),NOT(ISNUMBER(SEARCH("Ideas",$F199)))),$X199,NA())</f>
      </c>
      <c r="AH199" s="0">
        <f>IF(AND($V199&lt;&gt;"No",ISNUMBER(SEARCH("Mage",$C199)),NOT(ISNUMBER(SEARCH("Ideas",$F199)))),$X199,NA())</f>
      </c>
      <c r="AI199" s="0">
        <f>IF(AND($V199&lt;&gt;"No",ISNUMBER(SEARCH("Rogue",$C199)),NOT(ISNUMBER(SEARCH("Ideas",$F199)))),$X199,NA())</f>
      </c>
      <c r="AJ199" s="0">
        <f>IF($V199&lt;&gt;"No",$Y199,NA())</f>
      </c>
      <c r="AK199" s="0">
        <f>IF(AND($V199&lt;&gt;"No",ISNUMBER(SEARCH("Ideas",$F199))),$W199,NA())</f>
      </c>
      <c r="AL199" s="0">
        <f>IF(AND($V199&lt;&gt;"No",ISNUMBER(SEARCH("Cleric",$C199)),NOT(ISNUMBER(SEARCH("Ideas",$F199)))),$X199,NA())</f>
      </c>
    </row>
    <row r="200">
      <c r="A200" s="0" t="s">
        <v>856</v>
      </c>
      <c r="B200" s="0" t="s">
        <v>854</v>
      </c>
      <c r="C200" s="0" t="s">
        <v>393</v>
      </c>
      <c r="D200" s="0">
        <v>1</v>
      </c>
      <c r="E200" s="0" t="s">
        <v>174</v>
      </c>
      <c r="F200" s="0" t="s">
        <v>1974</v>
      </c>
      <c r="G200" s="0">
        <v>1</v>
      </c>
      <c r="H200" s="0">
        <v>1</v>
      </c>
      <c r="I200" s="0">
        <v>3</v>
      </c>
      <c r="J200" s="0">
        <v>0</v>
      </c>
      <c r="K200" s="0">
        <v>5</v>
      </c>
      <c r="L200" s="0">
        <v>0</v>
      </c>
      <c r="M200" s="0">
        <v>0</v>
      </c>
      <c r="N200" s="0">
        <v>0</v>
      </c>
      <c r="O200" s="0">
        <v>0</v>
      </c>
      <c r="P200" s="0">
        <v>0</v>
      </c>
      <c r="Q200" s="0">
        <v>0</v>
      </c>
      <c r="R200" s="0">
        <v>0</v>
      </c>
      <c r="S200" s="0">
        <v>0</v>
      </c>
      <c r="T200" s="0" t="s">
        <v>34</v>
      </c>
      <c r="U200" s="0" t="s">
        <v>34</v>
      </c>
      <c r="V200" s="0" t="s">
        <v>882</v>
      </c>
      <c r="W200" s="11">
        <f>IF($V200="No","",ROUND((I200*w_Damage + N200*w_Poison + P200*w_Weaken*w_Horizon)*MIN(1+(G200-1)*w_OccEnemy,w_MaxEnemies) + (J200*w_Heal + K200*w_Shield + L200*w_Block + M200*w_Parry + O200*w_Strength*w_Horizon + S200*w_Combo)*MIN(1+(H200-1)*w_OccAlly,w_MaxAllies) + Q200*w_Draw + R200*w_Move,2))</f>
      </c>
      <c r="X200" s="11">
        <f>IF(W200="","",ROUND(W200/MAX(D200,1),2))</f>
      </c>
      <c r="Y200" s="11">
        <f>IF($V200="No","",ROUND((curve_Base+curve_Slope*D200)*IFERROR(VLOOKUP(E200,rarity_Mult,2,FALSE),1),2))</f>
      </c>
      <c r="Z200" s="11">
        <f>IF(OR(W200="",Y200=""),"",ROUND(W200-Y200,2))</f>
      </c>
      <c r="AA200" s="0">
        <f>IF(Z200="","",IF($V200="Partial","RIDER",IF(ABS(Z200)&lt;=Y200*tol_Pct,"OK",IF(Z200&gt;0,"OVER","UNDER"))))</f>
      </c>
      <c r="AB200" s="0" t="s">
        <v>34</v>
      </c>
      <c r="AC200" s="0">
        <f>IF(AND($V200&lt;&gt;"No",$E200="Common",NOT(ISNUMBER(SEARCH("Ideas",$F200)))),$W200,NA())</f>
      </c>
      <c r="AD200" s="0">
        <f>IF(AND($V200&lt;&gt;"No",$E200="Uncommon",NOT(ISNUMBER(SEARCH("Ideas",$F200)))),$W200,NA())</f>
      </c>
      <c r="AE200" s="0">
        <f>IF(AND($V200&lt;&gt;"No",$E200="Rare",NOT(ISNUMBER(SEARCH("Ideas",$F200)))),$W200,NA())</f>
      </c>
      <c r="AF200" s="0">
        <f>IF(AND($V200&lt;&gt;"No",$E200="Legendary",NOT(ISNUMBER(SEARCH("Ideas",$F200)))),$W200,NA())</f>
      </c>
      <c r="AG200" s="0">
        <f>IF(AND($V200&lt;&gt;"No",ISNUMBER(SEARCH("Knight",$C200)),NOT(ISNUMBER(SEARCH("Ideas",$F200)))),$X200,NA())</f>
      </c>
      <c r="AH200" s="0">
        <f>IF(AND($V200&lt;&gt;"No",ISNUMBER(SEARCH("Mage",$C200)),NOT(ISNUMBER(SEARCH("Ideas",$F200)))),$X200,NA())</f>
      </c>
      <c r="AI200" s="0">
        <f>IF(AND($V200&lt;&gt;"No",ISNUMBER(SEARCH("Rogue",$C200)),NOT(ISNUMBER(SEARCH("Ideas",$F200)))),$X200,NA())</f>
      </c>
      <c r="AJ200" s="0">
        <f>IF($V200&lt;&gt;"No",$Y200,NA())</f>
      </c>
      <c r="AK200" s="0">
        <f>IF(AND($V200&lt;&gt;"No",ISNUMBER(SEARCH("Ideas",$F200))),$W200,NA())</f>
      </c>
      <c r="AL200" s="0">
        <f>IF(AND($V200&lt;&gt;"No",ISNUMBER(SEARCH("Cleric",$C200)),NOT(ISNUMBER(SEARCH("Ideas",$F200)))),$X200,NA())</f>
      </c>
    </row>
    <row r="201">
      <c r="A201" s="0" t="s">
        <v>861</v>
      </c>
      <c r="B201" s="0" t="s">
        <v>859</v>
      </c>
      <c r="C201" s="0" t="s">
        <v>393</v>
      </c>
      <c r="D201" s="0">
        <v>1</v>
      </c>
      <c r="E201" s="0" t="s">
        <v>174</v>
      </c>
      <c r="F201" s="0" t="s">
        <v>1974</v>
      </c>
      <c r="G201" s="0">
        <v>1</v>
      </c>
      <c r="H201" s="0">
        <v>1</v>
      </c>
      <c r="I201" s="0">
        <v>3</v>
      </c>
      <c r="J201" s="0">
        <v>0</v>
      </c>
      <c r="K201" s="0">
        <v>0</v>
      </c>
      <c r="L201" s="0">
        <v>0</v>
      </c>
      <c r="M201" s="0">
        <v>0</v>
      </c>
      <c r="N201" s="0">
        <v>0</v>
      </c>
      <c r="O201" s="0">
        <v>0</v>
      </c>
      <c r="P201" s="0">
        <v>0</v>
      </c>
      <c r="Q201" s="0">
        <v>0</v>
      </c>
      <c r="R201" s="0">
        <v>0</v>
      </c>
      <c r="S201" s="0">
        <v>0</v>
      </c>
      <c r="T201" s="0" t="s">
        <v>34</v>
      </c>
      <c r="U201" s="0" t="s">
        <v>178</v>
      </c>
      <c r="V201" s="0" t="s">
        <v>882</v>
      </c>
      <c r="W201" s="11">
        <f>IF($V201="No","",ROUND((I201*w_Damage + N201*w_Poison + P201*w_Weaken*w_Horizon)*MIN(1+(G201-1)*w_OccEnemy,w_MaxEnemies) + (J201*w_Heal + K201*w_Shield + L201*w_Block + M201*w_Parry + O201*w_Strength*w_Horizon + S201*w_Combo)*MIN(1+(H201-1)*w_OccAlly,w_MaxAllies) + Q201*w_Draw + R201*w_Move,2))</f>
      </c>
      <c r="X201" s="11">
        <f>IF(W201="","",ROUND(W201/MAX(D201,1),2))</f>
      </c>
      <c r="Y201" s="11">
        <f>IF($V201="No","",ROUND((curve_Base+curve_Slope*D201)*IFERROR(VLOOKUP(E201,rarity_Mult,2,FALSE),1),2))</f>
      </c>
      <c r="Z201" s="11">
        <f>IF(OR(W201="",Y201=""),"",ROUND(W201-Y201,2))</f>
      </c>
      <c r="AA201" s="0">
        <f>IF(Z201="","",IF($V201="Partial","RIDER",IF(ABS(Z201)&lt;=Y201*tol_Pct,"OK",IF(Z201&gt;0,"OVER","UNDER"))))</f>
      </c>
      <c r="AB201" s="0" t="s">
        <v>34</v>
      </c>
      <c r="AC201" s="0">
        <f>IF(AND($V201&lt;&gt;"No",$E201="Common",NOT(ISNUMBER(SEARCH("Ideas",$F201)))),$W201,NA())</f>
      </c>
      <c r="AD201" s="0">
        <f>IF(AND($V201&lt;&gt;"No",$E201="Uncommon",NOT(ISNUMBER(SEARCH("Ideas",$F201)))),$W201,NA())</f>
      </c>
      <c r="AE201" s="0">
        <f>IF(AND($V201&lt;&gt;"No",$E201="Rare",NOT(ISNUMBER(SEARCH("Ideas",$F201)))),$W201,NA())</f>
      </c>
      <c r="AF201" s="0">
        <f>IF(AND($V201&lt;&gt;"No",$E201="Legendary",NOT(ISNUMBER(SEARCH("Ideas",$F201)))),$W201,NA())</f>
      </c>
      <c r="AG201" s="0">
        <f>IF(AND($V201&lt;&gt;"No",ISNUMBER(SEARCH("Knight",$C201)),NOT(ISNUMBER(SEARCH("Ideas",$F201)))),$X201,NA())</f>
      </c>
      <c r="AH201" s="0">
        <f>IF(AND($V201&lt;&gt;"No",ISNUMBER(SEARCH("Mage",$C201)),NOT(ISNUMBER(SEARCH("Ideas",$F201)))),$X201,NA())</f>
      </c>
      <c r="AI201" s="0">
        <f>IF(AND($V201&lt;&gt;"No",ISNUMBER(SEARCH("Rogue",$C201)),NOT(ISNUMBER(SEARCH("Ideas",$F201)))),$X201,NA())</f>
      </c>
      <c r="AJ201" s="0">
        <f>IF($V201&lt;&gt;"No",$Y201,NA())</f>
      </c>
      <c r="AK201" s="0">
        <f>IF(AND($V201&lt;&gt;"No",ISNUMBER(SEARCH("Ideas",$F201))),$W201,NA())</f>
      </c>
      <c r="AL201" s="0">
        <f>IF(AND($V201&lt;&gt;"No",ISNUMBER(SEARCH("Cleric",$C201)),NOT(ISNUMBER(SEARCH("Ideas",$F201)))),$X201,NA())</f>
      </c>
    </row>
    <row r="202">
      <c r="A202" s="0" t="s">
        <v>864</v>
      </c>
      <c r="B202" s="0" t="s">
        <v>864</v>
      </c>
      <c r="C202" s="0" t="s">
        <v>393</v>
      </c>
      <c r="D202" s="0">
        <v>1</v>
      </c>
      <c r="E202" s="0" t="s">
        <v>174</v>
      </c>
      <c r="F202" s="0" t="s">
        <v>1974</v>
      </c>
      <c r="G202" s="0">
        <v>1</v>
      </c>
      <c r="H202" s="0">
        <v>1</v>
      </c>
      <c r="I202" s="0">
        <v>3</v>
      </c>
      <c r="J202" s="0">
        <v>0</v>
      </c>
      <c r="K202" s="0">
        <v>0</v>
      </c>
      <c r="L202" s="0">
        <v>0</v>
      </c>
      <c r="M202" s="0">
        <v>0</v>
      </c>
      <c r="N202" s="0">
        <v>0</v>
      </c>
      <c r="O202" s="0">
        <v>0</v>
      </c>
      <c r="P202" s="0">
        <v>1</v>
      </c>
      <c r="Q202" s="0">
        <v>0</v>
      </c>
      <c r="R202" s="0">
        <v>0</v>
      </c>
      <c r="S202" s="0">
        <v>0</v>
      </c>
      <c r="T202" s="0" t="s">
        <v>34</v>
      </c>
      <c r="U202" s="0" t="s">
        <v>34</v>
      </c>
      <c r="V202" s="0" t="s">
        <v>882</v>
      </c>
      <c r="W202" s="11">
        <f>IF($V202="No","",ROUND((I202*w_Damage + N202*w_Poison + P202*w_Weaken*w_Horizon)*MIN(1+(G202-1)*w_OccEnemy,w_MaxEnemies) + (J202*w_Heal + K202*w_Shield + L202*w_Block + M202*w_Parry + O202*w_Strength*w_Horizon + S202*w_Combo)*MIN(1+(H202-1)*w_OccAlly,w_MaxAllies) + Q202*w_Draw + R202*w_Move,2))</f>
      </c>
      <c r="X202" s="11">
        <f>IF(W202="","",ROUND(W202/MAX(D202,1),2))</f>
      </c>
      <c r="Y202" s="11">
        <f>IF($V202="No","",ROUND((curve_Base+curve_Slope*D202)*IFERROR(VLOOKUP(E202,rarity_Mult,2,FALSE),1),2))</f>
      </c>
      <c r="Z202" s="11">
        <f>IF(OR(W202="",Y202=""),"",ROUND(W202-Y202,2))</f>
      </c>
      <c r="AA202" s="0">
        <f>IF(Z202="","",IF($V202="Partial","RIDER",IF(ABS(Z202)&lt;=Y202*tol_Pct,"OK",IF(Z202&gt;0,"OVER","UNDER"))))</f>
      </c>
      <c r="AB202" s="0" t="s">
        <v>34</v>
      </c>
      <c r="AC202" s="0">
        <f>IF(AND($V202&lt;&gt;"No",$E202="Common",NOT(ISNUMBER(SEARCH("Ideas",$F202)))),$W202,NA())</f>
      </c>
      <c r="AD202" s="0">
        <f>IF(AND($V202&lt;&gt;"No",$E202="Uncommon",NOT(ISNUMBER(SEARCH("Ideas",$F202)))),$W202,NA())</f>
      </c>
      <c r="AE202" s="0">
        <f>IF(AND($V202&lt;&gt;"No",$E202="Rare",NOT(ISNUMBER(SEARCH("Ideas",$F202)))),$W202,NA())</f>
      </c>
      <c r="AF202" s="0">
        <f>IF(AND($V202&lt;&gt;"No",$E202="Legendary",NOT(ISNUMBER(SEARCH("Ideas",$F202)))),$W202,NA())</f>
      </c>
      <c r="AG202" s="0">
        <f>IF(AND($V202&lt;&gt;"No",ISNUMBER(SEARCH("Knight",$C202)),NOT(ISNUMBER(SEARCH("Ideas",$F202)))),$X202,NA())</f>
      </c>
      <c r="AH202" s="0">
        <f>IF(AND($V202&lt;&gt;"No",ISNUMBER(SEARCH("Mage",$C202)),NOT(ISNUMBER(SEARCH("Ideas",$F202)))),$X202,NA())</f>
      </c>
      <c r="AI202" s="0">
        <f>IF(AND($V202&lt;&gt;"No",ISNUMBER(SEARCH("Rogue",$C202)),NOT(ISNUMBER(SEARCH("Ideas",$F202)))),$X202,NA())</f>
      </c>
      <c r="AJ202" s="0">
        <f>IF($V202&lt;&gt;"No",$Y202,NA())</f>
      </c>
      <c r="AK202" s="0">
        <f>IF(AND($V202&lt;&gt;"No",ISNUMBER(SEARCH("Ideas",$F202))),$W202,NA())</f>
      </c>
      <c r="AL202" s="0">
        <f>IF(AND($V202&lt;&gt;"No",ISNUMBER(SEARCH("Cleric",$C202)),NOT(ISNUMBER(SEARCH("Ideas",$F202)))),$X202,NA())</f>
      </c>
    </row>
    <row r="203">
      <c r="A203" s="0" t="s">
        <v>870</v>
      </c>
      <c r="B203" s="0" t="s">
        <v>868</v>
      </c>
      <c r="C203" s="0" t="s">
        <v>393</v>
      </c>
      <c r="D203" s="0">
        <v>1</v>
      </c>
      <c r="E203" s="0" t="s">
        <v>174</v>
      </c>
      <c r="F203" s="0" t="s">
        <v>1974</v>
      </c>
      <c r="G203" s="0">
        <v>9</v>
      </c>
      <c r="H203" s="0">
        <v>1</v>
      </c>
      <c r="I203" s="0">
        <v>3</v>
      </c>
      <c r="J203" s="0">
        <v>0</v>
      </c>
      <c r="K203" s="0">
        <v>0</v>
      </c>
      <c r="L203" s="0">
        <v>0</v>
      </c>
      <c r="M203" s="0">
        <v>0</v>
      </c>
      <c r="N203" s="0">
        <v>0</v>
      </c>
      <c r="O203" s="0">
        <v>0</v>
      </c>
      <c r="P203" s="0">
        <v>1</v>
      </c>
      <c r="Q203" s="0">
        <v>0</v>
      </c>
      <c r="R203" s="0">
        <v>0</v>
      </c>
      <c r="S203" s="0">
        <v>0</v>
      </c>
      <c r="T203" s="0" t="s">
        <v>34</v>
      </c>
      <c r="U203" s="0" t="s">
        <v>34</v>
      </c>
      <c r="V203" s="0" t="s">
        <v>882</v>
      </c>
      <c r="W203" s="11">
        <f>IF($V203="No","",ROUND((I203*w_Damage + N203*w_Poison + P203*w_Weaken*w_Horizon)*MIN(1+(G203-1)*w_OccEnemy,w_MaxEnemies) + (J203*w_Heal + K203*w_Shield + L203*w_Block + M203*w_Parry + O203*w_Strength*w_Horizon + S203*w_Combo)*MIN(1+(H203-1)*w_OccAlly,w_MaxAllies) + Q203*w_Draw + R203*w_Move,2))</f>
      </c>
      <c r="X203" s="11">
        <f>IF(W203="","",ROUND(W203/MAX(D203,1),2))</f>
      </c>
      <c r="Y203" s="11">
        <f>IF($V203="No","",ROUND((curve_Base+curve_Slope*D203)*IFERROR(VLOOKUP(E203,rarity_Mult,2,FALSE),1),2))</f>
      </c>
      <c r="Z203" s="11">
        <f>IF(OR(W203="",Y203=""),"",ROUND(W203-Y203,2))</f>
      </c>
      <c r="AA203" s="0">
        <f>IF(Z203="","",IF($V203="Partial","RIDER",IF(ABS(Z203)&lt;=Y203*tol_Pct,"OK",IF(Z203&gt;0,"OVER","UNDER"))))</f>
      </c>
      <c r="AB203" s="0" t="s">
        <v>34</v>
      </c>
      <c r="AC203" s="0">
        <f>IF(AND($V203&lt;&gt;"No",$E203="Common",NOT(ISNUMBER(SEARCH("Ideas",$F203)))),$W203,NA())</f>
      </c>
      <c r="AD203" s="0">
        <f>IF(AND($V203&lt;&gt;"No",$E203="Uncommon",NOT(ISNUMBER(SEARCH("Ideas",$F203)))),$W203,NA())</f>
      </c>
      <c r="AE203" s="0">
        <f>IF(AND($V203&lt;&gt;"No",$E203="Rare",NOT(ISNUMBER(SEARCH("Ideas",$F203)))),$W203,NA())</f>
      </c>
      <c r="AF203" s="0">
        <f>IF(AND($V203&lt;&gt;"No",$E203="Legendary",NOT(ISNUMBER(SEARCH("Ideas",$F203)))),$W203,NA())</f>
      </c>
      <c r="AG203" s="0">
        <f>IF(AND($V203&lt;&gt;"No",ISNUMBER(SEARCH("Knight",$C203)),NOT(ISNUMBER(SEARCH("Ideas",$F203)))),$X203,NA())</f>
      </c>
      <c r="AH203" s="0">
        <f>IF(AND($V203&lt;&gt;"No",ISNUMBER(SEARCH("Mage",$C203)),NOT(ISNUMBER(SEARCH("Ideas",$F203)))),$X203,NA())</f>
      </c>
      <c r="AI203" s="0">
        <f>IF(AND($V203&lt;&gt;"No",ISNUMBER(SEARCH("Rogue",$C203)),NOT(ISNUMBER(SEARCH("Ideas",$F203)))),$X203,NA())</f>
      </c>
      <c r="AJ203" s="0">
        <f>IF($V203&lt;&gt;"No",$Y203,NA())</f>
      </c>
      <c r="AK203" s="0">
        <f>IF(AND($V203&lt;&gt;"No",ISNUMBER(SEARCH("Ideas",$F203))),$W203,NA())</f>
      </c>
      <c r="AL203" s="0">
        <f>IF(AND($V203&lt;&gt;"No",ISNUMBER(SEARCH("Cleric",$C203)),NOT(ISNUMBER(SEARCH("Ideas",$F203)))),$X203,NA())</f>
      </c>
    </row>
    <row r="204">
      <c r="A204" s="0" t="s">
        <v>874</v>
      </c>
      <c r="B204" s="0" t="s">
        <v>873</v>
      </c>
      <c r="C204" s="0" t="s">
        <v>393</v>
      </c>
      <c r="D204" s="0">
        <v>1</v>
      </c>
      <c r="E204" s="0" t="s">
        <v>174</v>
      </c>
      <c r="F204" s="0" t="s">
        <v>1974</v>
      </c>
      <c r="G204" s="0">
        <v>1</v>
      </c>
      <c r="H204" s="0">
        <v>1</v>
      </c>
      <c r="I204" s="0">
        <v>3</v>
      </c>
      <c r="J204" s="0">
        <v>3</v>
      </c>
      <c r="K204" s="0">
        <v>0</v>
      </c>
      <c r="L204" s="0">
        <v>0</v>
      </c>
      <c r="M204" s="0">
        <v>0</v>
      </c>
      <c r="N204" s="0">
        <v>0</v>
      </c>
      <c r="O204" s="0">
        <v>0</v>
      </c>
      <c r="P204" s="0">
        <v>0</v>
      </c>
      <c r="Q204" s="0">
        <v>0</v>
      </c>
      <c r="R204" s="0">
        <v>0</v>
      </c>
      <c r="S204" s="0">
        <v>0</v>
      </c>
      <c r="T204" s="0" t="s">
        <v>34</v>
      </c>
      <c r="U204" s="0" t="s">
        <v>34</v>
      </c>
      <c r="V204" s="0" t="s">
        <v>882</v>
      </c>
      <c r="W204" s="11">
        <f>IF($V204="No","",ROUND((I204*w_Damage + N204*w_Poison + P204*w_Weaken*w_Horizon)*MIN(1+(G204-1)*w_OccEnemy,w_MaxEnemies) + (J204*w_Heal + K204*w_Shield + L204*w_Block + M204*w_Parry + O204*w_Strength*w_Horizon + S204*w_Combo)*MIN(1+(H204-1)*w_OccAlly,w_MaxAllies) + Q204*w_Draw + R204*w_Move,2))</f>
      </c>
      <c r="X204" s="11">
        <f>IF(W204="","",ROUND(W204/MAX(D204,1),2))</f>
      </c>
      <c r="Y204" s="11">
        <f>IF($V204="No","",ROUND((curve_Base+curve_Slope*D204)*IFERROR(VLOOKUP(E204,rarity_Mult,2,FALSE),1),2))</f>
      </c>
      <c r="Z204" s="11">
        <f>IF(OR(W204="",Y204=""),"",ROUND(W204-Y204,2))</f>
      </c>
      <c r="AA204" s="0">
        <f>IF(Z204="","",IF($V204="Partial","RIDER",IF(ABS(Z204)&lt;=Y204*tol_Pct,"OK",IF(Z204&gt;0,"OVER","UNDER"))))</f>
      </c>
      <c r="AB204" s="0" t="s">
        <v>34</v>
      </c>
      <c r="AC204" s="0">
        <f>IF(AND($V204&lt;&gt;"No",$E204="Common",NOT(ISNUMBER(SEARCH("Ideas",$F204)))),$W204,NA())</f>
      </c>
      <c r="AD204" s="0">
        <f>IF(AND($V204&lt;&gt;"No",$E204="Uncommon",NOT(ISNUMBER(SEARCH("Ideas",$F204)))),$W204,NA())</f>
      </c>
      <c r="AE204" s="0">
        <f>IF(AND($V204&lt;&gt;"No",$E204="Rare",NOT(ISNUMBER(SEARCH("Ideas",$F204)))),$W204,NA())</f>
      </c>
      <c r="AF204" s="0">
        <f>IF(AND($V204&lt;&gt;"No",$E204="Legendary",NOT(ISNUMBER(SEARCH("Ideas",$F204)))),$W204,NA())</f>
      </c>
      <c r="AG204" s="0">
        <f>IF(AND($V204&lt;&gt;"No",ISNUMBER(SEARCH("Knight",$C204)),NOT(ISNUMBER(SEARCH("Ideas",$F204)))),$X204,NA())</f>
      </c>
      <c r="AH204" s="0">
        <f>IF(AND($V204&lt;&gt;"No",ISNUMBER(SEARCH("Mage",$C204)),NOT(ISNUMBER(SEARCH("Ideas",$F204)))),$X204,NA())</f>
      </c>
      <c r="AI204" s="0">
        <f>IF(AND($V204&lt;&gt;"No",ISNUMBER(SEARCH("Rogue",$C204)),NOT(ISNUMBER(SEARCH("Ideas",$F204)))),$X204,NA())</f>
      </c>
      <c r="AJ204" s="0">
        <f>IF($V204&lt;&gt;"No",$Y204,NA())</f>
      </c>
      <c r="AK204" s="0">
        <f>IF(AND($V204&lt;&gt;"No",ISNUMBER(SEARCH("Ideas",$F204))),$W204,NA())</f>
      </c>
      <c r="AL204" s="0">
        <f>IF(AND($V204&lt;&gt;"No",ISNUMBER(SEARCH("Cleric",$C204)),NOT(ISNUMBER(SEARCH("Ideas",$F204)))),$X204,NA())</f>
      </c>
    </row>
    <row r="205">
      <c r="A205" s="0" t="s">
        <v>141</v>
      </c>
      <c r="B205" s="0" t="s">
        <v>141</v>
      </c>
      <c r="C205" s="0" t="s">
        <v>49</v>
      </c>
      <c r="D205" s="0">
        <v>1</v>
      </c>
      <c r="E205" s="0" t="s">
        <v>32</v>
      </c>
      <c r="F205" s="0" t="s">
        <v>1976</v>
      </c>
      <c r="G205" s="0">
        <v>9</v>
      </c>
      <c r="H205" s="0">
        <v>1</v>
      </c>
      <c r="I205" s="0">
        <v>4</v>
      </c>
      <c r="J205" s="0">
        <v>0</v>
      </c>
      <c r="K205" s="0">
        <v>0</v>
      </c>
      <c r="L205" s="0">
        <v>0</v>
      </c>
      <c r="M205" s="0">
        <v>0</v>
      </c>
      <c r="N205" s="0">
        <v>0</v>
      </c>
      <c r="O205" s="0">
        <v>0</v>
      </c>
      <c r="P205" s="0">
        <v>0</v>
      </c>
      <c r="Q205" s="0">
        <v>0</v>
      </c>
      <c r="R205" s="0">
        <v>0</v>
      </c>
      <c r="S205" s="0">
        <v>0</v>
      </c>
      <c r="T205" s="0" t="s">
        <v>34</v>
      </c>
      <c r="U205" s="0" t="s">
        <v>34</v>
      </c>
      <c r="V205" s="0" t="s">
        <v>882</v>
      </c>
      <c r="W205" s="11">
        <f>IF($V205="No","",ROUND((I205*w_Damage + N205*w_Poison + P205*w_Weaken*w_Horizon)*MIN(1+(G205-1)*w_OccEnemy,w_MaxEnemies) + (J205*w_Heal + K205*w_Shield + L205*w_Block + M205*w_Parry + O205*w_Strength*w_Horizon + S205*w_Combo)*MIN(1+(H205-1)*w_OccAlly,w_MaxAllies) + Q205*w_Draw + R205*w_Move,2))</f>
      </c>
      <c r="X205" s="11">
        <f>IF(W205="","",ROUND(W205/MAX(D205,1),2))</f>
      </c>
      <c r="Y205" s="11">
        <f>IF($V205="No","",ROUND((curve_Base+curve_Slope*D205)*IFERROR(VLOOKUP(E205,rarity_Mult,2,FALSE),1),2))</f>
      </c>
      <c r="Z205" s="11">
        <f>IF(OR(W205="",Y205=""),"",ROUND(W205-Y205,2))</f>
      </c>
      <c r="AA205" s="0">
        <f>IF(Z205="","",IF($V205="Partial","RIDER",IF(ABS(Z205)&lt;=Y205*tol_Pct,"OK",IF(Z205&gt;0,"OVER","UNDER"))))</f>
      </c>
      <c r="AB205" s="0" t="s">
        <v>34</v>
      </c>
      <c r="AC205" s="0">
        <f>IF(AND($V205&lt;&gt;"No",$E205="Common",NOT(ISNUMBER(SEARCH("Ideas",$F205)))),$W205,NA())</f>
      </c>
      <c r="AD205" s="0">
        <f>IF(AND($V205&lt;&gt;"No",$E205="Uncommon",NOT(ISNUMBER(SEARCH("Ideas",$F205)))),$W205,NA())</f>
      </c>
      <c r="AE205" s="0">
        <f>IF(AND($V205&lt;&gt;"No",$E205="Rare",NOT(ISNUMBER(SEARCH("Ideas",$F205)))),$W205,NA())</f>
      </c>
      <c r="AF205" s="0">
        <f>IF(AND($V205&lt;&gt;"No",$E205="Legendary",NOT(ISNUMBER(SEARCH("Ideas",$F205)))),$W205,NA())</f>
      </c>
      <c r="AG205" s="0">
        <f>IF(AND($V205&lt;&gt;"No",ISNUMBER(SEARCH("Knight",$C205)),NOT(ISNUMBER(SEARCH("Ideas",$F205)))),$X205,NA())</f>
      </c>
      <c r="AH205" s="0">
        <f>IF(AND($V205&lt;&gt;"No",ISNUMBER(SEARCH("Mage",$C205)),NOT(ISNUMBER(SEARCH("Ideas",$F205)))),$X205,NA())</f>
      </c>
      <c r="AI205" s="0">
        <f>IF(AND($V205&lt;&gt;"No",ISNUMBER(SEARCH("Rogue",$C205)),NOT(ISNUMBER(SEARCH("Ideas",$F205)))),$X205,NA())</f>
      </c>
      <c r="AJ205" s="0">
        <f>IF($V205&lt;&gt;"No",$Y205,NA())</f>
      </c>
      <c r="AK205" s="0">
        <f>IF(AND($V205&lt;&gt;"No",ISNUMBER(SEARCH("Ideas",$F205))),$W205,NA())</f>
      </c>
      <c r="AL205" s="0">
        <f>IF(AND($V205&lt;&gt;"No",ISNUMBER(SEARCH("Cleric",$C205)),NOT(ISNUMBER(SEARCH("Ideas",$F205)))),$X205,NA())</f>
      </c>
    </row>
    <row r="206">
      <c r="A206" s="0" t="s">
        <v>887</v>
      </c>
      <c r="B206" s="0" t="s">
        <v>885</v>
      </c>
      <c r="C206" s="0" t="s">
        <v>49</v>
      </c>
      <c r="D206" s="0">
        <v>2</v>
      </c>
      <c r="E206" s="0" t="s">
        <v>32</v>
      </c>
      <c r="F206" s="0" t="s">
        <v>1976</v>
      </c>
      <c r="G206" s="0">
        <v>1</v>
      </c>
      <c r="H206" s="0">
        <v>1</v>
      </c>
      <c r="I206" s="0">
        <v>0</v>
      </c>
      <c r="J206" s="0">
        <v>0</v>
      </c>
      <c r="K206" s="0">
        <v>7</v>
      </c>
      <c r="L206" s="0">
        <v>10</v>
      </c>
      <c r="M206" s="0">
        <v>0</v>
      </c>
      <c r="N206" s="0">
        <v>0</v>
      </c>
      <c r="O206" s="0">
        <v>0</v>
      </c>
      <c r="P206" s="0">
        <v>0</v>
      </c>
      <c r="Q206" s="0">
        <v>0</v>
      </c>
      <c r="R206" s="0">
        <v>0</v>
      </c>
      <c r="S206" s="0">
        <v>0</v>
      </c>
      <c r="T206" s="0" t="s">
        <v>34</v>
      </c>
      <c r="U206" s="0" t="s">
        <v>34</v>
      </c>
      <c r="V206" s="0" t="s">
        <v>882</v>
      </c>
      <c r="W206" s="11">
        <f>IF($V206="No","",ROUND((I206*w_Damage + N206*w_Poison + P206*w_Weaken*w_Horizon)*MIN(1+(G206-1)*w_OccEnemy,w_MaxEnemies) + (J206*w_Heal + K206*w_Shield + L206*w_Block + M206*w_Parry + O206*w_Strength*w_Horizon + S206*w_Combo)*MIN(1+(H206-1)*w_OccAlly,w_MaxAllies) + Q206*w_Draw + R206*w_Move,2))</f>
      </c>
      <c r="X206" s="11">
        <f>IF(W206="","",ROUND(W206/MAX(D206,1),2))</f>
      </c>
      <c r="Y206" s="11">
        <f>IF($V206="No","",ROUND((curve_Base+curve_Slope*D206)*IFERROR(VLOOKUP(E206,rarity_Mult,2,FALSE),1),2))</f>
      </c>
      <c r="Z206" s="11">
        <f>IF(OR(W206="",Y206=""),"",ROUND(W206-Y206,2))</f>
      </c>
      <c r="AA206" s="0">
        <f>IF(Z206="","",IF($V206="Partial","RIDER",IF(ABS(Z206)&lt;=Y206*tol_Pct,"OK",IF(Z206&gt;0,"OVER","UNDER"))))</f>
      </c>
      <c r="AB206" s="0" t="s">
        <v>34</v>
      </c>
      <c r="AC206" s="0">
        <f>IF(AND($V206&lt;&gt;"No",$E206="Common",NOT(ISNUMBER(SEARCH("Ideas",$F206)))),$W206,NA())</f>
      </c>
      <c r="AD206" s="0">
        <f>IF(AND($V206&lt;&gt;"No",$E206="Uncommon",NOT(ISNUMBER(SEARCH("Ideas",$F206)))),$W206,NA())</f>
      </c>
      <c r="AE206" s="0">
        <f>IF(AND($V206&lt;&gt;"No",$E206="Rare",NOT(ISNUMBER(SEARCH("Ideas",$F206)))),$W206,NA())</f>
      </c>
      <c r="AF206" s="0">
        <f>IF(AND($V206&lt;&gt;"No",$E206="Legendary",NOT(ISNUMBER(SEARCH("Ideas",$F206)))),$W206,NA())</f>
      </c>
      <c r="AG206" s="0">
        <f>IF(AND($V206&lt;&gt;"No",ISNUMBER(SEARCH("Knight",$C206)),NOT(ISNUMBER(SEARCH("Ideas",$F206)))),$X206,NA())</f>
      </c>
      <c r="AH206" s="0">
        <f>IF(AND($V206&lt;&gt;"No",ISNUMBER(SEARCH("Mage",$C206)),NOT(ISNUMBER(SEARCH("Ideas",$F206)))),$X206,NA())</f>
      </c>
      <c r="AI206" s="0">
        <f>IF(AND($V206&lt;&gt;"No",ISNUMBER(SEARCH("Rogue",$C206)),NOT(ISNUMBER(SEARCH("Ideas",$F206)))),$X206,NA())</f>
      </c>
      <c r="AJ206" s="0">
        <f>IF($V206&lt;&gt;"No",$Y206,NA())</f>
      </c>
      <c r="AK206" s="0">
        <f>IF(AND($V206&lt;&gt;"No",ISNUMBER(SEARCH("Ideas",$F206))),$W206,NA())</f>
      </c>
      <c r="AL206" s="0">
        <f>IF(AND($V206&lt;&gt;"No",ISNUMBER(SEARCH("Cleric",$C206)),NOT(ISNUMBER(SEARCH("Ideas",$F206)))),$X206,NA())</f>
      </c>
    </row>
    <row r="207">
      <c r="A207" s="0" t="s">
        <v>890</v>
      </c>
      <c r="B207" s="0" t="s">
        <v>890</v>
      </c>
      <c r="C207" s="0" t="s">
        <v>49</v>
      </c>
      <c r="D207" s="0">
        <v>1</v>
      </c>
      <c r="E207" s="0" t="s">
        <v>81</v>
      </c>
      <c r="F207" s="0" t="s">
        <v>1976</v>
      </c>
      <c r="G207" s="0">
        <v>1</v>
      </c>
      <c r="H207" s="0">
        <v>1</v>
      </c>
      <c r="I207" s="0">
        <v>0</v>
      </c>
      <c r="J207" s="0">
        <v>0</v>
      </c>
      <c r="K207" s="0">
        <v>0</v>
      </c>
      <c r="L207" s="0">
        <v>10</v>
      </c>
      <c r="M207" s="0">
        <v>0</v>
      </c>
      <c r="N207" s="0">
        <v>0</v>
      </c>
      <c r="O207" s="0">
        <v>0</v>
      </c>
      <c r="P207" s="0">
        <v>0</v>
      </c>
      <c r="Q207" s="0">
        <v>0</v>
      </c>
      <c r="R207" s="0">
        <v>0</v>
      </c>
      <c r="S207" s="0">
        <v>0</v>
      </c>
      <c r="T207" s="0" t="s">
        <v>34</v>
      </c>
      <c r="U207" s="0" t="s">
        <v>34</v>
      </c>
      <c r="V207" s="0" t="s">
        <v>882</v>
      </c>
      <c r="W207" s="11">
        <f>IF($V207="No","",ROUND((I207*w_Damage + N207*w_Poison + P207*w_Weaken*w_Horizon)*MIN(1+(G207-1)*w_OccEnemy,w_MaxEnemies) + (J207*w_Heal + K207*w_Shield + L207*w_Block + M207*w_Parry + O207*w_Strength*w_Horizon + S207*w_Combo)*MIN(1+(H207-1)*w_OccAlly,w_MaxAllies) + Q207*w_Draw + R207*w_Move,2))</f>
      </c>
      <c r="X207" s="11">
        <f>IF(W207="","",ROUND(W207/MAX(D207,1),2))</f>
      </c>
      <c r="Y207" s="11">
        <f>IF($V207="No","",ROUND((curve_Base+curve_Slope*D207)*IFERROR(VLOOKUP(E207,rarity_Mult,2,FALSE),1),2))</f>
      </c>
      <c r="Z207" s="11">
        <f>IF(OR(W207="",Y207=""),"",ROUND(W207-Y207,2))</f>
      </c>
      <c r="AA207" s="0">
        <f>IF(Z207="","",IF($V207="Partial","RIDER",IF(ABS(Z207)&lt;=Y207*tol_Pct,"OK",IF(Z207&gt;0,"OVER","UNDER"))))</f>
      </c>
      <c r="AB207" s="0" t="s">
        <v>34</v>
      </c>
      <c r="AC207" s="0">
        <f>IF(AND($V207&lt;&gt;"No",$E207="Common",NOT(ISNUMBER(SEARCH("Ideas",$F207)))),$W207,NA())</f>
      </c>
      <c r="AD207" s="0">
        <f>IF(AND($V207&lt;&gt;"No",$E207="Uncommon",NOT(ISNUMBER(SEARCH("Ideas",$F207)))),$W207,NA())</f>
      </c>
      <c r="AE207" s="0">
        <f>IF(AND($V207&lt;&gt;"No",$E207="Rare",NOT(ISNUMBER(SEARCH("Ideas",$F207)))),$W207,NA())</f>
      </c>
      <c r="AF207" s="0">
        <f>IF(AND($V207&lt;&gt;"No",$E207="Legendary",NOT(ISNUMBER(SEARCH("Ideas",$F207)))),$W207,NA())</f>
      </c>
      <c r="AG207" s="0">
        <f>IF(AND($V207&lt;&gt;"No",ISNUMBER(SEARCH("Knight",$C207)),NOT(ISNUMBER(SEARCH("Ideas",$F207)))),$X207,NA())</f>
      </c>
      <c r="AH207" s="0">
        <f>IF(AND($V207&lt;&gt;"No",ISNUMBER(SEARCH("Mage",$C207)),NOT(ISNUMBER(SEARCH("Ideas",$F207)))),$X207,NA())</f>
      </c>
      <c r="AI207" s="0">
        <f>IF(AND($V207&lt;&gt;"No",ISNUMBER(SEARCH("Rogue",$C207)),NOT(ISNUMBER(SEARCH("Ideas",$F207)))),$X207,NA())</f>
      </c>
      <c r="AJ207" s="0">
        <f>IF($V207&lt;&gt;"No",$Y207,NA())</f>
      </c>
      <c r="AK207" s="0">
        <f>IF(AND($V207&lt;&gt;"No",ISNUMBER(SEARCH("Ideas",$F207))),$W207,NA())</f>
      </c>
      <c r="AL207" s="0">
        <f>IF(AND($V207&lt;&gt;"No",ISNUMBER(SEARCH("Cleric",$C207)),NOT(ISNUMBER(SEARCH("Ideas",$F207)))),$X207,NA())</f>
      </c>
    </row>
    <row r="208">
      <c r="A208" s="0" t="s">
        <v>708</v>
      </c>
      <c r="B208" s="0" t="s">
        <v>708</v>
      </c>
      <c r="C208" s="0" t="s">
        <v>49</v>
      </c>
      <c r="D208" s="0">
        <v>2</v>
      </c>
      <c r="E208" s="0" t="s">
        <v>62</v>
      </c>
      <c r="F208" s="0" t="s">
        <v>1976</v>
      </c>
      <c r="G208" s="0">
        <v>1</v>
      </c>
      <c r="H208" s="0">
        <v>1</v>
      </c>
      <c r="I208" s="0">
        <v>0</v>
      </c>
      <c r="J208" s="0">
        <v>0</v>
      </c>
      <c r="K208" s="0">
        <v>0</v>
      </c>
      <c r="L208" s="0">
        <v>0</v>
      </c>
      <c r="M208" s="0">
        <v>2</v>
      </c>
      <c r="N208" s="0">
        <v>0</v>
      </c>
      <c r="O208" s="0">
        <v>0</v>
      </c>
      <c r="P208" s="0">
        <v>0</v>
      </c>
      <c r="Q208" s="0">
        <v>0</v>
      </c>
      <c r="R208" s="0">
        <v>0</v>
      </c>
      <c r="S208" s="0">
        <v>0</v>
      </c>
      <c r="T208" s="0" t="s">
        <v>34</v>
      </c>
      <c r="U208" s="0" t="s">
        <v>34</v>
      </c>
      <c r="V208" s="0" t="s">
        <v>882</v>
      </c>
      <c r="W208" s="11">
        <f>IF($V208="No","",ROUND((I208*w_Damage + N208*w_Poison + P208*w_Weaken*w_Horizon)*MIN(1+(G208-1)*w_OccEnemy,w_MaxEnemies) + (J208*w_Heal + K208*w_Shield + L208*w_Block + M208*w_Parry + O208*w_Strength*w_Horizon + S208*w_Combo)*MIN(1+(H208-1)*w_OccAlly,w_MaxAllies) + Q208*w_Draw + R208*w_Move,2))</f>
      </c>
      <c r="X208" s="11">
        <f>IF(W208="","",ROUND(W208/MAX(D208,1),2))</f>
      </c>
      <c r="Y208" s="11">
        <f>IF($V208="No","",ROUND((curve_Base+curve_Slope*D208)*IFERROR(VLOOKUP(E208,rarity_Mult,2,FALSE),1),2))</f>
      </c>
      <c r="Z208" s="11">
        <f>IF(OR(W208="",Y208=""),"",ROUND(W208-Y208,2))</f>
      </c>
      <c r="AA208" s="0">
        <f>IF(Z208="","",IF($V208="Partial","RIDER",IF(ABS(Z208)&lt;=Y208*tol_Pct,"OK",IF(Z208&gt;0,"OVER","UNDER"))))</f>
      </c>
      <c r="AB208" s="0" t="s">
        <v>34</v>
      </c>
      <c r="AC208" s="0">
        <f>IF(AND($V208&lt;&gt;"No",$E208="Common",NOT(ISNUMBER(SEARCH("Ideas",$F208)))),$W208,NA())</f>
      </c>
      <c r="AD208" s="0">
        <f>IF(AND($V208&lt;&gt;"No",$E208="Uncommon",NOT(ISNUMBER(SEARCH("Ideas",$F208)))),$W208,NA())</f>
      </c>
      <c r="AE208" s="0">
        <f>IF(AND($V208&lt;&gt;"No",$E208="Rare",NOT(ISNUMBER(SEARCH("Ideas",$F208)))),$W208,NA())</f>
      </c>
      <c r="AF208" s="0">
        <f>IF(AND($V208&lt;&gt;"No",$E208="Legendary",NOT(ISNUMBER(SEARCH("Ideas",$F208)))),$W208,NA())</f>
      </c>
      <c r="AG208" s="0">
        <f>IF(AND($V208&lt;&gt;"No",ISNUMBER(SEARCH("Knight",$C208)),NOT(ISNUMBER(SEARCH("Ideas",$F208)))),$X208,NA())</f>
      </c>
      <c r="AH208" s="0">
        <f>IF(AND($V208&lt;&gt;"No",ISNUMBER(SEARCH("Mage",$C208)),NOT(ISNUMBER(SEARCH("Ideas",$F208)))),$X208,NA())</f>
      </c>
      <c r="AI208" s="0">
        <f>IF(AND($V208&lt;&gt;"No",ISNUMBER(SEARCH("Rogue",$C208)),NOT(ISNUMBER(SEARCH("Ideas",$F208)))),$X208,NA())</f>
      </c>
      <c r="AJ208" s="0">
        <f>IF($V208&lt;&gt;"No",$Y208,NA())</f>
      </c>
      <c r="AK208" s="0">
        <f>IF(AND($V208&lt;&gt;"No",ISNUMBER(SEARCH("Ideas",$F208))),$W208,NA())</f>
      </c>
      <c r="AL208" s="0">
        <f>IF(AND($V208&lt;&gt;"No",ISNUMBER(SEARCH("Cleric",$C208)),NOT(ISNUMBER(SEARCH("Ideas",$F208)))),$X208,NA())</f>
      </c>
    </row>
    <row r="209">
      <c r="A209" s="0" t="s">
        <v>776</v>
      </c>
      <c r="B209" s="0" t="s">
        <v>774</v>
      </c>
      <c r="C209" s="0" t="s">
        <v>49</v>
      </c>
      <c r="D209" s="0">
        <v>2</v>
      </c>
      <c r="E209" s="0" t="s">
        <v>81</v>
      </c>
      <c r="F209" s="0" t="s">
        <v>1976</v>
      </c>
      <c r="G209" s="0">
        <v>1</v>
      </c>
      <c r="H209" s="0">
        <v>1</v>
      </c>
      <c r="I209" s="0">
        <v>12</v>
      </c>
      <c r="J209" s="0">
        <v>0</v>
      </c>
      <c r="K209" s="0">
        <v>0</v>
      </c>
      <c r="L209" s="0">
        <v>0</v>
      </c>
      <c r="M209" s="0">
        <v>0</v>
      </c>
      <c r="N209" s="0">
        <v>0</v>
      </c>
      <c r="O209" s="0">
        <v>0</v>
      </c>
      <c r="P209" s="0">
        <v>0</v>
      </c>
      <c r="Q209" s="0">
        <v>0</v>
      </c>
      <c r="R209" s="0">
        <v>0</v>
      </c>
      <c r="S209" s="0">
        <v>0</v>
      </c>
      <c r="T209" s="0" t="s">
        <v>34</v>
      </c>
      <c r="U209" s="0" t="s">
        <v>34</v>
      </c>
      <c r="V209" s="0" t="s">
        <v>882</v>
      </c>
      <c r="W209" s="11">
        <f>IF($V209="No","",ROUND((I209*w_Damage + N209*w_Poison + P209*w_Weaken*w_Horizon)*MIN(1+(G209-1)*w_OccEnemy,w_MaxEnemies) + (J209*w_Heal + K209*w_Shield + L209*w_Block + M209*w_Parry + O209*w_Strength*w_Horizon + S209*w_Combo)*MIN(1+(H209-1)*w_OccAlly,w_MaxAllies) + Q209*w_Draw + R209*w_Move,2))</f>
      </c>
      <c r="X209" s="11">
        <f>IF(W209="","",ROUND(W209/MAX(D209,1),2))</f>
      </c>
      <c r="Y209" s="11">
        <f>IF($V209="No","",ROUND((curve_Base+curve_Slope*D209)*IFERROR(VLOOKUP(E209,rarity_Mult,2,FALSE),1),2))</f>
      </c>
      <c r="Z209" s="11">
        <f>IF(OR(W209="",Y209=""),"",ROUND(W209-Y209,2))</f>
      </c>
      <c r="AA209" s="0">
        <f>IF(Z209="","",IF($V209="Partial","RIDER",IF(ABS(Z209)&lt;=Y209*tol_Pct,"OK",IF(Z209&gt;0,"OVER","UNDER"))))</f>
      </c>
      <c r="AB209" s="0" t="s">
        <v>34</v>
      </c>
      <c r="AC209" s="0">
        <f>IF(AND($V209&lt;&gt;"No",$E209="Common",NOT(ISNUMBER(SEARCH("Ideas",$F209)))),$W209,NA())</f>
      </c>
      <c r="AD209" s="0">
        <f>IF(AND($V209&lt;&gt;"No",$E209="Uncommon",NOT(ISNUMBER(SEARCH("Ideas",$F209)))),$W209,NA())</f>
      </c>
      <c r="AE209" s="0">
        <f>IF(AND($V209&lt;&gt;"No",$E209="Rare",NOT(ISNUMBER(SEARCH("Ideas",$F209)))),$W209,NA())</f>
      </c>
      <c r="AF209" s="0">
        <f>IF(AND($V209&lt;&gt;"No",$E209="Legendary",NOT(ISNUMBER(SEARCH("Ideas",$F209)))),$W209,NA())</f>
      </c>
      <c r="AG209" s="0">
        <f>IF(AND($V209&lt;&gt;"No",ISNUMBER(SEARCH("Knight",$C209)),NOT(ISNUMBER(SEARCH("Ideas",$F209)))),$X209,NA())</f>
      </c>
      <c r="AH209" s="0">
        <f>IF(AND($V209&lt;&gt;"No",ISNUMBER(SEARCH("Mage",$C209)),NOT(ISNUMBER(SEARCH("Ideas",$F209)))),$X209,NA())</f>
      </c>
      <c r="AI209" s="0">
        <f>IF(AND($V209&lt;&gt;"No",ISNUMBER(SEARCH("Rogue",$C209)),NOT(ISNUMBER(SEARCH("Ideas",$F209)))),$X209,NA())</f>
      </c>
      <c r="AJ209" s="0">
        <f>IF($V209&lt;&gt;"No",$Y209,NA())</f>
      </c>
      <c r="AK209" s="0">
        <f>IF(AND($V209&lt;&gt;"No",ISNUMBER(SEARCH("Ideas",$F209))),$W209,NA())</f>
      </c>
      <c r="AL209" s="0">
        <f>IF(AND($V209&lt;&gt;"No",ISNUMBER(SEARCH("Cleric",$C209)),NOT(ISNUMBER(SEARCH("Ideas",$F209)))),$X209,NA())</f>
      </c>
    </row>
    <row r="210">
      <c r="A210" s="0" t="s">
        <v>895</v>
      </c>
      <c r="B210" s="0" t="s">
        <v>130</v>
      </c>
      <c r="C210" s="0" t="s">
        <v>49</v>
      </c>
      <c r="D210" s="0">
        <v>1</v>
      </c>
      <c r="E210" s="0" t="s">
        <v>32</v>
      </c>
      <c r="F210" s="0" t="s">
        <v>1976</v>
      </c>
      <c r="G210" s="0">
        <v>1</v>
      </c>
      <c r="H210" s="0">
        <v>1</v>
      </c>
      <c r="I210" s="0">
        <v>0</v>
      </c>
      <c r="J210" s="0">
        <v>5</v>
      </c>
      <c r="K210" s="0">
        <v>0</v>
      </c>
      <c r="L210" s="0">
        <v>0</v>
      </c>
      <c r="M210" s="0">
        <v>0</v>
      </c>
      <c r="N210" s="0">
        <v>0</v>
      </c>
      <c r="O210" s="0">
        <v>0</v>
      </c>
      <c r="P210" s="0">
        <v>0</v>
      </c>
      <c r="Q210" s="0">
        <v>0</v>
      </c>
      <c r="R210" s="0">
        <v>0</v>
      </c>
      <c r="S210" s="0">
        <v>0</v>
      </c>
      <c r="T210" s="0" t="s">
        <v>34</v>
      </c>
      <c r="U210" s="0" t="s">
        <v>34</v>
      </c>
      <c r="V210" s="0" t="s">
        <v>882</v>
      </c>
      <c r="W210" s="11">
        <f>IF($V210="No","",ROUND((I210*w_Damage + N210*w_Poison + P210*w_Weaken*w_Horizon)*MIN(1+(G210-1)*w_OccEnemy,w_MaxEnemies) + (J210*w_Heal + K210*w_Shield + L210*w_Block + M210*w_Parry + O210*w_Strength*w_Horizon + S210*w_Combo)*MIN(1+(H210-1)*w_OccAlly,w_MaxAllies) + Q210*w_Draw + R210*w_Move,2))</f>
      </c>
      <c r="X210" s="11">
        <f>IF(W210="","",ROUND(W210/MAX(D210,1),2))</f>
      </c>
      <c r="Y210" s="11">
        <f>IF($V210="No","",ROUND((curve_Base+curve_Slope*D210)*IFERROR(VLOOKUP(E210,rarity_Mult,2,FALSE),1),2))</f>
      </c>
      <c r="Z210" s="11">
        <f>IF(OR(W210="",Y210=""),"",ROUND(W210-Y210,2))</f>
      </c>
      <c r="AA210" s="0">
        <f>IF(Z210="","",IF($V210="Partial","RIDER",IF(ABS(Z210)&lt;=Y210*tol_Pct,"OK",IF(Z210&gt;0,"OVER","UNDER"))))</f>
      </c>
      <c r="AB210" s="0" t="s">
        <v>34</v>
      </c>
      <c r="AC210" s="0">
        <f>IF(AND($V210&lt;&gt;"No",$E210="Common",NOT(ISNUMBER(SEARCH("Ideas",$F210)))),$W210,NA())</f>
      </c>
      <c r="AD210" s="0">
        <f>IF(AND($V210&lt;&gt;"No",$E210="Uncommon",NOT(ISNUMBER(SEARCH("Ideas",$F210)))),$W210,NA())</f>
      </c>
      <c r="AE210" s="0">
        <f>IF(AND($V210&lt;&gt;"No",$E210="Rare",NOT(ISNUMBER(SEARCH("Ideas",$F210)))),$W210,NA())</f>
      </c>
      <c r="AF210" s="0">
        <f>IF(AND($V210&lt;&gt;"No",$E210="Legendary",NOT(ISNUMBER(SEARCH("Ideas",$F210)))),$W210,NA())</f>
      </c>
      <c r="AG210" s="0">
        <f>IF(AND($V210&lt;&gt;"No",ISNUMBER(SEARCH("Knight",$C210)),NOT(ISNUMBER(SEARCH("Ideas",$F210)))),$X210,NA())</f>
      </c>
      <c r="AH210" s="0">
        <f>IF(AND($V210&lt;&gt;"No",ISNUMBER(SEARCH("Mage",$C210)),NOT(ISNUMBER(SEARCH("Ideas",$F210)))),$X210,NA())</f>
      </c>
      <c r="AI210" s="0">
        <f>IF(AND($V210&lt;&gt;"No",ISNUMBER(SEARCH("Rogue",$C210)),NOT(ISNUMBER(SEARCH("Ideas",$F210)))),$X210,NA())</f>
      </c>
      <c r="AJ210" s="0">
        <f>IF($V210&lt;&gt;"No",$Y210,NA())</f>
      </c>
      <c r="AK210" s="0">
        <f>IF(AND($V210&lt;&gt;"No",ISNUMBER(SEARCH("Ideas",$F210))),$W210,NA())</f>
      </c>
      <c r="AL210" s="0">
        <f>IF(AND($V210&lt;&gt;"No",ISNUMBER(SEARCH("Cleric",$C210)),NOT(ISNUMBER(SEARCH("Ideas",$F210)))),$X210,NA())</f>
      </c>
    </row>
    <row r="211">
      <c r="A211" s="0" t="s">
        <v>900</v>
      </c>
      <c r="B211" s="0" t="s">
        <v>898</v>
      </c>
      <c r="C211" s="0" t="s">
        <v>49</v>
      </c>
      <c r="D211" s="0">
        <v>0</v>
      </c>
      <c r="E211" s="0" t="s">
        <v>81</v>
      </c>
      <c r="F211" s="0" t="s">
        <v>1976</v>
      </c>
      <c r="G211" s="0">
        <v>1</v>
      </c>
      <c r="H211" s="0">
        <v>1</v>
      </c>
      <c r="I211" s="0">
        <v>0</v>
      </c>
      <c r="J211" s="0">
        <v>0</v>
      </c>
      <c r="K211" s="0">
        <v>3</v>
      </c>
      <c r="L211" s="0">
        <v>5</v>
      </c>
      <c r="M211" s="0">
        <v>0</v>
      </c>
      <c r="N211" s="0">
        <v>0</v>
      </c>
      <c r="O211" s="0">
        <v>0</v>
      </c>
      <c r="P211" s="0">
        <v>0</v>
      </c>
      <c r="Q211" s="0">
        <v>0</v>
      </c>
      <c r="R211" s="0">
        <v>0</v>
      </c>
      <c r="S211" s="0">
        <v>0</v>
      </c>
      <c r="T211" s="0" t="s">
        <v>34</v>
      </c>
      <c r="U211" s="0" t="s">
        <v>34</v>
      </c>
      <c r="V211" s="0" t="s">
        <v>882</v>
      </c>
      <c r="W211" s="11">
        <f>IF($V211="No","",ROUND((I211*w_Damage + N211*w_Poison + P211*w_Weaken*w_Horizon)*MIN(1+(G211-1)*w_OccEnemy,w_MaxEnemies) + (J211*w_Heal + K211*w_Shield + L211*w_Block + M211*w_Parry + O211*w_Strength*w_Horizon + S211*w_Combo)*MIN(1+(H211-1)*w_OccAlly,w_MaxAllies) + Q211*w_Draw + R211*w_Move,2))</f>
      </c>
      <c r="X211" s="11">
        <f>IF(W211="","",ROUND(W211/MAX(D211,1),2))</f>
      </c>
      <c r="Y211" s="11">
        <f>IF($V211="No","",ROUND((curve_Base+curve_Slope*D211)*IFERROR(VLOOKUP(E211,rarity_Mult,2,FALSE),1),2))</f>
      </c>
      <c r="Z211" s="11">
        <f>IF(OR(W211="",Y211=""),"",ROUND(W211-Y211,2))</f>
      </c>
      <c r="AA211" s="0">
        <f>IF(Z211="","",IF($V211="Partial","RIDER",IF(ABS(Z211)&lt;=Y211*tol_Pct,"OK",IF(Z211&gt;0,"OVER","UNDER"))))</f>
      </c>
      <c r="AB211" s="0" t="s">
        <v>34</v>
      </c>
      <c r="AC211" s="0">
        <f>IF(AND($V211&lt;&gt;"No",$E211="Common",NOT(ISNUMBER(SEARCH("Ideas",$F211)))),$W211,NA())</f>
      </c>
      <c r="AD211" s="0">
        <f>IF(AND($V211&lt;&gt;"No",$E211="Uncommon",NOT(ISNUMBER(SEARCH("Ideas",$F211)))),$W211,NA())</f>
      </c>
      <c r="AE211" s="0">
        <f>IF(AND($V211&lt;&gt;"No",$E211="Rare",NOT(ISNUMBER(SEARCH("Ideas",$F211)))),$W211,NA())</f>
      </c>
      <c r="AF211" s="0">
        <f>IF(AND($V211&lt;&gt;"No",$E211="Legendary",NOT(ISNUMBER(SEARCH("Ideas",$F211)))),$W211,NA())</f>
      </c>
      <c r="AG211" s="0">
        <f>IF(AND($V211&lt;&gt;"No",ISNUMBER(SEARCH("Knight",$C211)),NOT(ISNUMBER(SEARCH("Ideas",$F211)))),$X211,NA())</f>
      </c>
      <c r="AH211" s="0">
        <f>IF(AND($V211&lt;&gt;"No",ISNUMBER(SEARCH("Mage",$C211)),NOT(ISNUMBER(SEARCH("Ideas",$F211)))),$X211,NA())</f>
      </c>
      <c r="AI211" s="0">
        <f>IF(AND($V211&lt;&gt;"No",ISNUMBER(SEARCH("Rogue",$C211)),NOT(ISNUMBER(SEARCH("Ideas",$F211)))),$X211,NA())</f>
      </c>
      <c r="AJ211" s="0">
        <f>IF($V211&lt;&gt;"No",$Y211,NA())</f>
      </c>
      <c r="AK211" s="0">
        <f>IF(AND($V211&lt;&gt;"No",ISNUMBER(SEARCH("Ideas",$F211))),$W211,NA())</f>
      </c>
      <c r="AL211" s="0">
        <f>IF(AND($V211&lt;&gt;"No",ISNUMBER(SEARCH("Cleric",$C211)),NOT(ISNUMBER(SEARCH("Ideas",$F211)))),$X211,NA())</f>
      </c>
    </row>
    <row r="212">
      <c r="A212" s="0" t="s">
        <v>902</v>
      </c>
      <c r="B212" s="0" t="s">
        <v>160</v>
      </c>
      <c r="C212" s="0" t="s">
        <v>49</v>
      </c>
      <c r="D212" s="0">
        <v>2</v>
      </c>
      <c r="E212" s="0" t="s">
        <v>32</v>
      </c>
      <c r="F212" s="0" t="s">
        <v>1976</v>
      </c>
      <c r="G212" s="0">
        <v>1</v>
      </c>
      <c r="H212" s="0">
        <v>1</v>
      </c>
      <c r="I212" s="0">
        <v>5</v>
      </c>
      <c r="J212" s="0">
        <v>0</v>
      </c>
      <c r="K212" s="0">
        <v>5</v>
      </c>
      <c r="L212" s="0">
        <v>0</v>
      </c>
      <c r="M212" s="0">
        <v>0</v>
      </c>
      <c r="N212" s="0">
        <v>0</v>
      </c>
      <c r="O212" s="0">
        <v>0</v>
      </c>
      <c r="P212" s="0">
        <v>0</v>
      </c>
      <c r="Q212" s="0">
        <v>0</v>
      </c>
      <c r="R212" s="0">
        <v>0</v>
      </c>
      <c r="S212" s="0">
        <v>0</v>
      </c>
      <c r="T212" s="0" t="s">
        <v>34</v>
      </c>
      <c r="U212" s="0" t="s">
        <v>34</v>
      </c>
      <c r="V212" s="0" t="s">
        <v>882</v>
      </c>
      <c r="W212" s="11">
        <f>IF($V212="No","",ROUND((I212*w_Damage + N212*w_Poison + P212*w_Weaken*w_Horizon)*MIN(1+(G212-1)*w_OccEnemy,w_MaxEnemies) + (J212*w_Heal + K212*w_Shield + L212*w_Block + M212*w_Parry + O212*w_Strength*w_Horizon + S212*w_Combo)*MIN(1+(H212-1)*w_OccAlly,w_MaxAllies) + Q212*w_Draw + R212*w_Move,2))</f>
      </c>
      <c r="X212" s="11">
        <f>IF(W212="","",ROUND(W212/MAX(D212,1),2))</f>
      </c>
      <c r="Y212" s="11">
        <f>IF($V212="No","",ROUND((curve_Base+curve_Slope*D212)*IFERROR(VLOOKUP(E212,rarity_Mult,2,FALSE),1),2))</f>
      </c>
      <c r="Z212" s="11">
        <f>IF(OR(W212="",Y212=""),"",ROUND(W212-Y212,2))</f>
      </c>
      <c r="AA212" s="0">
        <f>IF(Z212="","",IF($V212="Partial","RIDER",IF(ABS(Z212)&lt;=Y212*tol_Pct,"OK",IF(Z212&gt;0,"OVER","UNDER"))))</f>
      </c>
      <c r="AB212" s="0" t="s">
        <v>34</v>
      </c>
      <c r="AC212" s="0">
        <f>IF(AND($V212&lt;&gt;"No",$E212="Common",NOT(ISNUMBER(SEARCH("Ideas",$F212)))),$W212,NA())</f>
      </c>
      <c r="AD212" s="0">
        <f>IF(AND($V212&lt;&gt;"No",$E212="Uncommon",NOT(ISNUMBER(SEARCH("Ideas",$F212)))),$W212,NA())</f>
      </c>
      <c r="AE212" s="0">
        <f>IF(AND($V212&lt;&gt;"No",$E212="Rare",NOT(ISNUMBER(SEARCH("Ideas",$F212)))),$W212,NA())</f>
      </c>
      <c r="AF212" s="0">
        <f>IF(AND($V212&lt;&gt;"No",$E212="Legendary",NOT(ISNUMBER(SEARCH("Ideas",$F212)))),$W212,NA())</f>
      </c>
      <c r="AG212" s="0">
        <f>IF(AND($V212&lt;&gt;"No",ISNUMBER(SEARCH("Knight",$C212)),NOT(ISNUMBER(SEARCH("Ideas",$F212)))),$X212,NA())</f>
      </c>
      <c r="AH212" s="0">
        <f>IF(AND($V212&lt;&gt;"No",ISNUMBER(SEARCH("Mage",$C212)),NOT(ISNUMBER(SEARCH("Ideas",$F212)))),$X212,NA())</f>
      </c>
      <c r="AI212" s="0">
        <f>IF(AND($V212&lt;&gt;"No",ISNUMBER(SEARCH("Rogue",$C212)),NOT(ISNUMBER(SEARCH("Ideas",$F212)))),$X212,NA())</f>
      </c>
      <c r="AJ212" s="0">
        <f>IF($V212&lt;&gt;"No",$Y212,NA())</f>
      </c>
      <c r="AK212" s="0">
        <f>IF(AND($V212&lt;&gt;"No",ISNUMBER(SEARCH("Ideas",$F212))),$W212,NA())</f>
      </c>
      <c r="AL212" s="0">
        <f>IF(AND($V212&lt;&gt;"No",ISNUMBER(SEARCH("Cleric",$C212)),NOT(ISNUMBER(SEARCH("Ideas",$F212)))),$X212,NA())</f>
      </c>
    </row>
    <row r="213">
      <c r="A213" s="0" t="s">
        <v>909</v>
      </c>
      <c r="B213" s="0" t="s">
        <v>905</v>
      </c>
      <c r="C213" s="0" t="s">
        <v>49</v>
      </c>
      <c r="D213" s="0">
        <v>3</v>
      </c>
      <c r="E213" s="0" t="s">
        <v>62</v>
      </c>
      <c r="F213" s="0" t="s">
        <v>1976</v>
      </c>
      <c r="G213" s="0">
        <v>1</v>
      </c>
      <c r="H213" s="0">
        <v>1</v>
      </c>
      <c r="I213" s="0">
        <v>0</v>
      </c>
      <c r="J213" s="0">
        <v>0</v>
      </c>
      <c r="K213" s="0">
        <v>15</v>
      </c>
      <c r="L213" s="0">
        <v>15</v>
      </c>
      <c r="M213" s="0">
        <v>0</v>
      </c>
      <c r="N213" s="0">
        <v>0</v>
      </c>
      <c r="O213" s="0">
        <v>0</v>
      </c>
      <c r="P213" s="0">
        <v>0</v>
      </c>
      <c r="Q213" s="0">
        <v>0</v>
      </c>
      <c r="R213" s="0">
        <v>0</v>
      </c>
      <c r="S213" s="0">
        <v>0</v>
      </c>
      <c r="T213" s="0" t="s">
        <v>34</v>
      </c>
      <c r="U213" s="0" t="s">
        <v>34</v>
      </c>
      <c r="V213" s="0" t="s">
        <v>882</v>
      </c>
      <c r="W213" s="11">
        <f>IF($V213="No","",ROUND((I213*w_Damage + N213*w_Poison + P213*w_Weaken*w_Horizon)*MIN(1+(G213-1)*w_OccEnemy,w_MaxEnemies) + (J213*w_Heal + K213*w_Shield + L213*w_Block + M213*w_Parry + O213*w_Strength*w_Horizon + S213*w_Combo)*MIN(1+(H213-1)*w_OccAlly,w_MaxAllies) + Q213*w_Draw + R213*w_Move,2))</f>
      </c>
      <c r="X213" s="11">
        <f>IF(W213="","",ROUND(W213/MAX(D213,1),2))</f>
      </c>
      <c r="Y213" s="11">
        <f>IF($V213="No","",ROUND((curve_Base+curve_Slope*D213)*IFERROR(VLOOKUP(E213,rarity_Mult,2,FALSE),1),2))</f>
      </c>
      <c r="Z213" s="11">
        <f>IF(OR(W213="",Y213=""),"",ROUND(W213-Y213,2))</f>
      </c>
      <c r="AA213" s="0">
        <f>IF(Z213="","",IF($V213="Partial","RIDER",IF(ABS(Z213)&lt;=Y213*tol_Pct,"OK",IF(Z213&gt;0,"OVER","UNDER"))))</f>
      </c>
      <c r="AB213" s="0" t="s">
        <v>34</v>
      </c>
      <c r="AC213" s="0">
        <f>IF(AND($V213&lt;&gt;"No",$E213="Common",NOT(ISNUMBER(SEARCH("Ideas",$F213)))),$W213,NA())</f>
      </c>
      <c r="AD213" s="0">
        <f>IF(AND($V213&lt;&gt;"No",$E213="Uncommon",NOT(ISNUMBER(SEARCH("Ideas",$F213)))),$W213,NA())</f>
      </c>
      <c r="AE213" s="0">
        <f>IF(AND($V213&lt;&gt;"No",$E213="Rare",NOT(ISNUMBER(SEARCH("Ideas",$F213)))),$W213,NA())</f>
      </c>
      <c r="AF213" s="0">
        <f>IF(AND($V213&lt;&gt;"No",$E213="Legendary",NOT(ISNUMBER(SEARCH("Ideas",$F213)))),$W213,NA())</f>
      </c>
      <c r="AG213" s="0">
        <f>IF(AND($V213&lt;&gt;"No",ISNUMBER(SEARCH("Knight",$C213)),NOT(ISNUMBER(SEARCH("Ideas",$F213)))),$X213,NA())</f>
      </c>
      <c r="AH213" s="0">
        <f>IF(AND($V213&lt;&gt;"No",ISNUMBER(SEARCH("Mage",$C213)),NOT(ISNUMBER(SEARCH("Ideas",$F213)))),$X213,NA())</f>
      </c>
      <c r="AI213" s="0">
        <f>IF(AND($V213&lt;&gt;"No",ISNUMBER(SEARCH("Rogue",$C213)),NOT(ISNUMBER(SEARCH("Ideas",$F213)))),$X213,NA())</f>
      </c>
      <c r="AJ213" s="0">
        <f>IF($V213&lt;&gt;"No",$Y213,NA())</f>
      </c>
      <c r="AK213" s="0">
        <f>IF(AND($V213&lt;&gt;"No",ISNUMBER(SEARCH("Ideas",$F213))),$W213,NA())</f>
      </c>
      <c r="AL213" s="0">
        <f>IF(AND($V213&lt;&gt;"No",ISNUMBER(SEARCH("Cleric",$C213)),NOT(ISNUMBER(SEARCH("Ideas",$F213)))),$X213,NA())</f>
      </c>
    </row>
    <row r="214">
      <c r="A214" s="0" t="s">
        <v>913</v>
      </c>
      <c r="B214" s="0" t="s">
        <v>911</v>
      </c>
      <c r="C214" s="0" t="s">
        <v>49</v>
      </c>
      <c r="D214" s="0">
        <v>2</v>
      </c>
      <c r="E214" s="0" t="s">
        <v>32</v>
      </c>
      <c r="F214" s="0" t="s">
        <v>1976</v>
      </c>
      <c r="G214" s="0">
        <v>9</v>
      </c>
      <c r="H214" s="0">
        <v>1</v>
      </c>
      <c r="I214" s="0">
        <v>5</v>
      </c>
      <c r="J214" s="0">
        <v>0</v>
      </c>
      <c r="K214" s="0">
        <v>0</v>
      </c>
      <c r="L214" s="0">
        <v>0</v>
      </c>
      <c r="M214" s="0">
        <v>0</v>
      </c>
      <c r="N214" s="0">
        <v>0</v>
      </c>
      <c r="O214" s="0">
        <v>0</v>
      </c>
      <c r="P214" s="0">
        <v>0</v>
      </c>
      <c r="Q214" s="0">
        <v>0</v>
      </c>
      <c r="R214" s="0">
        <v>1</v>
      </c>
      <c r="S214" s="0">
        <v>0</v>
      </c>
      <c r="T214" s="0" t="s">
        <v>34</v>
      </c>
      <c r="U214" s="0" t="s">
        <v>34</v>
      </c>
      <c r="V214" s="0" t="s">
        <v>882</v>
      </c>
      <c r="W214" s="11">
        <f>IF($V214="No","",ROUND((I214*w_Damage + N214*w_Poison + P214*w_Weaken*w_Horizon)*MIN(1+(G214-1)*w_OccEnemy,w_MaxEnemies) + (J214*w_Heal + K214*w_Shield + L214*w_Block + M214*w_Parry + O214*w_Strength*w_Horizon + S214*w_Combo)*MIN(1+(H214-1)*w_OccAlly,w_MaxAllies) + Q214*w_Draw + R214*w_Move,2))</f>
      </c>
      <c r="X214" s="11">
        <f>IF(W214="","",ROUND(W214/MAX(D214,1),2))</f>
      </c>
      <c r="Y214" s="11">
        <f>IF($V214="No","",ROUND((curve_Base+curve_Slope*D214)*IFERROR(VLOOKUP(E214,rarity_Mult,2,FALSE),1),2))</f>
      </c>
      <c r="Z214" s="11">
        <f>IF(OR(W214="",Y214=""),"",ROUND(W214-Y214,2))</f>
      </c>
      <c r="AA214" s="0">
        <f>IF(Z214="","",IF($V214="Partial","RIDER",IF(ABS(Z214)&lt;=Y214*tol_Pct,"OK",IF(Z214&gt;0,"OVER","UNDER"))))</f>
      </c>
      <c r="AB214" s="0" t="s">
        <v>34</v>
      </c>
      <c r="AC214" s="0">
        <f>IF(AND($V214&lt;&gt;"No",$E214="Common",NOT(ISNUMBER(SEARCH("Ideas",$F214)))),$W214,NA())</f>
      </c>
      <c r="AD214" s="0">
        <f>IF(AND($V214&lt;&gt;"No",$E214="Uncommon",NOT(ISNUMBER(SEARCH("Ideas",$F214)))),$W214,NA())</f>
      </c>
      <c r="AE214" s="0">
        <f>IF(AND($V214&lt;&gt;"No",$E214="Rare",NOT(ISNUMBER(SEARCH("Ideas",$F214)))),$W214,NA())</f>
      </c>
      <c r="AF214" s="0">
        <f>IF(AND($V214&lt;&gt;"No",$E214="Legendary",NOT(ISNUMBER(SEARCH("Ideas",$F214)))),$W214,NA())</f>
      </c>
      <c r="AG214" s="0">
        <f>IF(AND($V214&lt;&gt;"No",ISNUMBER(SEARCH("Knight",$C214)),NOT(ISNUMBER(SEARCH("Ideas",$F214)))),$X214,NA())</f>
      </c>
      <c r="AH214" s="0">
        <f>IF(AND($V214&lt;&gt;"No",ISNUMBER(SEARCH("Mage",$C214)),NOT(ISNUMBER(SEARCH("Ideas",$F214)))),$X214,NA())</f>
      </c>
      <c r="AI214" s="0">
        <f>IF(AND($V214&lt;&gt;"No",ISNUMBER(SEARCH("Rogue",$C214)),NOT(ISNUMBER(SEARCH("Ideas",$F214)))),$X214,NA())</f>
      </c>
      <c r="AJ214" s="0">
        <f>IF($V214&lt;&gt;"No",$Y214,NA())</f>
      </c>
      <c r="AK214" s="0">
        <f>IF(AND($V214&lt;&gt;"No",ISNUMBER(SEARCH("Ideas",$F214))),$W214,NA())</f>
      </c>
      <c r="AL214" s="0">
        <f>IF(AND($V214&lt;&gt;"No",ISNUMBER(SEARCH("Cleric",$C214)),NOT(ISNUMBER(SEARCH("Ideas",$F214)))),$X214,NA())</f>
      </c>
    </row>
    <row r="215">
      <c r="A215" s="0" t="s">
        <v>920</v>
      </c>
      <c r="B215" s="0" t="s">
        <v>918</v>
      </c>
      <c r="C215" s="0" t="s">
        <v>49</v>
      </c>
      <c r="D215" s="0">
        <v>1</v>
      </c>
      <c r="E215" s="0" t="s">
        <v>32</v>
      </c>
      <c r="F215" s="0" t="s">
        <v>1976</v>
      </c>
      <c r="G215" s="0">
        <v>1</v>
      </c>
      <c r="H215" s="0">
        <v>1</v>
      </c>
      <c r="I215" s="0">
        <v>3</v>
      </c>
      <c r="J215" s="0">
        <v>0</v>
      </c>
      <c r="K215" s="0">
        <v>0</v>
      </c>
      <c r="L215" s="0">
        <v>0</v>
      </c>
      <c r="M215" s="0">
        <v>0</v>
      </c>
      <c r="N215" s="0">
        <v>0</v>
      </c>
      <c r="O215" s="0">
        <v>0</v>
      </c>
      <c r="P215" s="0">
        <v>0</v>
      </c>
      <c r="Q215" s="0">
        <v>0</v>
      </c>
      <c r="R215" s="0">
        <v>0</v>
      </c>
      <c r="S215" s="0">
        <v>0</v>
      </c>
      <c r="T215" s="0" t="s">
        <v>34</v>
      </c>
      <c r="U215" s="0" t="s">
        <v>34</v>
      </c>
      <c r="V215" s="0" t="s">
        <v>882</v>
      </c>
      <c r="W215" s="11">
        <f>IF($V215="No","",ROUND((I215*w_Damage + N215*w_Poison + P215*w_Weaken*w_Horizon)*MIN(1+(G215-1)*w_OccEnemy,w_MaxEnemies) + (J215*w_Heal + K215*w_Shield + L215*w_Block + M215*w_Parry + O215*w_Strength*w_Horizon + S215*w_Combo)*MIN(1+(H215-1)*w_OccAlly,w_MaxAllies) + Q215*w_Draw + R215*w_Move,2))</f>
      </c>
      <c r="X215" s="11">
        <f>IF(W215="","",ROUND(W215/MAX(D215,1),2))</f>
      </c>
      <c r="Y215" s="11">
        <f>IF($V215="No","",ROUND((curve_Base+curve_Slope*D215)*IFERROR(VLOOKUP(E215,rarity_Mult,2,FALSE),1),2))</f>
      </c>
      <c r="Z215" s="11">
        <f>IF(OR(W215="",Y215=""),"",ROUND(W215-Y215,2))</f>
      </c>
      <c r="AA215" s="0">
        <f>IF(Z215="","",IF($V215="Partial","RIDER",IF(ABS(Z215)&lt;=Y215*tol_Pct,"OK",IF(Z215&gt;0,"OVER","UNDER"))))</f>
      </c>
      <c r="AB215" s="0" t="s">
        <v>34</v>
      </c>
      <c r="AC215" s="0">
        <f>IF(AND($V215&lt;&gt;"No",$E215="Common",NOT(ISNUMBER(SEARCH("Ideas",$F215)))),$W215,NA())</f>
      </c>
      <c r="AD215" s="0">
        <f>IF(AND($V215&lt;&gt;"No",$E215="Uncommon",NOT(ISNUMBER(SEARCH("Ideas",$F215)))),$W215,NA())</f>
      </c>
      <c r="AE215" s="0">
        <f>IF(AND($V215&lt;&gt;"No",$E215="Rare",NOT(ISNUMBER(SEARCH("Ideas",$F215)))),$W215,NA())</f>
      </c>
      <c r="AF215" s="0">
        <f>IF(AND($V215&lt;&gt;"No",$E215="Legendary",NOT(ISNUMBER(SEARCH("Ideas",$F215)))),$W215,NA())</f>
      </c>
      <c r="AG215" s="0">
        <f>IF(AND($V215&lt;&gt;"No",ISNUMBER(SEARCH("Knight",$C215)),NOT(ISNUMBER(SEARCH("Ideas",$F215)))),$X215,NA())</f>
      </c>
      <c r="AH215" s="0">
        <f>IF(AND($V215&lt;&gt;"No",ISNUMBER(SEARCH("Mage",$C215)),NOT(ISNUMBER(SEARCH("Ideas",$F215)))),$X215,NA())</f>
      </c>
      <c r="AI215" s="0">
        <f>IF(AND($V215&lt;&gt;"No",ISNUMBER(SEARCH("Rogue",$C215)),NOT(ISNUMBER(SEARCH("Ideas",$F215)))),$X215,NA())</f>
      </c>
      <c r="AJ215" s="0">
        <f>IF($V215&lt;&gt;"No",$Y215,NA())</f>
      </c>
      <c r="AK215" s="0">
        <f>IF(AND($V215&lt;&gt;"No",ISNUMBER(SEARCH("Ideas",$F215))),$W215,NA())</f>
      </c>
      <c r="AL215" s="0">
        <f>IF(AND($V215&lt;&gt;"No",ISNUMBER(SEARCH("Cleric",$C215)),NOT(ISNUMBER(SEARCH("Ideas",$F215)))),$X215,NA())</f>
      </c>
    </row>
    <row r="216">
      <c r="A216" s="0" t="s">
        <v>945</v>
      </c>
      <c r="B216" s="0" t="s">
        <v>114</v>
      </c>
      <c r="C216" s="0" t="s">
        <v>49</v>
      </c>
      <c r="D216" s="0">
        <v>2</v>
      </c>
      <c r="E216" s="0" t="s">
        <v>32</v>
      </c>
      <c r="F216" s="0" t="s">
        <v>1976</v>
      </c>
      <c r="G216" s="0">
        <v>1</v>
      </c>
      <c r="H216" s="0">
        <v>1</v>
      </c>
      <c r="I216" s="0">
        <v>0</v>
      </c>
      <c r="J216" s="0">
        <v>0</v>
      </c>
      <c r="K216" s="0">
        <v>0</v>
      </c>
      <c r="L216" s="0">
        <v>10</v>
      </c>
      <c r="M216" s="0">
        <v>0</v>
      </c>
      <c r="N216" s="0">
        <v>0</v>
      </c>
      <c r="O216" s="0">
        <v>0</v>
      </c>
      <c r="P216" s="0">
        <v>0</v>
      </c>
      <c r="Q216" s="0">
        <v>0</v>
      </c>
      <c r="R216" s="0">
        <v>0</v>
      </c>
      <c r="S216" s="0">
        <v>0</v>
      </c>
      <c r="T216" s="0" t="s">
        <v>34</v>
      </c>
      <c r="U216" s="0" t="s">
        <v>63</v>
      </c>
      <c r="V216" s="0" t="s">
        <v>1905</v>
      </c>
      <c r="W216" s="11">
        <f>IF($V216="No","",ROUND((I216*w_Damage + N216*w_Poison + P216*w_Weaken*w_Horizon)*MIN(1+(G216-1)*w_OccEnemy,w_MaxEnemies) + (J216*w_Heal + K216*w_Shield + L216*w_Block + M216*w_Parry + O216*w_Strength*w_Horizon + S216*w_Combo)*MIN(1+(H216-1)*w_OccAlly,w_MaxAllies) + Q216*w_Draw + R216*w_Move,2))</f>
      </c>
      <c r="X216" s="11">
        <f>IF(W216="","",ROUND(W216/MAX(D216,1),2))</f>
      </c>
      <c r="Y216" s="11">
        <f>IF($V216="No","",ROUND((curve_Base+curve_Slope*D216)*IFERROR(VLOOKUP(E216,rarity_Mult,2,FALSE),1),2))</f>
      </c>
      <c r="Z216" s="11">
        <f>IF(OR(W216="",Y216=""),"",ROUND(W216-Y216,2))</f>
      </c>
      <c r="AA216" s="0">
        <f>IF(Z216="","",IF($V216="Partial","RIDER",IF(ABS(Z216)&lt;=Y216*tol_Pct,"OK",IF(Z216&gt;0,"OVER","UNDER"))))</f>
      </c>
      <c r="AB216" s="0" t="s">
        <v>34</v>
      </c>
      <c r="AC216" s="0">
        <f>IF(AND($V216&lt;&gt;"No",$E216="Common",NOT(ISNUMBER(SEARCH("Ideas",$F216)))),$W216,NA())</f>
      </c>
      <c r="AD216" s="0">
        <f>IF(AND($V216&lt;&gt;"No",$E216="Uncommon",NOT(ISNUMBER(SEARCH("Ideas",$F216)))),$W216,NA())</f>
      </c>
      <c r="AE216" s="0">
        <f>IF(AND($V216&lt;&gt;"No",$E216="Rare",NOT(ISNUMBER(SEARCH("Ideas",$F216)))),$W216,NA())</f>
      </c>
      <c r="AF216" s="0">
        <f>IF(AND($V216&lt;&gt;"No",$E216="Legendary",NOT(ISNUMBER(SEARCH("Ideas",$F216)))),$W216,NA())</f>
      </c>
      <c r="AG216" s="0">
        <f>IF(AND($V216&lt;&gt;"No",ISNUMBER(SEARCH("Knight",$C216)),NOT(ISNUMBER(SEARCH("Ideas",$F216)))),$X216,NA())</f>
      </c>
      <c r="AH216" s="0">
        <f>IF(AND($V216&lt;&gt;"No",ISNUMBER(SEARCH("Mage",$C216)),NOT(ISNUMBER(SEARCH("Ideas",$F216)))),$X216,NA())</f>
      </c>
      <c r="AI216" s="0">
        <f>IF(AND($V216&lt;&gt;"No",ISNUMBER(SEARCH("Rogue",$C216)),NOT(ISNUMBER(SEARCH("Ideas",$F216)))),$X216,NA())</f>
      </c>
      <c r="AJ216" s="0">
        <f>IF($V216&lt;&gt;"No",$Y216,NA())</f>
      </c>
      <c r="AK216" s="0">
        <f>IF(AND($V216&lt;&gt;"No",ISNUMBER(SEARCH("Ideas",$F216))),$W216,NA())</f>
      </c>
      <c r="AL216" s="0">
        <f>IF(AND($V216&lt;&gt;"No",ISNUMBER(SEARCH("Cleric",$C216)),NOT(ISNUMBER(SEARCH("Ideas",$F216)))),$X216,NA())</f>
      </c>
    </row>
    <row r="217">
      <c r="A217" s="0" t="s">
        <v>949</v>
      </c>
      <c r="B217" s="0" t="s">
        <v>947</v>
      </c>
      <c r="C217" s="0" t="s">
        <v>49</v>
      </c>
      <c r="D217" s="0">
        <v>1</v>
      </c>
      <c r="E217" s="0" t="s">
        <v>81</v>
      </c>
      <c r="F217" s="0" t="s">
        <v>1976</v>
      </c>
      <c r="G217" s="0">
        <v>1</v>
      </c>
      <c r="H217" s="0">
        <v>1</v>
      </c>
      <c r="I217" s="0">
        <v>0</v>
      </c>
      <c r="J217" s="0">
        <v>0</v>
      </c>
      <c r="K217" s="0">
        <v>5</v>
      </c>
      <c r="L217" s="0">
        <v>0</v>
      </c>
      <c r="M217" s="0">
        <v>0</v>
      </c>
      <c r="N217" s="0">
        <v>0</v>
      </c>
      <c r="O217" s="0">
        <v>0</v>
      </c>
      <c r="P217" s="0">
        <v>0</v>
      </c>
      <c r="Q217" s="0">
        <v>0</v>
      </c>
      <c r="R217" s="0">
        <v>0</v>
      </c>
      <c r="S217" s="0">
        <v>0</v>
      </c>
      <c r="T217" s="0" t="s">
        <v>34</v>
      </c>
      <c r="U217" s="0" t="s">
        <v>1803</v>
      </c>
      <c r="V217" s="0" t="s">
        <v>1905</v>
      </c>
      <c r="W217" s="11">
        <f>IF($V217="No","",ROUND((I217*w_Damage + N217*w_Poison + P217*w_Weaken*w_Horizon)*MIN(1+(G217-1)*w_OccEnemy,w_MaxEnemies) + (J217*w_Heal + K217*w_Shield + L217*w_Block + M217*w_Parry + O217*w_Strength*w_Horizon + S217*w_Combo)*MIN(1+(H217-1)*w_OccAlly,w_MaxAllies) + Q217*w_Draw + R217*w_Move,2))</f>
      </c>
      <c r="X217" s="11">
        <f>IF(W217="","",ROUND(W217/MAX(D217,1),2))</f>
      </c>
      <c r="Y217" s="11">
        <f>IF($V217="No","",ROUND((curve_Base+curve_Slope*D217)*IFERROR(VLOOKUP(E217,rarity_Mult,2,FALSE),1),2))</f>
      </c>
      <c r="Z217" s="11">
        <f>IF(OR(W217="",Y217=""),"",ROUND(W217-Y217,2))</f>
      </c>
      <c r="AA217" s="0">
        <f>IF(Z217="","",IF($V217="Partial","RIDER",IF(ABS(Z217)&lt;=Y217*tol_Pct,"OK",IF(Z217&gt;0,"OVER","UNDER"))))</f>
      </c>
      <c r="AB217" s="0" t="s">
        <v>34</v>
      </c>
      <c r="AC217" s="0">
        <f>IF(AND($V217&lt;&gt;"No",$E217="Common",NOT(ISNUMBER(SEARCH("Ideas",$F217)))),$W217,NA())</f>
      </c>
      <c r="AD217" s="0">
        <f>IF(AND($V217&lt;&gt;"No",$E217="Uncommon",NOT(ISNUMBER(SEARCH("Ideas",$F217)))),$W217,NA())</f>
      </c>
      <c r="AE217" s="0">
        <f>IF(AND($V217&lt;&gt;"No",$E217="Rare",NOT(ISNUMBER(SEARCH("Ideas",$F217)))),$W217,NA())</f>
      </c>
      <c r="AF217" s="0">
        <f>IF(AND($V217&lt;&gt;"No",$E217="Legendary",NOT(ISNUMBER(SEARCH("Ideas",$F217)))),$W217,NA())</f>
      </c>
      <c r="AG217" s="0">
        <f>IF(AND($V217&lt;&gt;"No",ISNUMBER(SEARCH("Knight",$C217)),NOT(ISNUMBER(SEARCH("Ideas",$F217)))),$X217,NA())</f>
      </c>
      <c r="AH217" s="0">
        <f>IF(AND($V217&lt;&gt;"No",ISNUMBER(SEARCH("Mage",$C217)),NOT(ISNUMBER(SEARCH("Ideas",$F217)))),$X217,NA())</f>
      </c>
      <c r="AI217" s="0">
        <f>IF(AND($V217&lt;&gt;"No",ISNUMBER(SEARCH("Rogue",$C217)),NOT(ISNUMBER(SEARCH("Ideas",$F217)))),$X217,NA())</f>
      </c>
      <c r="AJ217" s="0">
        <f>IF($V217&lt;&gt;"No",$Y217,NA())</f>
      </c>
      <c r="AK217" s="0">
        <f>IF(AND($V217&lt;&gt;"No",ISNUMBER(SEARCH("Ideas",$F217))),$W217,NA())</f>
      </c>
      <c r="AL217" s="0">
        <f>IF(AND($V217&lt;&gt;"No",ISNUMBER(SEARCH("Cleric",$C217)),NOT(ISNUMBER(SEARCH("Ideas",$F217)))),$X217,NA())</f>
      </c>
    </row>
    <row r="218">
      <c r="A218" s="0" t="s">
        <v>952</v>
      </c>
      <c r="B218" s="0" t="s">
        <v>952</v>
      </c>
      <c r="C218" s="0" t="s">
        <v>49</v>
      </c>
      <c r="D218" s="0">
        <v>2</v>
      </c>
      <c r="E218" s="0" t="s">
        <v>62</v>
      </c>
      <c r="F218" s="0" t="s">
        <v>1976</v>
      </c>
      <c r="G218" s="0">
        <v>1</v>
      </c>
      <c r="H218" s="0">
        <v>1</v>
      </c>
      <c r="I218" s="0">
        <v>0</v>
      </c>
      <c r="J218" s="0">
        <v>0</v>
      </c>
      <c r="K218" s="0">
        <v>0</v>
      </c>
      <c r="L218" s="0">
        <v>0</v>
      </c>
      <c r="M218" s="0">
        <v>0</v>
      </c>
      <c r="N218" s="0">
        <v>0</v>
      </c>
      <c r="O218" s="0">
        <v>0</v>
      </c>
      <c r="P218" s="0">
        <v>0</v>
      </c>
      <c r="Q218" s="0">
        <v>0</v>
      </c>
      <c r="R218" s="0">
        <v>1</v>
      </c>
      <c r="S218" s="0">
        <v>0</v>
      </c>
      <c r="T218" s="0" t="s">
        <v>34</v>
      </c>
      <c r="U218" s="0" t="s">
        <v>34</v>
      </c>
      <c r="V218" s="0" t="s">
        <v>882</v>
      </c>
      <c r="W218" s="11">
        <f>IF($V218="No","",ROUND((I218*w_Damage + N218*w_Poison + P218*w_Weaken*w_Horizon)*MIN(1+(G218-1)*w_OccEnemy,w_MaxEnemies) + (J218*w_Heal + K218*w_Shield + L218*w_Block + M218*w_Parry + O218*w_Strength*w_Horizon + S218*w_Combo)*MIN(1+(H218-1)*w_OccAlly,w_MaxAllies) + Q218*w_Draw + R218*w_Move,2))</f>
      </c>
      <c r="X218" s="11">
        <f>IF(W218="","",ROUND(W218/MAX(D218,1),2))</f>
      </c>
      <c r="Y218" s="11">
        <f>IF($V218="No","",ROUND((curve_Base+curve_Slope*D218)*IFERROR(VLOOKUP(E218,rarity_Mult,2,FALSE),1),2))</f>
      </c>
      <c r="Z218" s="11">
        <f>IF(OR(W218="",Y218=""),"",ROUND(W218-Y218,2))</f>
      </c>
      <c r="AA218" s="0">
        <f>IF(Z218="","",IF($V218="Partial","RIDER",IF(ABS(Z218)&lt;=Y218*tol_Pct,"OK",IF(Z218&gt;0,"OVER","UNDER"))))</f>
      </c>
      <c r="AB218" s="0" t="s">
        <v>34</v>
      </c>
      <c r="AC218" s="0">
        <f>IF(AND($V218&lt;&gt;"No",$E218="Common",NOT(ISNUMBER(SEARCH("Ideas",$F218)))),$W218,NA())</f>
      </c>
      <c r="AD218" s="0">
        <f>IF(AND($V218&lt;&gt;"No",$E218="Uncommon",NOT(ISNUMBER(SEARCH("Ideas",$F218)))),$W218,NA())</f>
      </c>
      <c r="AE218" s="0">
        <f>IF(AND($V218&lt;&gt;"No",$E218="Rare",NOT(ISNUMBER(SEARCH("Ideas",$F218)))),$W218,NA())</f>
      </c>
      <c r="AF218" s="0">
        <f>IF(AND($V218&lt;&gt;"No",$E218="Legendary",NOT(ISNUMBER(SEARCH("Ideas",$F218)))),$W218,NA())</f>
      </c>
      <c r="AG218" s="0">
        <f>IF(AND($V218&lt;&gt;"No",ISNUMBER(SEARCH("Knight",$C218)),NOT(ISNUMBER(SEARCH("Ideas",$F218)))),$X218,NA())</f>
      </c>
      <c r="AH218" s="0">
        <f>IF(AND($V218&lt;&gt;"No",ISNUMBER(SEARCH("Mage",$C218)),NOT(ISNUMBER(SEARCH("Ideas",$F218)))),$X218,NA())</f>
      </c>
      <c r="AI218" s="0">
        <f>IF(AND($V218&lt;&gt;"No",ISNUMBER(SEARCH("Rogue",$C218)),NOT(ISNUMBER(SEARCH("Ideas",$F218)))),$X218,NA())</f>
      </c>
      <c r="AJ218" s="0">
        <f>IF($V218&lt;&gt;"No",$Y218,NA())</f>
      </c>
      <c r="AK218" s="0">
        <f>IF(AND($V218&lt;&gt;"No",ISNUMBER(SEARCH("Ideas",$F218))),$W218,NA())</f>
      </c>
      <c r="AL218" s="0">
        <f>IF(AND($V218&lt;&gt;"No",ISNUMBER(SEARCH("Cleric",$C218)),NOT(ISNUMBER(SEARCH("Ideas",$F218)))),$X218,NA())</f>
      </c>
    </row>
    <row r="219">
      <c r="A219" s="0" t="s">
        <v>958</v>
      </c>
      <c r="B219" s="0" t="s">
        <v>955</v>
      </c>
      <c r="C219" s="0" t="s">
        <v>49</v>
      </c>
      <c r="D219" s="0">
        <v>2</v>
      </c>
      <c r="E219" s="0" t="s">
        <v>32</v>
      </c>
      <c r="F219" s="0" t="s">
        <v>1976</v>
      </c>
      <c r="G219" s="0">
        <v>1</v>
      </c>
      <c r="H219" s="0">
        <v>13</v>
      </c>
      <c r="I219" s="0">
        <v>0</v>
      </c>
      <c r="J219" s="0">
        <v>0</v>
      </c>
      <c r="K219" s="0">
        <v>0</v>
      </c>
      <c r="L219" s="0">
        <v>0</v>
      </c>
      <c r="M219" s="0">
        <v>0</v>
      </c>
      <c r="N219" s="0">
        <v>0</v>
      </c>
      <c r="O219" s="0">
        <v>2</v>
      </c>
      <c r="P219" s="0">
        <v>0</v>
      </c>
      <c r="Q219" s="0">
        <v>0</v>
      </c>
      <c r="R219" s="0">
        <v>0</v>
      </c>
      <c r="S219" s="0">
        <v>0</v>
      </c>
      <c r="T219" s="0" t="s">
        <v>34</v>
      </c>
      <c r="U219" s="0" t="s">
        <v>34</v>
      </c>
      <c r="V219" s="0" t="s">
        <v>882</v>
      </c>
      <c r="W219" s="11">
        <f>IF($V219="No","",ROUND((I219*w_Damage + N219*w_Poison + P219*w_Weaken*w_Horizon)*MIN(1+(G219-1)*w_OccEnemy,w_MaxEnemies) + (J219*w_Heal + K219*w_Shield + L219*w_Block + M219*w_Parry + O219*w_Strength*w_Horizon + S219*w_Combo)*MIN(1+(H219-1)*w_OccAlly,w_MaxAllies) + Q219*w_Draw + R219*w_Move,2))</f>
      </c>
      <c r="X219" s="11">
        <f>IF(W219="","",ROUND(W219/MAX(D219,1),2))</f>
      </c>
      <c r="Y219" s="11">
        <f>IF($V219="No","",ROUND((curve_Base+curve_Slope*D219)*IFERROR(VLOOKUP(E219,rarity_Mult,2,FALSE),1),2))</f>
      </c>
      <c r="Z219" s="11">
        <f>IF(OR(W219="",Y219=""),"",ROUND(W219-Y219,2))</f>
      </c>
      <c r="AA219" s="0">
        <f>IF(Z219="","",IF($V219="Partial","RIDER",IF(ABS(Z219)&lt;=Y219*tol_Pct,"OK",IF(Z219&gt;0,"OVER","UNDER"))))</f>
      </c>
      <c r="AB219" s="0" t="s">
        <v>34</v>
      </c>
      <c r="AC219" s="0">
        <f>IF(AND($V219&lt;&gt;"No",$E219="Common",NOT(ISNUMBER(SEARCH("Ideas",$F219)))),$W219,NA())</f>
      </c>
      <c r="AD219" s="0">
        <f>IF(AND($V219&lt;&gt;"No",$E219="Uncommon",NOT(ISNUMBER(SEARCH("Ideas",$F219)))),$W219,NA())</f>
      </c>
      <c r="AE219" s="0">
        <f>IF(AND($V219&lt;&gt;"No",$E219="Rare",NOT(ISNUMBER(SEARCH("Ideas",$F219)))),$W219,NA())</f>
      </c>
      <c r="AF219" s="0">
        <f>IF(AND($V219&lt;&gt;"No",$E219="Legendary",NOT(ISNUMBER(SEARCH("Ideas",$F219)))),$W219,NA())</f>
      </c>
      <c r="AG219" s="0">
        <f>IF(AND($V219&lt;&gt;"No",ISNUMBER(SEARCH("Knight",$C219)),NOT(ISNUMBER(SEARCH("Ideas",$F219)))),$X219,NA())</f>
      </c>
      <c r="AH219" s="0">
        <f>IF(AND($V219&lt;&gt;"No",ISNUMBER(SEARCH("Mage",$C219)),NOT(ISNUMBER(SEARCH("Ideas",$F219)))),$X219,NA())</f>
      </c>
      <c r="AI219" s="0">
        <f>IF(AND($V219&lt;&gt;"No",ISNUMBER(SEARCH("Rogue",$C219)),NOT(ISNUMBER(SEARCH("Ideas",$F219)))),$X219,NA())</f>
      </c>
      <c r="AJ219" s="0">
        <f>IF($V219&lt;&gt;"No",$Y219,NA())</f>
      </c>
      <c r="AK219" s="0">
        <f>IF(AND($V219&lt;&gt;"No",ISNUMBER(SEARCH("Ideas",$F219))),$W219,NA())</f>
      </c>
      <c r="AL219" s="0">
        <f>IF(AND($V219&lt;&gt;"No",ISNUMBER(SEARCH("Cleric",$C219)),NOT(ISNUMBER(SEARCH("Ideas",$F219)))),$X219,NA())</f>
      </c>
    </row>
    <row r="220">
      <c r="A220" s="0" t="s">
        <v>960</v>
      </c>
      <c r="B220" s="0" t="s">
        <v>960</v>
      </c>
      <c r="C220" s="0" t="s">
        <v>49</v>
      </c>
      <c r="D220" s="0">
        <v>1</v>
      </c>
      <c r="E220" s="0" t="s">
        <v>81</v>
      </c>
      <c r="F220" s="0" t="s">
        <v>1976</v>
      </c>
      <c r="G220" s="0">
        <v>1</v>
      </c>
      <c r="H220" s="0">
        <v>1</v>
      </c>
      <c r="I220" s="0">
        <v>0</v>
      </c>
      <c r="J220" s="0">
        <v>0</v>
      </c>
      <c r="K220" s="0">
        <v>0</v>
      </c>
      <c r="L220" s="0">
        <v>0</v>
      </c>
      <c r="M220" s="0">
        <v>0</v>
      </c>
      <c r="N220" s="0">
        <v>0</v>
      </c>
      <c r="O220" s="0">
        <v>0</v>
      </c>
      <c r="P220" s="0">
        <v>2</v>
      </c>
      <c r="Q220" s="0">
        <v>0</v>
      </c>
      <c r="R220" s="0">
        <v>0</v>
      </c>
      <c r="S220" s="0">
        <v>0</v>
      </c>
      <c r="T220" s="0" t="s">
        <v>34</v>
      </c>
      <c r="U220" s="0" t="s">
        <v>34</v>
      </c>
      <c r="V220" s="0" t="s">
        <v>882</v>
      </c>
      <c r="W220" s="11">
        <f>IF($V220="No","",ROUND((I220*w_Damage + N220*w_Poison + P220*w_Weaken*w_Horizon)*MIN(1+(G220-1)*w_OccEnemy,w_MaxEnemies) + (J220*w_Heal + K220*w_Shield + L220*w_Block + M220*w_Parry + O220*w_Strength*w_Horizon + S220*w_Combo)*MIN(1+(H220-1)*w_OccAlly,w_MaxAllies) + Q220*w_Draw + R220*w_Move,2))</f>
      </c>
      <c r="X220" s="11">
        <f>IF(W220="","",ROUND(W220/MAX(D220,1),2))</f>
      </c>
      <c r="Y220" s="11">
        <f>IF($V220="No","",ROUND((curve_Base+curve_Slope*D220)*IFERROR(VLOOKUP(E220,rarity_Mult,2,FALSE),1),2))</f>
      </c>
      <c r="Z220" s="11">
        <f>IF(OR(W220="",Y220=""),"",ROUND(W220-Y220,2))</f>
      </c>
      <c r="AA220" s="0">
        <f>IF(Z220="","",IF($V220="Partial","RIDER",IF(ABS(Z220)&lt;=Y220*tol_Pct,"OK",IF(Z220&gt;0,"OVER","UNDER"))))</f>
      </c>
      <c r="AB220" s="0" t="s">
        <v>34</v>
      </c>
      <c r="AC220" s="0">
        <f>IF(AND($V220&lt;&gt;"No",$E220="Common",NOT(ISNUMBER(SEARCH("Ideas",$F220)))),$W220,NA())</f>
      </c>
      <c r="AD220" s="0">
        <f>IF(AND($V220&lt;&gt;"No",$E220="Uncommon",NOT(ISNUMBER(SEARCH("Ideas",$F220)))),$W220,NA())</f>
      </c>
      <c r="AE220" s="0">
        <f>IF(AND($V220&lt;&gt;"No",$E220="Rare",NOT(ISNUMBER(SEARCH("Ideas",$F220)))),$W220,NA())</f>
      </c>
      <c r="AF220" s="0">
        <f>IF(AND($V220&lt;&gt;"No",$E220="Legendary",NOT(ISNUMBER(SEARCH("Ideas",$F220)))),$W220,NA())</f>
      </c>
      <c r="AG220" s="0">
        <f>IF(AND($V220&lt;&gt;"No",ISNUMBER(SEARCH("Knight",$C220)),NOT(ISNUMBER(SEARCH("Ideas",$F220)))),$X220,NA())</f>
      </c>
      <c r="AH220" s="0">
        <f>IF(AND($V220&lt;&gt;"No",ISNUMBER(SEARCH("Mage",$C220)),NOT(ISNUMBER(SEARCH("Ideas",$F220)))),$X220,NA())</f>
      </c>
      <c r="AI220" s="0">
        <f>IF(AND($V220&lt;&gt;"No",ISNUMBER(SEARCH("Rogue",$C220)),NOT(ISNUMBER(SEARCH("Ideas",$F220)))),$X220,NA())</f>
      </c>
      <c r="AJ220" s="0">
        <f>IF($V220&lt;&gt;"No",$Y220,NA())</f>
      </c>
      <c r="AK220" s="0">
        <f>IF(AND($V220&lt;&gt;"No",ISNUMBER(SEARCH("Ideas",$F220))),$W220,NA())</f>
      </c>
      <c r="AL220" s="0">
        <f>IF(AND($V220&lt;&gt;"No",ISNUMBER(SEARCH("Cleric",$C220)),NOT(ISNUMBER(SEARCH("Ideas",$F220)))),$X220,NA())</f>
      </c>
    </row>
    <row r="221">
      <c r="A221" s="0" t="s">
        <v>965</v>
      </c>
      <c r="B221" s="0" t="s">
        <v>962</v>
      </c>
      <c r="C221" s="0" t="s">
        <v>49</v>
      </c>
      <c r="D221" s="0">
        <v>2</v>
      </c>
      <c r="E221" s="0" t="s">
        <v>32</v>
      </c>
      <c r="F221" s="0" t="s">
        <v>1976</v>
      </c>
      <c r="G221" s="0">
        <v>1</v>
      </c>
      <c r="H221" s="0">
        <v>1</v>
      </c>
      <c r="I221" s="0">
        <v>5</v>
      </c>
      <c r="J221" s="0">
        <v>0</v>
      </c>
      <c r="K221" s="0">
        <v>0</v>
      </c>
      <c r="L221" s="0">
        <v>0</v>
      </c>
      <c r="M221" s="0">
        <v>0</v>
      </c>
      <c r="N221" s="0">
        <v>0</v>
      </c>
      <c r="O221" s="0">
        <v>0</v>
      </c>
      <c r="P221" s="0">
        <v>3</v>
      </c>
      <c r="Q221" s="0">
        <v>0</v>
      </c>
      <c r="R221" s="0">
        <v>0</v>
      </c>
      <c r="S221" s="0">
        <v>0</v>
      </c>
      <c r="T221" s="0" t="s">
        <v>34</v>
      </c>
      <c r="U221" s="0" t="s">
        <v>34</v>
      </c>
      <c r="V221" s="0" t="s">
        <v>882</v>
      </c>
      <c r="W221" s="11">
        <f>IF($V221="No","",ROUND((I221*w_Damage + N221*w_Poison + P221*w_Weaken*w_Horizon)*MIN(1+(G221-1)*w_OccEnemy,w_MaxEnemies) + (J221*w_Heal + K221*w_Shield + L221*w_Block + M221*w_Parry + O221*w_Strength*w_Horizon + S221*w_Combo)*MIN(1+(H221-1)*w_OccAlly,w_MaxAllies) + Q221*w_Draw + R221*w_Move,2))</f>
      </c>
      <c r="X221" s="11">
        <f>IF(W221="","",ROUND(W221/MAX(D221,1),2))</f>
      </c>
      <c r="Y221" s="11">
        <f>IF($V221="No","",ROUND((curve_Base+curve_Slope*D221)*IFERROR(VLOOKUP(E221,rarity_Mult,2,FALSE),1),2))</f>
      </c>
      <c r="Z221" s="11">
        <f>IF(OR(W221="",Y221=""),"",ROUND(W221-Y221,2))</f>
      </c>
      <c r="AA221" s="0">
        <f>IF(Z221="","",IF($V221="Partial","RIDER",IF(ABS(Z221)&lt;=Y221*tol_Pct,"OK",IF(Z221&gt;0,"OVER","UNDER"))))</f>
      </c>
      <c r="AB221" s="0" t="s">
        <v>34</v>
      </c>
      <c r="AC221" s="0">
        <f>IF(AND($V221&lt;&gt;"No",$E221="Common",NOT(ISNUMBER(SEARCH("Ideas",$F221)))),$W221,NA())</f>
      </c>
      <c r="AD221" s="0">
        <f>IF(AND($V221&lt;&gt;"No",$E221="Uncommon",NOT(ISNUMBER(SEARCH("Ideas",$F221)))),$W221,NA())</f>
      </c>
      <c r="AE221" s="0">
        <f>IF(AND($V221&lt;&gt;"No",$E221="Rare",NOT(ISNUMBER(SEARCH("Ideas",$F221)))),$W221,NA())</f>
      </c>
      <c r="AF221" s="0">
        <f>IF(AND($V221&lt;&gt;"No",$E221="Legendary",NOT(ISNUMBER(SEARCH("Ideas",$F221)))),$W221,NA())</f>
      </c>
      <c r="AG221" s="0">
        <f>IF(AND($V221&lt;&gt;"No",ISNUMBER(SEARCH("Knight",$C221)),NOT(ISNUMBER(SEARCH("Ideas",$F221)))),$X221,NA())</f>
      </c>
      <c r="AH221" s="0">
        <f>IF(AND($V221&lt;&gt;"No",ISNUMBER(SEARCH("Mage",$C221)),NOT(ISNUMBER(SEARCH("Ideas",$F221)))),$X221,NA())</f>
      </c>
      <c r="AI221" s="0">
        <f>IF(AND($V221&lt;&gt;"No",ISNUMBER(SEARCH("Rogue",$C221)),NOT(ISNUMBER(SEARCH("Ideas",$F221)))),$X221,NA())</f>
      </c>
      <c r="AJ221" s="0">
        <f>IF($V221&lt;&gt;"No",$Y221,NA())</f>
      </c>
      <c r="AK221" s="0">
        <f>IF(AND($V221&lt;&gt;"No",ISNUMBER(SEARCH("Ideas",$F221))),$W221,NA())</f>
      </c>
      <c r="AL221" s="0">
        <f>IF(AND($V221&lt;&gt;"No",ISNUMBER(SEARCH("Cleric",$C221)),NOT(ISNUMBER(SEARCH("Ideas",$F221)))),$X221,NA())</f>
      </c>
    </row>
    <row r="222">
      <c r="A222" s="0" t="s">
        <v>969</v>
      </c>
      <c r="B222" s="0" t="s">
        <v>966</v>
      </c>
      <c r="C222" s="0" t="s">
        <v>49</v>
      </c>
      <c r="D222" s="0">
        <v>1</v>
      </c>
      <c r="E222" s="0" t="s">
        <v>81</v>
      </c>
      <c r="F222" s="0" t="s">
        <v>1976</v>
      </c>
      <c r="G222" s="0">
        <v>1</v>
      </c>
      <c r="H222" s="0">
        <v>1</v>
      </c>
      <c r="I222" s="0">
        <v>0</v>
      </c>
      <c r="J222" s="0">
        <v>0</v>
      </c>
      <c r="K222" s="0">
        <v>0</v>
      </c>
      <c r="L222" s="0">
        <v>0</v>
      </c>
      <c r="M222" s="0">
        <v>0</v>
      </c>
      <c r="N222" s="0">
        <v>0</v>
      </c>
      <c r="O222" s="0">
        <v>0</v>
      </c>
      <c r="P222" s="0">
        <v>0</v>
      </c>
      <c r="Q222" s="0">
        <v>0</v>
      </c>
      <c r="R222" s="0">
        <v>0</v>
      </c>
      <c r="S222" s="0">
        <v>1</v>
      </c>
      <c r="T222" s="0" t="s">
        <v>34</v>
      </c>
      <c r="U222" s="0" t="s">
        <v>34</v>
      </c>
      <c r="V222" s="0" t="s">
        <v>882</v>
      </c>
      <c r="W222" s="11">
        <f>IF($V222="No","",ROUND((I222*w_Damage + N222*w_Poison + P222*w_Weaken*w_Horizon)*MIN(1+(G222-1)*w_OccEnemy,w_MaxEnemies) + (J222*w_Heal + K222*w_Shield + L222*w_Block + M222*w_Parry + O222*w_Strength*w_Horizon + S222*w_Combo)*MIN(1+(H222-1)*w_OccAlly,w_MaxAllies) + Q222*w_Draw + R222*w_Move,2))</f>
      </c>
      <c r="X222" s="11">
        <f>IF(W222="","",ROUND(W222/MAX(D222,1),2))</f>
      </c>
      <c r="Y222" s="11">
        <f>IF($V222="No","",ROUND((curve_Base+curve_Slope*D222)*IFERROR(VLOOKUP(E222,rarity_Mult,2,FALSE),1),2))</f>
      </c>
      <c r="Z222" s="11">
        <f>IF(OR(W222="",Y222=""),"",ROUND(W222-Y222,2))</f>
      </c>
      <c r="AA222" s="0">
        <f>IF(Z222="","",IF($V222="Partial","RIDER",IF(ABS(Z222)&lt;=Y222*tol_Pct,"OK",IF(Z222&gt;0,"OVER","UNDER"))))</f>
      </c>
      <c r="AB222" s="0" t="s">
        <v>34</v>
      </c>
      <c r="AC222" s="0">
        <f>IF(AND($V222&lt;&gt;"No",$E222="Common",NOT(ISNUMBER(SEARCH("Ideas",$F222)))),$W222,NA())</f>
      </c>
      <c r="AD222" s="0">
        <f>IF(AND($V222&lt;&gt;"No",$E222="Uncommon",NOT(ISNUMBER(SEARCH("Ideas",$F222)))),$W222,NA())</f>
      </c>
      <c r="AE222" s="0">
        <f>IF(AND($V222&lt;&gt;"No",$E222="Rare",NOT(ISNUMBER(SEARCH("Ideas",$F222)))),$W222,NA())</f>
      </c>
      <c r="AF222" s="0">
        <f>IF(AND($V222&lt;&gt;"No",$E222="Legendary",NOT(ISNUMBER(SEARCH("Ideas",$F222)))),$W222,NA())</f>
      </c>
      <c r="AG222" s="0">
        <f>IF(AND($V222&lt;&gt;"No",ISNUMBER(SEARCH("Knight",$C222)),NOT(ISNUMBER(SEARCH("Ideas",$F222)))),$X222,NA())</f>
      </c>
      <c r="AH222" s="0">
        <f>IF(AND($V222&lt;&gt;"No",ISNUMBER(SEARCH("Mage",$C222)),NOT(ISNUMBER(SEARCH("Ideas",$F222)))),$X222,NA())</f>
      </c>
      <c r="AI222" s="0">
        <f>IF(AND($V222&lt;&gt;"No",ISNUMBER(SEARCH("Rogue",$C222)),NOT(ISNUMBER(SEARCH("Ideas",$F222)))),$X222,NA())</f>
      </c>
      <c r="AJ222" s="0">
        <f>IF($V222&lt;&gt;"No",$Y222,NA())</f>
      </c>
      <c r="AK222" s="0">
        <f>IF(AND($V222&lt;&gt;"No",ISNUMBER(SEARCH("Ideas",$F222))),$W222,NA())</f>
      </c>
      <c r="AL222" s="0">
        <f>IF(AND($V222&lt;&gt;"No",ISNUMBER(SEARCH("Cleric",$C222)),NOT(ISNUMBER(SEARCH("Ideas",$F222)))),$X222,NA())</f>
      </c>
    </row>
    <row r="223">
      <c r="A223" s="0" t="s">
        <v>973</v>
      </c>
      <c r="B223" s="0" t="s">
        <v>971</v>
      </c>
      <c r="C223" s="0" t="s">
        <v>49</v>
      </c>
      <c r="D223" s="0">
        <v>2</v>
      </c>
      <c r="E223" s="0" t="s">
        <v>62</v>
      </c>
      <c r="F223" s="0" t="s">
        <v>1976</v>
      </c>
      <c r="G223" s="0">
        <v>1</v>
      </c>
      <c r="H223" s="0">
        <v>1</v>
      </c>
      <c r="I223" s="0">
        <v>0</v>
      </c>
      <c r="J223" s="0">
        <v>0</v>
      </c>
      <c r="K223" s="0">
        <v>0</v>
      </c>
      <c r="L223" s="0">
        <v>15</v>
      </c>
      <c r="M223" s="0">
        <v>0</v>
      </c>
      <c r="N223" s="0">
        <v>0</v>
      </c>
      <c r="O223" s="0">
        <v>0</v>
      </c>
      <c r="P223" s="0">
        <v>0</v>
      </c>
      <c r="Q223" s="0">
        <v>0</v>
      </c>
      <c r="R223" s="0">
        <v>0</v>
      </c>
      <c r="S223" s="0">
        <v>1</v>
      </c>
      <c r="T223" s="0" t="s">
        <v>34</v>
      </c>
      <c r="U223" s="0" t="s">
        <v>34</v>
      </c>
      <c r="V223" s="0" t="s">
        <v>882</v>
      </c>
      <c r="W223" s="11">
        <f>IF($V223="No","",ROUND((I223*w_Damage + N223*w_Poison + P223*w_Weaken*w_Horizon)*MIN(1+(G223-1)*w_OccEnemy,w_MaxEnemies) + (J223*w_Heal + K223*w_Shield + L223*w_Block + M223*w_Parry + O223*w_Strength*w_Horizon + S223*w_Combo)*MIN(1+(H223-1)*w_OccAlly,w_MaxAllies) + Q223*w_Draw + R223*w_Move,2))</f>
      </c>
      <c r="X223" s="11">
        <f>IF(W223="","",ROUND(W223/MAX(D223,1),2))</f>
      </c>
      <c r="Y223" s="11">
        <f>IF($V223="No","",ROUND((curve_Base+curve_Slope*D223)*IFERROR(VLOOKUP(E223,rarity_Mult,2,FALSE),1),2))</f>
      </c>
      <c r="Z223" s="11">
        <f>IF(OR(W223="",Y223=""),"",ROUND(W223-Y223,2))</f>
      </c>
      <c r="AA223" s="0">
        <f>IF(Z223="","",IF($V223="Partial","RIDER",IF(ABS(Z223)&lt;=Y223*tol_Pct,"OK",IF(Z223&gt;0,"OVER","UNDER"))))</f>
      </c>
      <c r="AB223" s="0" t="s">
        <v>34</v>
      </c>
      <c r="AC223" s="0">
        <f>IF(AND($V223&lt;&gt;"No",$E223="Common",NOT(ISNUMBER(SEARCH("Ideas",$F223)))),$W223,NA())</f>
      </c>
      <c r="AD223" s="0">
        <f>IF(AND($V223&lt;&gt;"No",$E223="Uncommon",NOT(ISNUMBER(SEARCH("Ideas",$F223)))),$W223,NA())</f>
      </c>
      <c r="AE223" s="0">
        <f>IF(AND($V223&lt;&gt;"No",$E223="Rare",NOT(ISNUMBER(SEARCH("Ideas",$F223)))),$W223,NA())</f>
      </c>
      <c r="AF223" s="0">
        <f>IF(AND($V223&lt;&gt;"No",$E223="Legendary",NOT(ISNUMBER(SEARCH("Ideas",$F223)))),$W223,NA())</f>
      </c>
      <c r="AG223" s="0">
        <f>IF(AND($V223&lt;&gt;"No",ISNUMBER(SEARCH("Knight",$C223)),NOT(ISNUMBER(SEARCH("Ideas",$F223)))),$X223,NA())</f>
      </c>
      <c r="AH223" s="0">
        <f>IF(AND($V223&lt;&gt;"No",ISNUMBER(SEARCH("Mage",$C223)),NOT(ISNUMBER(SEARCH("Ideas",$F223)))),$X223,NA())</f>
      </c>
      <c r="AI223" s="0">
        <f>IF(AND($V223&lt;&gt;"No",ISNUMBER(SEARCH("Rogue",$C223)),NOT(ISNUMBER(SEARCH("Ideas",$F223)))),$X223,NA())</f>
      </c>
      <c r="AJ223" s="0">
        <f>IF($V223&lt;&gt;"No",$Y223,NA())</f>
      </c>
      <c r="AK223" s="0">
        <f>IF(AND($V223&lt;&gt;"No",ISNUMBER(SEARCH("Ideas",$F223))),$W223,NA())</f>
      </c>
      <c r="AL223" s="0">
        <f>IF(AND($V223&lt;&gt;"No",ISNUMBER(SEARCH("Cleric",$C223)),NOT(ISNUMBER(SEARCH("Ideas",$F223)))),$X223,NA())</f>
      </c>
    </row>
    <row r="224">
      <c r="A224" s="0" t="s">
        <v>974</v>
      </c>
      <c r="B224" s="0" t="s">
        <v>974</v>
      </c>
      <c r="C224" s="0" t="s">
        <v>49</v>
      </c>
      <c r="D224" s="0">
        <v>1</v>
      </c>
      <c r="E224" s="0" t="s">
        <v>32</v>
      </c>
      <c r="F224" s="0" t="s">
        <v>1976</v>
      </c>
      <c r="G224" s="0">
        <v>1</v>
      </c>
      <c r="H224" s="0">
        <v>1</v>
      </c>
      <c r="I224" s="0">
        <v>5</v>
      </c>
      <c r="J224" s="0">
        <v>0</v>
      </c>
      <c r="K224" s="0">
        <v>0</v>
      </c>
      <c r="L224" s="0">
        <v>0</v>
      </c>
      <c r="M224" s="0">
        <v>0</v>
      </c>
      <c r="N224" s="0">
        <v>0</v>
      </c>
      <c r="O224" s="0">
        <v>0</v>
      </c>
      <c r="P224" s="0">
        <v>0</v>
      </c>
      <c r="Q224" s="0">
        <v>0</v>
      </c>
      <c r="R224" s="0">
        <v>0</v>
      </c>
      <c r="S224" s="0">
        <v>0</v>
      </c>
      <c r="T224" s="0" t="s">
        <v>34</v>
      </c>
      <c r="U224" s="0" t="s">
        <v>1803</v>
      </c>
      <c r="V224" s="0" t="s">
        <v>1905</v>
      </c>
      <c r="W224" s="11">
        <f>IF($V224="No","",ROUND((I224*w_Damage + N224*w_Poison + P224*w_Weaken*w_Horizon)*MIN(1+(G224-1)*w_OccEnemy,w_MaxEnemies) + (J224*w_Heal + K224*w_Shield + L224*w_Block + M224*w_Parry + O224*w_Strength*w_Horizon + S224*w_Combo)*MIN(1+(H224-1)*w_OccAlly,w_MaxAllies) + Q224*w_Draw + R224*w_Move,2))</f>
      </c>
      <c r="X224" s="11">
        <f>IF(W224="","",ROUND(W224/MAX(D224,1),2))</f>
      </c>
      <c r="Y224" s="11">
        <f>IF($V224="No","",ROUND((curve_Base+curve_Slope*D224)*IFERROR(VLOOKUP(E224,rarity_Mult,2,FALSE),1),2))</f>
      </c>
      <c r="Z224" s="11">
        <f>IF(OR(W224="",Y224=""),"",ROUND(W224-Y224,2))</f>
      </c>
      <c r="AA224" s="0">
        <f>IF(Z224="","",IF($V224="Partial","RIDER",IF(ABS(Z224)&lt;=Y224*tol_Pct,"OK",IF(Z224&gt;0,"OVER","UNDER"))))</f>
      </c>
      <c r="AB224" s="0" t="s">
        <v>34</v>
      </c>
      <c r="AC224" s="0">
        <f>IF(AND($V224&lt;&gt;"No",$E224="Common",NOT(ISNUMBER(SEARCH("Ideas",$F224)))),$W224,NA())</f>
      </c>
      <c r="AD224" s="0">
        <f>IF(AND($V224&lt;&gt;"No",$E224="Uncommon",NOT(ISNUMBER(SEARCH("Ideas",$F224)))),$W224,NA())</f>
      </c>
      <c r="AE224" s="0">
        <f>IF(AND($V224&lt;&gt;"No",$E224="Rare",NOT(ISNUMBER(SEARCH("Ideas",$F224)))),$W224,NA())</f>
      </c>
      <c r="AF224" s="0">
        <f>IF(AND($V224&lt;&gt;"No",$E224="Legendary",NOT(ISNUMBER(SEARCH("Ideas",$F224)))),$W224,NA())</f>
      </c>
      <c r="AG224" s="0">
        <f>IF(AND($V224&lt;&gt;"No",ISNUMBER(SEARCH("Knight",$C224)),NOT(ISNUMBER(SEARCH("Ideas",$F224)))),$X224,NA())</f>
      </c>
      <c r="AH224" s="0">
        <f>IF(AND($V224&lt;&gt;"No",ISNUMBER(SEARCH("Mage",$C224)),NOT(ISNUMBER(SEARCH("Ideas",$F224)))),$X224,NA())</f>
      </c>
      <c r="AI224" s="0">
        <f>IF(AND($V224&lt;&gt;"No",ISNUMBER(SEARCH("Rogue",$C224)),NOT(ISNUMBER(SEARCH("Ideas",$F224)))),$X224,NA())</f>
      </c>
      <c r="AJ224" s="0">
        <f>IF($V224&lt;&gt;"No",$Y224,NA())</f>
      </c>
      <c r="AK224" s="0">
        <f>IF(AND($V224&lt;&gt;"No",ISNUMBER(SEARCH("Ideas",$F224))),$W224,NA())</f>
      </c>
      <c r="AL224" s="0">
        <f>IF(AND($V224&lt;&gt;"No",ISNUMBER(SEARCH("Cleric",$C224)),NOT(ISNUMBER(SEARCH("Ideas",$F224)))),$X224,NA())</f>
      </c>
    </row>
    <row r="225">
      <c r="A225" s="0" t="s">
        <v>978</v>
      </c>
      <c r="B225" s="0" t="s">
        <v>976</v>
      </c>
      <c r="C225" s="0" t="s">
        <v>49</v>
      </c>
      <c r="D225" s="0">
        <v>1</v>
      </c>
      <c r="E225" s="0" t="s">
        <v>32</v>
      </c>
      <c r="F225" s="0" t="s">
        <v>1976</v>
      </c>
      <c r="G225" s="0">
        <v>1</v>
      </c>
      <c r="H225" s="0">
        <v>1</v>
      </c>
      <c r="I225" s="0">
        <v>0</v>
      </c>
      <c r="J225" s="0">
        <v>0</v>
      </c>
      <c r="K225" s="0">
        <v>0</v>
      </c>
      <c r="L225" s="0">
        <v>0</v>
      </c>
      <c r="M225" s="0">
        <v>0</v>
      </c>
      <c r="N225" s="0">
        <v>0</v>
      </c>
      <c r="O225" s="0">
        <v>0</v>
      </c>
      <c r="P225" s="0">
        <v>0</v>
      </c>
      <c r="Q225" s="0">
        <v>0</v>
      </c>
      <c r="R225" s="0">
        <v>0</v>
      </c>
      <c r="S225" s="0">
        <v>1</v>
      </c>
      <c r="T225" s="0" t="s">
        <v>34</v>
      </c>
      <c r="U225" s="0" t="s">
        <v>34</v>
      </c>
      <c r="V225" s="0" t="s">
        <v>882</v>
      </c>
      <c r="W225" s="11">
        <f>IF($V225="No","",ROUND((I225*w_Damage + N225*w_Poison + P225*w_Weaken*w_Horizon)*MIN(1+(G225-1)*w_OccEnemy,w_MaxEnemies) + (J225*w_Heal + K225*w_Shield + L225*w_Block + M225*w_Parry + O225*w_Strength*w_Horizon + S225*w_Combo)*MIN(1+(H225-1)*w_OccAlly,w_MaxAllies) + Q225*w_Draw + R225*w_Move,2))</f>
      </c>
      <c r="X225" s="11">
        <f>IF(W225="","",ROUND(W225/MAX(D225,1),2))</f>
      </c>
      <c r="Y225" s="11">
        <f>IF($V225="No","",ROUND((curve_Base+curve_Slope*D225)*IFERROR(VLOOKUP(E225,rarity_Mult,2,FALSE),1),2))</f>
      </c>
      <c r="Z225" s="11">
        <f>IF(OR(W225="",Y225=""),"",ROUND(W225-Y225,2))</f>
      </c>
      <c r="AA225" s="0">
        <f>IF(Z225="","",IF($V225="Partial","RIDER",IF(ABS(Z225)&lt;=Y225*tol_Pct,"OK",IF(Z225&gt;0,"OVER","UNDER"))))</f>
      </c>
      <c r="AB225" s="0" t="s">
        <v>34</v>
      </c>
      <c r="AC225" s="0">
        <f>IF(AND($V225&lt;&gt;"No",$E225="Common",NOT(ISNUMBER(SEARCH("Ideas",$F225)))),$W225,NA())</f>
      </c>
      <c r="AD225" s="0">
        <f>IF(AND($V225&lt;&gt;"No",$E225="Uncommon",NOT(ISNUMBER(SEARCH("Ideas",$F225)))),$W225,NA())</f>
      </c>
      <c r="AE225" s="0">
        <f>IF(AND($V225&lt;&gt;"No",$E225="Rare",NOT(ISNUMBER(SEARCH("Ideas",$F225)))),$W225,NA())</f>
      </c>
      <c r="AF225" s="0">
        <f>IF(AND($V225&lt;&gt;"No",$E225="Legendary",NOT(ISNUMBER(SEARCH("Ideas",$F225)))),$W225,NA())</f>
      </c>
      <c r="AG225" s="0">
        <f>IF(AND($V225&lt;&gt;"No",ISNUMBER(SEARCH("Knight",$C225)),NOT(ISNUMBER(SEARCH("Ideas",$F225)))),$X225,NA())</f>
      </c>
      <c r="AH225" s="0">
        <f>IF(AND($V225&lt;&gt;"No",ISNUMBER(SEARCH("Mage",$C225)),NOT(ISNUMBER(SEARCH("Ideas",$F225)))),$X225,NA())</f>
      </c>
      <c r="AI225" s="0">
        <f>IF(AND($V225&lt;&gt;"No",ISNUMBER(SEARCH("Rogue",$C225)),NOT(ISNUMBER(SEARCH("Ideas",$F225)))),$X225,NA())</f>
      </c>
      <c r="AJ225" s="0">
        <f>IF($V225&lt;&gt;"No",$Y225,NA())</f>
      </c>
      <c r="AK225" s="0">
        <f>IF(AND($V225&lt;&gt;"No",ISNUMBER(SEARCH("Ideas",$F225))),$W225,NA())</f>
      </c>
      <c r="AL225" s="0">
        <f>IF(AND($V225&lt;&gt;"No",ISNUMBER(SEARCH("Cleric",$C225)),NOT(ISNUMBER(SEARCH("Ideas",$F225)))),$X225,NA())</f>
      </c>
    </row>
    <row r="226">
      <c r="A226" s="0" t="s">
        <v>979</v>
      </c>
      <c r="B226" s="0" t="s">
        <v>979</v>
      </c>
      <c r="C226" s="0" t="s">
        <v>49</v>
      </c>
      <c r="D226" s="0">
        <v>2</v>
      </c>
      <c r="E226" s="0" t="s">
        <v>62</v>
      </c>
      <c r="F226" s="0" t="s">
        <v>1976</v>
      </c>
      <c r="G226" s="0">
        <v>1</v>
      </c>
      <c r="H226" s="0">
        <v>1</v>
      </c>
      <c r="I226" s="0">
        <v>0</v>
      </c>
      <c r="J226" s="0">
        <v>0</v>
      </c>
      <c r="K226" s="0">
        <v>0</v>
      </c>
      <c r="L226" s="0">
        <v>0</v>
      </c>
      <c r="M226" s="0">
        <v>0</v>
      </c>
      <c r="N226" s="0">
        <v>0</v>
      </c>
      <c r="O226" s="0">
        <v>3</v>
      </c>
      <c r="P226" s="0">
        <v>0</v>
      </c>
      <c r="Q226" s="0">
        <v>1</v>
      </c>
      <c r="R226" s="0">
        <v>0</v>
      </c>
      <c r="S226" s="0">
        <v>0</v>
      </c>
      <c r="T226" s="0" t="s">
        <v>34</v>
      </c>
      <c r="U226" s="0" t="s">
        <v>34</v>
      </c>
      <c r="V226" s="0" t="s">
        <v>882</v>
      </c>
      <c r="W226" s="11">
        <f>IF($V226="No","",ROUND((I226*w_Damage + N226*w_Poison + P226*w_Weaken*w_Horizon)*MIN(1+(G226-1)*w_OccEnemy,w_MaxEnemies) + (J226*w_Heal + K226*w_Shield + L226*w_Block + M226*w_Parry + O226*w_Strength*w_Horizon + S226*w_Combo)*MIN(1+(H226-1)*w_OccAlly,w_MaxAllies) + Q226*w_Draw + R226*w_Move,2))</f>
      </c>
      <c r="X226" s="11">
        <f>IF(W226="","",ROUND(W226/MAX(D226,1),2))</f>
      </c>
      <c r="Y226" s="11">
        <f>IF($V226="No","",ROUND((curve_Base+curve_Slope*D226)*IFERROR(VLOOKUP(E226,rarity_Mult,2,FALSE),1),2))</f>
      </c>
      <c r="Z226" s="11">
        <f>IF(OR(W226="",Y226=""),"",ROUND(W226-Y226,2))</f>
      </c>
      <c r="AA226" s="0">
        <f>IF(Z226="","",IF($V226="Partial","RIDER",IF(ABS(Z226)&lt;=Y226*tol_Pct,"OK",IF(Z226&gt;0,"OVER","UNDER"))))</f>
      </c>
      <c r="AB226" s="0" t="s">
        <v>34</v>
      </c>
      <c r="AC226" s="0">
        <f>IF(AND($V226&lt;&gt;"No",$E226="Common",NOT(ISNUMBER(SEARCH("Ideas",$F226)))),$W226,NA())</f>
      </c>
      <c r="AD226" s="0">
        <f>IF(AND($V226&lt;&gt;"No",$E226="Uncommon",NOT(ISNUMBER(SEARCH("Ideas",$F226)))),$W226,NA())</f>
      </c>
      <c r="AE226" s="0">
        <f>IF(AND($V226&lt;&gt;"No",$E226="Rare",NOT(ISNUMBER(SEARCH("Ideas",$F226)))),$W226,NA())</f>
      </c>
      <c r="AF226" s="0">
        <f>IF(AND($V226&lt;&gt;"No",$E226="Legendary",NOT(ISNUMBER(SEARCH("Ideas",$F226)))),$W226,NA())</f>
      </c>
      <c r="AG226" s="0">
        <f>IF(AND($V226&lt;&gt;"No",ISNUMBER(SEARCH("Knight",$C226)),NOT(ISNUMBER(SEARCH("Ideas",$F226)))),$X226,NA())</f>
      </c>
      <c r="AH226" s="0">
        <f>IF(AND($V226&lt;&gt;"No",ISNUMBER(SEARCH("Mage",$C226)),NOT(ISNUMBER(SEARCH("Ideas",$F226)))),$X226,NA())</f>
      </c>
      <c r="AI226" s="0">
        <f>IF(AND($V226&lt;&gt;"No",ISNUMBER(SEARCH("Rogue",$C226)),NOT(ISNUMBER(SEARCH("Ideas",$F226)))),$X226,NA())</f>
      </c>
      <c r="AJ226" s="0">
        <f>IF($V226&lt;&gt;"No",$Y226,NA())</f>
      </c>
      <c r="AK226" s="0">
        <f>IF(AND($V226&lt;&gt;"No",ISNUMBER(SEARCH("Ideas",$F226))),$W226,NA())</f>
      </c>
      <c r="AL226" s="0">
        <f>IF(AND($V226&lt;&gt;"No",ISNUMBER(SEARCH("Cleric",$C226)),NOT(ISNUMBER(SEARCH("Ideas",$F226)))),$X226,NA())</f>
      </c>
    </row>
    <row r="227">
      <c r="A227" s="0" t="s">
        <v>982</v>
      </c>
      <c r="B227" s="0" t="s">
        <v>457</v>
      </c>
      <c r="C227" s="0" t="s">
        <v>49</v>
      </c>
      <c r="D227" s="0">
        <v>1</v>
      </c>
      <c r="E227" s="0" t="s">
        <v>81</v>
      </c>
      <c r="F227" s="0" t="s">
        <v>1976</v>
      </c>
      <c r="G227" s="0">
        <v>1</v>
      </c>
      <c r="H227" s="0">
        <v>1</v>
      </c>
      <c r="I227" s="0">
        <v>0</v>
      </c>
      <c r="J227" s="0">
        <v>0</v>
      </c>
      <c r="K227" s="0">
        <v>5</v>
      </c>
      <c r="L227" s="0">
        <v>0</v>
      </c>
      <c r="M227" s="0">
        <v>0</v>
      </c>
      <c r="N227" s="0">
        <v>0</v>
      </c>
      <c r="O227" s="0">
        <v>0</v>
      </c>
      <c r="P227" s="0">
        <v>0</v>
      </c>
      <c r="Q227" s="0">
        <v>0</v>
      </c>
      <c r="R227" s="0">
        <v>0</v>
      </c>
      <c r="S227" s="0">
        <v>0</v>
      </c>
      <c r="T227" s="0" t="s">
        <v>34</v>
      </c>
      <c r="U227" s="0" t="s">
        <v>34</v>
      </c>
      <c r="V227" s="0" t="s">
        <v>882</v>
      </c>
      <c r="W227" s="11">
        <f>IF($V227="No","",ROUND((I227*w_Damage + N227*w_Poison + P227*w_Weaken*w_Horizon)*MIN(1+(G227-1)*w_OccEnemy,w_MaxEnemies) + (J227*w_Heal + K227*w_Shield + L227*w_Block + M227*w_Parry + O227*w_Strength*w_Horizon + S227*w_Combo)*MIN(1+(H227-1)*w_OccAlly,w_MaxAllies) + Q227*w_Draw + R227*w_Move,2))</f>
      </c>
      <c r="X227" s="11">
        <f>IF(W227="","",ROUND(W227/MAX(D227,1),2))</f>
      </c>
      <c r="Y227" s="11">
        <f>IF($V227="No","",ROUND((curve_Base+curve_Slope*D227)*IFERROR(VLOOKUP(E227,rarity_Mult,2,FALSE),1),2))</f>
      </c>
      <c r="Z227" s="11">
        <f>IF(OR(W227="",Y227=""),"",ROUND(W227-Y227,2))</f>
      </c>
      <c r="AA227" s="0">
        <f>IF(Z227="","",IF($V227="Partial","RIDER",IF(ABS(Z227)&lt;=Y227*tol_Pct,"OK",IF(Z227&gt;0,"OVER","UNDER"))))</f>
      </c>
      <c r="AB227" s="0" t="s">
        <v>34</v>
      </c>
      <c r="AC227" s="0">
        <f>IF(AND($V227&lt;&gt;"No",$E227="Common",NOT(ISNUMBER(SEARCH("Ideas",$F227)))),$W227,NA())</f>
      </c>
      <c r="AD227" s="0">
        <f>IF(AND($V227&lt;&gt;"No",$E227="Uncommon",NOT(ISNUMBER(SEARCH("Ideas",$F227)))),$W227,NA())</f>
      </c>
      <c r="AE227" s="0">
        <f>IF(AND($V227&lt;&gt;"No",$E227="Rare",NOT(ISNUMBER(SEARCH("Ideas",$F227)))),$W227,NA())</f>
      </c>
      <c r="AF227" s="0">
        <f>IF(AND($V227&lt;&gt;"No",$E227="Legendary",NOT(ISNUMBER(SEARCH("Ideas",$F227)))),$W227,NA())</f>
      </c>
      <c r="AG227" s="0">
        <f>IF(AND($V227&lt;&gt;"No",ISNUMBER(SEARCH("Knight",$C227)),NOT(ISNUMBER(SEARCH("Ideas",$F227)))),$X227,NA())</f>
      </c>
      <c r="AH227" s="0">
        <f>IF(AND($V227&lt;&gt;"No",ISNUMBER(SEARCH("Mage",$C227)),NOT(ISNUMBER(SEARCH("Ideas",$F227)))),$X227,NA())</f>
      </c>
      <c r="AI227" s="0">
        <f>IF(AND($V227&lt;&gt;"No",ISNUMBER(SEARCH("Rogue",$C227)),NOT(ISNUMBER(SEARCH("Ideas",$F227)))),$X227,NA())</f>
      </c>
      <c r="AJ227" s="0">
        <f>IF($V227&lt;&gt;"No",$Y227,NA())</f>
      </c>
      <c r="AK227" s="0">
        <f>IF(AND($V227&lt;&gt;"No",ISNUMBER(SEARCH("Ideas",$F227))),$W227,NA())</f>
      </c>
      <c r="AL227" s="0">
        <f>IF(AND($V227&lt;&gt;"No",ISNUMBER(SEARCH("Cleric",$C227)),NOT(ISNUMBER(SEARCH("Ideas",$F227)))),$X227,NA())</f>
      </c>
    </row>
    <row r="228">
      <c r="A228" s="0" t="s">
        <v>984</v>
      </c>
      <c r="B228" s="0" t="s">
        <v>984</v>
      </c>
      <c r="C228" s="0" t="s">
        <v>49</v>
      </c>
      <c r="D228" s="0">
        <v>3</v>
      </c>
      <c r="E228" s="0" t="s">
        <v>985</v>
      </c>
      <c r="F228" s="0" t="s">
        <v>1976</v>
      </c>
      <c r="G228" s="0">
        <v>1</v>
      </c>
      <c r="H228" s="0">
        <v>1</v>
      </c>
      <c r="I228" s="0">
        <v>0</v>
      </c>
      <c r="J228" s="0">
        <v>0</v>
      </c>
      <c r="K228" s="0">
        <v>10</v>
      </c>
      <c r="L228" s="0">
        <v>25</v>
      </c>
      <c r="M228" s="0">
        <v>0</v>
      </c>
      <c r="N228" s="0">
        <v>0</v>
      </c>
      <c r="O228" s="0">
        <v>0</v>
      </c>
      <c r="P228" s="0">
        <v>0</v>
      </c>
      <c r="Q228" s="0">
        <v>0</v>
      </c>
      <c r="R228" s="0">
        <v>0</v>
      </c>
      <c r="S228" s="0">
        <v>1</v>
      </c>
      <c r="T228" s="0" t="s">
        <v>34</v>
      </c>
      <c r="U228" s="0" t="s">
        <v>34</v>
      </c>
      <c r="V228" s="0" t="s">
        <v>882</v>
      </c>
      <c r="W228" s="11">
        <f>IF($V228="No","",ROUND((I228*w_Damage + N228*w_Poison + P228*w_Weaken*w_Horizon)*MIN(1+(G228-1)*w_OccEnemy,w_MaxEnemies) + (J228*w_Heal + K228*w_Shield + L228*w_Block + M228*w_Parry + O228*w_Strength*w_Horizon + S228*w_Combo)*MIN(1+(H228-1)*w_OccAlly,w_MaxAllies) + Q228*w_Draw + R228*w_Move,2))</f>
      </c>
      <c r="X228" s="11">
        <f>IF(W228="","",ROUND(W228/MAX(D228,1),2))</f>
      </c>
      <c r="Y228" s="11">
        <f>IF($V228="No","",ROUND((curve_Base+curve_Slope*D228)*IFERROR(VLOOKUP(E228,rarity_Mult,2,FALSE),1),2))</f>
      </c>
      <c r="Z228" s="11">
        <f>IF(OR(W228="",Y228=""),"",ROUND(W228-Y228,2))</f>
      </c>
      <c r="AA228" s="0">
        <f>IF(Z228="","",IF($V228="Partial","RIDER",IF(ABS(Z228)&lt;=Y228*tol_Pct,"OK",IF(Z228&gt;0,"OVER","UNDER"))))</f>
      </c>
      <c r="AB228" s="0" t="s">
        <v>34</v>
      </c>
      <c r="AC228" s="0">
        <f>IF(AND($V228&lt;&gt;"No",$E228="Common",NOT(ISNUMBER(SEARCH("Ideas",$F228)))),$W228,NA())</f>
      </c>
      <c r="AD228" s="0">
        <f>IF(AND($V228&lt;&gt;"No",$E228="Uncommon",NOT(ISNUMBER(SEARCH("Ideas",$F228)))),$W228,NA())</f>
      </c>
      <c r="AE228" s="0">
        <f>IF(AND($V228&lt;&gt;"No",$E228="Rare",NOT(ISNUMBER(SEARCH("Ideas",$F228)))),$W228,NA())</f>
      </c>
      <c r="AF228" s="0">
        <f>IF(AND($V228&lt;&gt;"No",$E228="Legendary",NOT(ISNUMBER(SEARCH("Ideas",$F228)))),$W228,NA())</f>
      </c>
      <c r="AG228" s="0">
        <f>IF(AND($V228&lt;&gt;"No",ISNUMBER(SEARCH("Knight",$C228)),NOT(ISNUMBER(SEARCH("Ideas",$F228)))),$X228,NA())</f>
      </c>
      <c r="AH228" s="0">
        <f>IF(AND($V228&lt;&gt;"No",ISNUMBER(SEARCH("Mage",$C228)),NOT(ISNUMBER(SEARCH("Ideas",$F228)))),$X228,NA())</f>
      </c>
      <c r="AI228" s="0">
        <f>IF(AND($V228&lt;&gt;"No",ISNUMBER(SEARCH("Rogue",$C228)),NOT(ISNUMBER(SEARCH("Ideas",$F228)))),$X228,NA())</f>
      </c>
      <c r="AJ228" s="0">
        <f>IF($V228&lt;&gt;"No",$Y228,NA())</f>
      </c>
      <c r="AK228" s="0">
        <f>IF(AND($V228&lt;&gt;"No",ISNUMBER(SEARCH("Ideas",$F228))),$W228,NA())</f>
      </c>
      <c r="AL228" s="0">
        <f>IF(AND($V228&lt;&gt;"No",ISNUMBER(SEARCH("Cleric",$C228)),NOT(ISNUMBER(SEARCH("Ideas",$F228)))),$X228,NA())</f>
      </c>
    </row>
    <row r="229">
      <c r="A229" s="0" t="s">
        <v>1015</v>
      </c>
      <c r="B229" s="0" t="s">
        <v>1012</v>
      </c>
      <c r="C229" s="0" t="s">
        <v>49</v>
      </c>
      <c r="D229" s="0">
        <v>1</v>
      </c>
      <c r="E229" s="0" t="s">
        <v>81</v>
      </c>
      <c r="F229" s="0" t="s">
        <v>1976</v>
      </c>
      <c r="G229" s="0">
        <v>1</v>
      </c>
      <c r="H229" s="0">
        <v>1</v>
      </c>
      <c r="I229" s="0">
        <v>10</v>
      </c>
      <c r="J229" s="0">
        <v>0</v>
      </c>
      <c r="K229" s="0">
        <v>0</v>
      </c>
      <c r="L229" s="0">
        <v>0</v>
      </c>
      <c r="M229" s="0">
        <v>0</v>
      </c>
      <c r="N229" s="0">
        <v>0</v>
      </c>
      <c r="O229" s="0">
        <v>0</v>
      </c>
      <c r="P229" s="0">
        <v>0</v>
      </c>
      <c r="Q229" s="0">
        <v>0</v>
      </c>
      <c r="R229" s="0">
        <v>0</v>
      </c>
      <c r="S229" s="0">
        <v>0</v>
      </c>
      <c r="T229" s="0" t="s">
        <v>34</v>
      </c>
      <c r="U229" s="0" t="s">
        <v>34</v>
      </c>
      <c r="V229" s="0" t="s">
        <v>882</v>
      </c>
      <c r="W229" s="11">
        <f>IF($V229="No","",ROUND((I229*w_Damage + N229*w_Poison + P229*w_Weaken*w_Horizon)*MIN(1+(G229-1)*w_OccEnemy,w_MaxEnemies) + (J229*w_Heal + K229*w_Shield + L229*w_Block + M229*w_Parry + O229*w_Strength*w_Horizon + S229*w_Combo)*MIN(1+(H229-1)*w_OccAlly,w_MaxAllies) + Q229*w_Draw + R229*w_Move,2))</f>
      </c>
      <c r="X229" s="11">
        <f>IF(W229="","",ROUND(W229/MAX(D229,1),2))</f>
      </c>
      <c r="Y229" s="11">
        <f>IF($V229="No","",ROUND((curve_Base+curve_Slope*D229)*IFERROR(VLOOKUP(E229,rarity_Mult,2,FALSE),1),2))</f>
      </c>
      <c r="Z229" s="11">
        <f>IF(OR(W229="",Y229=""),"",ROUND(W229-Y229,2))</f>
      </c>
      <c r="AA229" s="0">
        <f>IF(Z229="","",IF($V229="Partial","RIDER",IF(ABS(Z229)&lt;=Y229*tol_Pct,"OK",IF(Z229&gt;0,"OVER","UNDER"))))</f>
      </c>
      <c r="AB229" s="0" t="s">
        <v>34</v>
      </c>
      <c r="AC229" s="0">
        <f>IF(AND($V229&lt;&gt;"No",$E229="Common",NOT(ISNUMBER(SEARCH("Ideas",$F229)))),$W229,NA())</f>
      </c>
      <c r="AD229" s="0">
        <f>IF(AND($V229&lt;&gt;"No",$E229="Uncommon",NOT(ISNUMBER(SEARCH("Ideas",$F229)))),$W229,NA())</f>
      </c>
      <c r="AE229" s="0">
        <f>IF(AND($V229&lt;&gt;"No",$E229="Rare",NOT(ISNUMBER(SEARCH("Ideas",$F229)))),$W229,NA())</f>
      </c>
      <c r="AF229" s="0">
        <f>IF(AND($V229&lt;&gt;"No",$E229="Legendary",NOT(ISNUMBER(SEARCH("Ideas",$F229)))),$W229,NA())</f>
      </c>
      <c r="AG229" s="0">
        <f>IF(AND($V229&lt;&gt;"No",ISNUMBER(SEARCH("Knight",$C229)),NOT(ISNUMBER(SEARCH("Ideas",$F229)))),$X229,NA())</f>
      </c>
      <c r="AH229" s="0">
        <f>IF(AND($V229&lt;&gt;"No",ISNUMBER(SEARCH("Mage",$C229)),NOT(ISNUMBER(SEARCH("Ideas",$F229)))),$X229,NA())</f>
      </c>
      <c r="AI229" s="0">
        <f>IF(AND($V229&lt;&gt;"No",ISNUMBER(SEARCH("Rogue",$C229)),NOT(ISNUMBER(SEARCH("Ideas",$F229)))),$X229,NA())</f>
      </c>
      <c r="AJ229" s="0">
        <f>IF($V229&lt;&gt;"No",$Y229,NA())</f>
      </c>
      <c r="AK229" s="0">
        <f>IF(AND($V229&lt;&gt;"No",ISNUMBER(SEARCH("Ideas",$F229))),$W229,NA())</f>
      </c>
      <c r="AL229" s="0">
        <f>IF(AND($V229&lt;&gt;"No",ISNUMBER(SEARCH("Cleric",$C229)),NOT(ISNUMBER(SEARCH("Ideas",$F229)))),$X229,NA())</f>
      </c>
    </row>
    <row r="230">
      <c r="A230" s="0" t="s">
        <v>1038</v>
      </c>
      <c r="B230" s="0" t="s">
        <v>1036</v>
      </c>
      <c r="C230" s="0" t="s">
        <v>49</v>
      </c>
      <c r="D230" s="0">
        <v>3</v>
      </c>
      <c r="E230" s="0" t="s">
        <v>985</v>
      </c>
      <c r="F230" s="0" t="s">
        <v>1976</v>
      </c>
      <c r="G230" s="0">
        <v>1</v>
      </c>
      <c r="H230" s="0">
        <v>1</v>
      </c>
      <c r="I230" s="0">
        <v>0</v>
      </c>
      <c r="J230" s="0">
        <v>0</v>
      </c>
      <c r="K230" s="0">
        <v>15</v>
      </c>
      <c r="L230" s="0">
        <v>0</v>
      </c>
      <c r="M230" s="0">
        <v>0</v>
      </c>
      <c r="N230" s="0">
        <v>0</v>
      </c>
      <c r="O230" s="0">
        <v>3</v>
      </c>
      <c r="P230" s="0">
        <v>0</v>
      </c>
      <c r="Q230" s="0">
        <v>1</v>
      </c>
      <c r="R230" s="0">
        <v>0</v>
      </c>
      <c r="S230" s="0">
        <v>0</v>
      </c>
      <c r="T230" s="0" t="s">
        <v>34</v>
      </c>
      <c r="U230" s="0" t="s">
        <v>34</v>
      </c>
      <c r="V230" s="0" t="s">
        <v>882</v>
      </c>
      <c r="W230" s="11">
        <f>IF($V230="No","",ROUND((I230*w_Damage + N230*w_Poison + P230*w_Weaken*w_Horizon)*MIN(1+(G230-1)*w_OccEnemy,w_MaxEnemies) + (J230*w_Heal + K230*w_Shield + L230*w_Block + M230*w_Parry + O230*w_Strength*w_Horizon + S230*w_Combo)*MIN(1+(H230-1)*w_OccAlly,w_MaxAllies) + Q230*w_Draw + R230*w_Move,2))</f>
      </c>
      <c r="X230" s="11">
        <f>IF(W230="","",ROUND(W230/MAX(D230,1),2))</f>
      </c>
      <c r="Y230" s="11">
        <f>IF($V230="No","",ROUND((curve_Base+curve_Slope*D230)*IFERROR(VLOOKUP(E230,rarity_Mult,2,FALSE),1),2))</f>
      </c>
      <c r="Z230" s="11">
        <f>IF(OR(W230="",Y230=""),"",ROUND(W230-Y230,2))</f>
      </c>
      <c r="AA230" s="0">
        <f>IF(Z230="","",IF($V230="Partial","RIDER",IF(ABS(Z230)&lt;=Y230*tol_Pct,"OK",IF(Z230&gt;0,"OVER","UNDER"))))</f>
      </c>
      <c r="AB230" s="0" t="s">
        <v>34</v>
      </c>
      <c r="AC230" s="0">
        <f>IF(AND($V230&lt;&gt;"No",$E230="Common",NOT(ISNUMBER(SEARCH("Ideas",$F230)))),$W230,NA())</f>
      </c>
      <c r="AD230" s="0">
        <f>IF(AND($V230&lt;&gt;"No",$E230="Uncommon",NOT(ISNUMBER(SEARCH("Ideas",$F230)))),$W230,NA())</f>
      </c>
      <c r="AE230" s="0">
        <f>IF(AND($V230&lt;&gt;"No",$E230="Rare",NOT(ISNUMBER(SEARCH("Ideas",$F230)))),$W230,NA())</f>
      </c>
      <c r="AF230" s="0">
        <f>IF(AND($V230&lt;&gt;"No",$E230="Legendary",NOT(ISNUMBER(SEARCH("Ideas",$F230)))),$W230,NA())</f>
      </c>
      <c r="AG230" s="0">
        <f>IF(AND($V230&lt;&gt;"No",ISNUMBER(SEARCH("Knight",$C230)),NOT(ISNUMBER(SEARCH("Ideas",$F230)))),$X230,NA())</f>
      </c>
      <c r="AH230" s="0">
        <f>IF(AND($V230&lt;&gt;"No",ISNUMBER(SEARCH("Mage",$C230)),NOT(ISNUMBER(SEARCH("Ideas",$F230)))),$X230,NA())</f>
      </c>
      <c r="AI230" s="0">
        <f>IF(AND($V230&lt;&gt;"No",ISNUMBER(SEARCH("Rogue",$C230)),NOT(ISNUMBER(SEARCH("Ideas",$F230)))),$X230,NA())</f>
      </c>
      <c r="AJ230" s="0">
        <f>IF($V230&lt;&gt;"No",$Y230,NA())</f>
      </c>
      <c r="AK230" s="0">
        <f>IF(AND($V230&lt;&gt;"No",ISNUMBER(SEARCH("Ideas",$F230))),$W230,NA())</f>
      </c>
      <c r="AL230" s="0">
        <f>IF(AND($V230&lt;&gt;"No",ISNUMBER(SEARCH("Cleric",$C230)),NOT(ISNUMBER(SEARCH("Ideas",$F230)))),$X230,NA())</f>
      </c>
    </row>
    <row r="231">
      <c r="A231" s="0" t="s">
        <v>1040</v>
      </c>
      <c r="B231" s="0" t="s">
        <v>1040</v>
      </c>
      <c r="C231" s="0" t="s">
        <v>49</v>
      </c>
      <c r="D231" s="0">
        <v>3</v>
      </c>
      <c r="E231" s="0" t="s">
        <v>62</v>
      </c>
      <c r="F231" s="0" t="s">
        <v>1976</v>
      </c>
      <c r="G231" s="0">
        <v>9</v>
      </c>
      <c r="H231" s="0">
        <v>1</v>
      </c>
      <c r="I231" s="0">
        <v>8</v>
      </c>
      <c r="J231" s="0">
        <v>0</v>
      </c>
      <c r="K231" s="0">
        <v>0</v>
      </c>
      <c r="L231" s="0">
        <v>0</v>
      </c>
      <c r="M231" s="0">
        <v>0</v>
      </c>
      <c r="N231" s="0">
        <v>0</v>
      </c>
      <c r="O231" s="0">
        <v>0</v>
      </c>
      <c r="P231" s="0">
        <v>0</v>
      </c>
      <c r="Q231" s="0">
        <v>0</v>
      </c>
      <c r="R231" s="0">
        <v>0</v>
      </c>
      <c r="S231" s="0">
        <v>0</v>
      </c>
      <c r="T231" s="0" t="s">
        <v>34</v>
      </c>
      <c r="U231" s="0" t="s">
        <v>34</v>
      </c>
      <c r="V231" s="0" t="s">
        <v>882</v>
      </c>
      <c r="W231" s="11">
        <f>IF($V231="No","",ROUND((I231*w_Damage + N231*w_Poison + P231*w_Weaken*w_Horizon)*MIN(1+(G231-1)*w_OccEnemy,w_MaxEnemies) + (J231*w_Heal + K231*w_Shield + L231*w_Block + M231*w_Parry + O231*w_Strength*w_Horizon + S231*w_Combo)*MIN(1+(H231-1)*w_OccAlly,w_MaxAllies) + Q231*w_Draw + R231*w_Move,2))</f>
      </c>
      <c r="X231" s="11">
        <f>IF(W231="","",ROUND(W231/MAX(D231,1),2))</f>
      </c>
      <c r="Y231" s="11">
        <f>IF($V231="No","",ROUND((curve_Base+curve_Slope*D231)*IFERROR(VLOOKUP(E231,rarity_Mult,2,FALSE),1),2))</f>
      </c>
      <c r="Z231" s="11">
        <f>IF(OR(W231="",Y231=""),"",ROUND(W231-Y231,2))</f>
      </c>
      <c r="AA231" s="0">
        <f>IF(Z231="","",IF($V231="Partial","RIDER",IF(ABS(Z231)&lt;=Y231*tol_Pct,"OK",IF(Z231&gt;0,"OVER","UNDER"))))</f>
      </c>
      <c r="AB231" s="0" t="s">
        <v>34</v>
      </c>
      <c r="AC231" s="0">
        <f>IF(AND($V231&lt;&gt;"No",$E231="Common",NOT(ISNUMBER(SEARCH("Ideas",$F231)))),$W231,NA())</f>
      </c>
      <c r="AD231" s="0">
        <f>IF(AND($V231&lt;&gt;"No",$E231="Uncommon",NOT(ISNUMBER(SEARCH("Ideas",$F231)))),$W231,NA())</f>
      </c>
      <c r="AE231" s="0">
        <f>IF(AND($V231&lt;&gt;"No",$E231="Rare",NOT(ISNUMBER(SEARCH("Ideas",$F231)))),$W231,NA())</f>
      </c>
      <c r="AF231" s="0">
        <f>IF(AND($V231&lt;&gt;"No",$E231="Legendary",NOT(ISNUMBER(SEARCH("Ideas",$F231)))),$W231,NA())</f>
      </c>
      <c r="AG231" s="0">
        <f>IF(AND($V231&lt;&gt;"No",ISNUMBER(SEARCH("Knight",$C231)),NOT(ISNUMBER(SEARCH("Ideas",$F231)))),$X231,NA())</f>
      </c>
      <c r="AH231" s="0">
        <f>IF(AND($V231&lt;&gt;"No",ISNUMBER(SEARCH("Mage",$C231)),NOT(ISNUMBER(SEARCH("Ideas",$F231)))),$X231,NA())</f>
      </c>
      <c r="AI231" s="0">
        <f>IF(AND($V231&lt;&gt;"No",ISNUMBER(SEARCH("Rogue",$C231)),NOT(ISNUMBER(SEARCH("Ideas",$F231)))),$X231,NA())</f>
      </c>
      <c r="AJ231" s="0">
        <f>IF($V231&lt;&gt;"No",$Y231,NA())</f>
      </c>
      <c r="AK231" s="0">
        <f>IF(AND($V231&lt;&gt;"No",ISNUMBER(SEARCH("Ideas",$F231))),$W231,NA())</f>
      </c>
      <c r="AL231" s="0">
        <f>IF(AND($V231&lt;&gt;"No",ISNUMBER(SEARCH("Cleric",$C231)),NOT(ISNUMBER(SEARCH("Ideas",$F231)))),$X231,NA())</f>
      </c>
    </row>
    <row r="232">
      <c r="A232" s="0" t="s">
        <v>192</v>
      </c>
      <c r="B232" s="0" t="s">
        <v>192</v>
      </c>
      <c r="C232" s="0" t="s">
        <v>49</v>
      </c>
      <c r="D232" s="0">
        <v>2</v>
      </c>
      <c r="E232" s="0" t="s">
        <v>62</v>
      </c>
      <c r="F232" s="0" t="s">
        <v>1976</v>
      </c>
      <c r="G232" s="0">
        <v>9</v>
      </c>
      <c r="H232" s="0">
        <v>1</v>
      </c>
      <c r="I232" s="0">
        <v>6</v>
      </c>
      <c r="J232" s="0">
        <v>0</v>
      </c>
      <c r="K232" s="0">
        <v>0</v>
      </c>
      <c r="L232" s="0">
        <v>0</v>
      </c>
      <c r="M232" s="0">
        <v>0</v>
      </c>
      <c r="N232" s="0">
        <v>0</v>
      </c>
      <c r="O232" s="0">
        <v>0</v>
      </c>
      <c r="P232" s="0">
        <v>0</v>
      </c>
      <c r="Q232" s="0">
        <v>0</v>
      </c>
      <c r="R232" s="0">
        <v>0</v>
      </c>
      <c r="S232" s="0">
        <v>0</v>
      </c>
      <c r="T232" s="0" t="s">
        <v>34</v>
      </c>
      <c r="U232" s="0" t="s">
        <v>34</v>
      </c>
      <c r="V232" s="0" t="s">
        <v>882</v>
      </c>
      <c r="W232" s="11">
        <f>IF($V232="No","",ROUND((I232*w_Damage + N232*w_Poison + P232*w_Weaken*w_Horizon)*MIN(1+(G232-1)*w_OccEnemy,w_MaxEnemies) + (J232*w_Heal + K232*w_Shield + L232*w_Block + M232*w_Parry + O232*w_Strength*w_Horizon + S232*w_Combo)*MIN(1+(H232-1)*w_OccAlly,w_MaxAllies) + Q232*w_Draw + R232*w_Move,2))</f>
      </c>
      <c r="X232" s="11">
        <f>IF(W232="","",ROUND(W232/MAX(D232,1),2))</f>
      </c>
      <c r="Y232" s="11">
        <f>IF($V232="No","",ROUND((curve_Base+curve_Slope*D232)*IFERROR(VLOOKUP(E232,rarity_Mult,2,FALSE),1),2))</f>
      </c>
      <c r="Z232" s="11">
        <f>IF(OR(W232="",Y232=""),"",ROUND(W232-Y232,2))</f>
      </c>
      <c r="AA232" s="0">
        <f>IF(Z232="","",IF($V232="Partial","RIDER",IF(ABS(Z232)&lt;=Y232*tol_Pct,"OK",IF(Z232&gt;0,"OVER","UNDER"))))</f>
      </c>
      <c r="AB232" s="0" t="s">
        <v>34</v>
      </c>
      <c r="AC232" s="0">
        <f>IF(AND($V232&lt;&gt;"No",$E232="Common",NOT(ISNUMBER(SEARCH("Ideas",$F232)))),$W232,NA())</f>
      </c>
      <c r="AD232" s="0">
        <f>IF(AND($V232&lt;&gt;"No",$E232="Uncommon",NOT(ISNUMBER(SEARCH("Ideas",$F232)))),$W232,NA())</f>
      </c>
      <c r="AE232" s="0">
        <f>IF(AND($V232&lt;&gt;"No",$E232="Rare",NOT(ISNUMBER(SEARCH("Ideas",$F232)))),$W232,NA())</f>
      </c>
      <c r="AF232" s="0">
        <f>IF(AND($V232&lt;&gt;"No",$E232="Legendary",NOT(ISNUMBER(SEARCH("Ideas",$F232)))),$W232,NA())</f>
      </c>
      <c r="AG232" s="0">
        <f>IF(AND($V232&lt;&gt;"No",ISNUMBER(SEARCH("Knight",$C232)),NOT(ISNUMBER(SEARCH("Ideas",$F232)))),$X232,NA())</f>
      </c>
      <c r="AH232" s="0">
        <f>IF(AND($V232&lt;&gt;"No",ISNUMBER(SEARCH("Mage",$C232)),NOT(ISNUMBER(SEARCH("Ideas",$F232)))),$X232,NA())</f>
      </c>
      <c r="AI232" s="0">
        <f>IF(AND($V232&lt;&gt;"No",ISNUMBER(SEARCH("Rogue",$C232)),NOT(ISNUMBER(SEARCH("Ideas",$F232)))),$X232,NA())</f>
      </c>
      <c r="AJ232" s="0">
        <f>IF($V232&lt;&gt;"No",$Y232,NA())</f>
      </c>
      <c r="AK232" s="0">
        <f>IF(AND($V232&lt;&gt;"No",ISNUMBER(SEARCH("Ideas",$F232))),$W232,NA())</f>
      </c>
      <c r="AL232" s="0">
        <f>IF(AND($V232&lt;&gt;"No",ISNUMBER(SEARCH("Cleric",$C232)),NOT(ISNUMBER(SEARCH("Ideas",$F232)))),$X232,NA())</f>
      </c>
    </row>
    <row r="233">
      <c r="A233" s="0" t="s">
        <v>1047</v>
      </c>
      <c r="B233" s="0" t="s">
        <v>1045</v>
      </c>
      <c r="C233" s="0" t="s">
        <v>49</v>
      </c>
      <c r="D233" s="0">
        <v>3</v>
      </c>
      <c r="E233" s="0" t="s">
        <v>985</v>
      </c>
      <c r="F233" s="0" t="s">
        <v>1976</v>
      </c>
      <c r="G233" s="0">
        <v>1</v>
      </c>
      <c r="H233" s="0">
        <v>1</v>
      </c>
      <c r="I233" s="0">
        <v>0</v>
      </c>
      <c r="J233" s="0">
        <v>0</v>
      </c>
      <c r="K233" s="0">
        <v>10</v>
      </c>
      <c r="L233" s="0">
        <v>25</v>
      </c>
      <c r="M233" s="0">
        <v>0</v>
      </c>
      <c r="N233" s="0">
        <v>0</v>
      </c>
      <c r="O233" s="0">
        <v>0</v>
      </c>
      <c r="P233" s="0">
        <v>0</v>
      </c>
      <c r="Q233" s="0">
        <v>0</v>
      </c>
      <c r="R233" s="0">
        <v>0</v>
      </c>
      <c r="S233" s="0">
        <v>0</v>
      </c>
      <c r="T233" s="0" t="s">
        <v>34</v>
      </c>
      <c r="U233" s="0" t="s">
        <v>63</v>
      </c>
      <c r="V233" s="0" t="s">
        <v>1905</v>
      </c>
      <c r="W233" s="11">
        <f>IF($V233="No","",ROUND((I233*w_Damage + N233*w_Poison + P233*w_Weaken*w_Horizon)*MIN(1+(G233-1)*w_OccEnemy,w_MaxEnemies) + (J233*w_Heal + K233*w_Shield + L233*w_Block + M233*w_Parry + O233*w_Strength*w_Horizon + S233*w_Combo)*MIN(1+(H233-1)*w_OccAlly,w_MaxAllies) + Q233*w_Draw + R233*w_Move,2))</f>
      </c>
      <c r="X233" s="11">
        <f>IF(W233="","",ROUND(W233/MAX(D233,1),2))</f>
      </c>
      <c r="Y233" s="11">
        <f>IF($V233="No","",ROUND((curve_Base+curve_Slope*D233)*IFERROR(VLOOKUP(E233,rarity_Mult,2,FALSE),1),2))</f>
      </c>
      <c r="Z233" s="11">
        <f>IF(OR(W233="",Y233=""),"",ROUND(W233-Y233,2))</f>
      </c>
      <c r="AA233" s="0">
        <f>IF(Z233="","",IF($V233="Partial","RIDER",IF(ABS(Z233)&lt;=Y233*tol_Pct,"OK",IF(Z233&gt;0,"OVER","UNDER"))))</f>
      </c>
      <c r="AB233" s="0" t="s">
        <v>34</v>
      </c>
      <c r="AC233" s="0">
        <f>IF(AND($V233&lt;&gt;"No",$E233="Common",NOT(ISNUMBER(SEARCH("Ideas",$F233)))),$W233,NA())</f>
      </c>
      <c r="AD233" s="0">
        <f>IF(AND($V233&lt;&gt;"No",$E233="Uncommon",NOT(ISNUMBER(SEARCH("Ideas",$F233)))),$W233,NA())</f>
      </c>
      <c r="AE233" s="0">
        <f>IF(AND($V233&lt;&gt;"No",$E233="Rare",NOT(ISNUMBER(SEARCH("Ideas",$F233)))),$W233,NA())</f>
      </c>
      <c r="AF233" s="0">
        <f>IF(AND($V233&lt;&gt;"No",$E233="Legendary",NOT(ISNUMBER(SEARCH("Ideas",$F233)))),$W233,NA())</f>
      </c>
      <c r="AG233" s="0">
        <f>IF(AND($V233&lt;&gt;"No",ISNUMBER(SEARCH("Knight",$C233)),NOT(ISNUMBER(SEARCH("Ideas",$F233)))),$X233,NA())</f>
      </c>
      <c r="AH233" s="0">
        <f>IF(AND($V233&lt;&gt;"No",ISNUMBER(SEARCH("Mage",$C233)),NOT(ISNUMBER(SEARCH("Ideas",$F233)))),$X233,NA())</f>
      </c>
      <c r="AI233" s="0">
        <f>IF(AND($V233&lt;&gt;"No",ISNUMBER(SEARCH("Rogue",$C233)),NOT(ISNUMBER(SEARCH("Ideas",$F233)))),$X233,NA())</f>
      </c>
      <c r="AJ233" s="0">
        <f>IF($V233&lt;&gt;"No",$Y233,NA())</f>
      </c>
      <c r="AK233" s="0">
        <f>IF(AND($V233&lt;&gt;"No",ISNUMBER(SEARCH("Ideas",$F233))),$W233,NA())</f>
      </c>
      <c r="AL233" s="0">
        <f>IF(AND($V233&lt;&gt;"No",ISNUMBER(SEARCH("Cleric",$C233)),NOT(ISNUMBER(SEARCH("Ideas",$F233)))),$X233,NA())</f>
      </c>
    </row>
    <row r="234">
      <c r="A234" s="0" t="s">
        <v>1048</v>
      </c>
      <c r="B234" s="0" t="s">
        <v>1048</v>
      </c>
      <c r="C234" s="0" t="s">
        <v>49</v>
      </c>
      <c r="D234" s="0">
        <v>3</v>
      </c>
      <c r="E234" s="0" t="s">
        <v>62</v>
      </c>
      <c r="F234" s="0" t="s">
        <v>1976</v>
      </c>
      <c r="G234" s="0">
        <v>1</v>
      </c>
      <c r="H234" s="0">
        <v>1</v>
      </c>
      <c r="I234" s="0">
        <v>15</v>
      </c>
      <c r="J234" s="0">
        <v>0</v>
      </c>
      <c r="K234" s="0">
        <v>0</v>
      </c>
      <c r="L234" s="0">
        <v>0</v>
      </c>
      <c r="M234" s="0">
        <v>0</v>
      </c>
      <c r="N234" s="0">
        <v>0</v>
      </c>
      <c r="O234" s="0">
        <v>0</v>
      </c>
      <c r="P234" s="0">
        <v>0</v>
      </c>
      <c r="Q234" s="0">
        <v>0</v>
      </c>
      <c r="R234" s="0">
        <v>0</v>
      </c>
      <c r="S234" s="0">
        <v>0</v>
      </c>
      <c r="T234" s="0" t="s">
        <v>34</v>
      </c>
      <c r="U234" s="0" t="s">
        <v>34</v>
      </c>
      <c r="V234" s="0" t="s">
        <v>882</v>
      </c>
      <c r="W234" s="11">
        <f>IF($V234="No","",ROUND((I234*w_Damage + N234*w_Poison + P234*w_Weaken*w_Horizon)*MIN(1+(G234-1)*w_OccEnemy,w_MaxEnemies) + (J234*w_Heal + K234*w_Shield + L234*w_Block + M234*w_Parry + O234*w_Strength*w_Horizon + S234*w_Combo)*MIN(1+(H234-1)*w_OccAlly,w_MaxAllies) + Q234*w_Draw + R234*w_Move,2))</f>
      </c>
      <c r="X234" s="11">
        <f>IF(W234="","",ROUND(W234/MAX(D234,1),2))</f>
      </c>
      <c r="Y234" s="11">
        <f>IF($V234="No","",ROUND((curve_Base+curve_Slope*D234)*IFERROR(VLOOKUP(E234,rarity_Mult,2,FALSE),1),2))</f>
      </c>
      <c r="Z234" s="11">
        <f>IF(OR(W234="",Y234=""),"",ROUND(W234-Y234,2))</f>
      </c>
      <c r="AA234" s="0">
        <f>IF(Z234="","",IF($V234="Partial","RIDER",IF(ABS(Z234)&lt;=Y234*tol_Pct,"OK",IF(Z234&gt;0,"OVER","UNDER"))))</f>
      </c>
      <c r="AB234" s="0" t="s">
        <v>34</v>
      </c>
      <c r="AC234" s="0">
        <f>IF(AND($V234&lt;&gt;"No",$E234="Common",NOT(ISNUMBER(SEARCH("Ideas",$F234)))),$W234,NA())</f>
      </c>
      <c r="AD234" s="0">
        <f>IF(AND($V234&lt;&gt;"No",$E234="Uncommon",NOT(ISNUMBER(SEARCH("Ideas",$F234)))),$W234,NA())</f>
      </c>
      <c r="AE234" s="0">
        <f>IF(AND($V234&lt;&gt;"No",$E234="Rare",NOT(ISNUMBER(SEARCH("Ideas",$F234)))),$W234,NA())</f>
      </c>
      <c r="AF234" s="0">
        <f>IF(AND($V234&lt;&gt;"No",$E234="Legendary",NOT(ISNUMBER(SEARCH("Ideas",$F234)))),$W234,NA())</f>
      </c>
      <c r="AG234" s="0">
        <f>IF(AND($V234&lt;&gt;"No",ISNUMBER(SEARCH("Knight",$C234)),NOT(ISNUMBER(SEARCH("Ideas",$F234)))),$X234,NA())</f>
      </c>
      <c r="AH234" s="0">
        <f>IF(AND($V234&lt;&gt;"No",ISNUMBER(SEARCH("Mage",$C234)),NOT(ISNUMBER(SEARCH("Ideas",$F234)))),$X234,NA())</f>
      </c>
      <c r="AI234" s="0">
        <f>IF(AND($V234&lt;&gt;"No",ISNUMBER(SEARCH("Rogue",$C234)),NOT(ISNUMBER(SEARCH("Ideas",$F234)))),$X234,NA())</f>
      </c>
      <c r="AJ234" s="0">
        <f>IF($V234&lt;&gt;"No",$Y234,NA())</f>
      </c>
      <c r="AK234" s="0">
        <f>IF(AND($V234&lt;&gt;"No",ISNUMBER(SEARCH("Ideas",$F234))),$W234,NA())</f>
      </c>
      <c r="AL234" s="0">
        <f>IF(AND($V234&lt;&gt;"No",ISNUMBER(SEARCH("Cleric",$C234)),NOT(ISNUMBER(SEARCH("Ideas",$F234)))),$X234,NA())</f>
      </c>
    </row>
    <row r="235">
      <c r="A235" s="0" t="s">
        <v>1059</v>
      </c>
      <c r="B235" s="0" t="s">
        <v>1057</v>
      </c>
      <c r="C235" s="0" t="s">
        <v>49</v>
      </c>
      <c r="D235" s="0">
        <v>3</v>
      </c>
      <c r="E235" s="0" t="s">
        <v>985</v>
      </c>
      <c r="F235" s="0" t="s">
        <v>1976</v>
      </c>
      <c r="G235" s="0">
        <v>1</v>
      </c>
      <c r="H235" s="0">
        <v>13</v>
      </c>
      <c r="I235" s="0">
        <v>0</v>
      </c>
      <c r="J235" s="0">
        <v>10</v>
      </c>
      <c r="K235" s="0">
        <v>10</v>
      </c>
      <c r="L235" s="0">
        <v>0</v>
      </c>
      <c r="M235" s="0">
        <v>0</v>
      </c>
      <c r="N235" s="0">
        <v>0</v>
      </c>
      <c r="O235" s="0">
        <v>0</v>
      </c>
      <c r="P235" s="0">
        <v>0</v>
      </c>
      <c r="Q235" s="0">
        <v>0</v>
      </c>
      <c r="R235" s="0">
        <v>0</v>
      </c>
      <c r="S235" s="0">
        <v>0</v>
      </c>
      <c r="T235" s="0" t="s">
        <v>34</v>
      </c>
      <c r="U235" s="0" t="s">
        <v>34</v>
      </c>
      <c r="V235" s="0" t="s">
        <v>882</v>
      </c>
      <c r="W235" s="11">
        <f>IF($V235="No","",ROUND((I235*w_Damage + N235*w_Poison + P235*w_Weaken*w_Horizon)*MIN(1+(G235-1)*w_OccEnemy,w_MaxEnemies) + (J235*w_Heal + K235*w_Shield + L235*w_Block + M235*w_Parry + O235*w_Strength*w_Horizon + S235*w_Combo)*MIN(1+(H235-1)*w_OccAlly,w_MaxAllies) + Q235*w_Draw + R235*w_Move,2))</f>
      </c>
      <c r="X235" s="11">
        <f>IF(W235="","",ROUND(W235/MAX(D235,1),2))</f>
      </c>
      <c r="Y235" s="11">
        <f>IF($V235="No","",ROUND((curve_Base+curve_Slope*D235)*IFERROR(VLOOKUP(E235,rarity_Mult,2,FALSE),1),2))</f>
      </c>
      <c r="Z235" s="11">
        <f>IF(OR(W235="",Y235=""),"",ROUND(W235-Y235,2))</f>
      </c>
      <c r="AA235" s="0">
        <f>IF(Z235="","",IF($V235="Partial","RIDER",IF(ABS(Z235)&lt;=Y235*tol_Pct,"OK",IF(Z235&gt;0,"OVER","UNDER"))))</f>
      </c>
      <c r="AB235" s="0" t="s">
        <v>34</v>
      </c>
      <c r="AC235" s="0">
        <f>IF(AND($V235&lt;&gt;"No",$E235="Common",NOT(ISNUMBER(SEARCH("Ideas",$F235)))),$W235,NA())</f>
      </c>
      <c r="AD235" s="0">
        <f>IF(AND($V235&lt;&gt;"No",$E235="Uncommon",NOT(ISNUMBER(SEARCH("Ideas",$F235)))),$W235,NA())</f>
      </c>
      <c r="AE235" s="0">
        <f>IF(AND($V235&lt;&gt;"No",$E235="Rare",NOT(ISNUMBER(SEARCH("Ideas",$F235)))),$W235,NA())</f>
      </c>
      <c r="AF235" s="0">
        <f>IF(AND($V235&lt;&gt;"No",$E235="Legendary",NOT(ISNUMBER(SEARCH("Ideas",$F235)))),$W235,NA())</f>
      </c>
      <c r="AG235" s="0">
        <f>IF(AND($V235&lt;&gt;"No",ISNUMBER(SEARCH("Knight",$C235)),NOT(ISNUMBER(SEARCH("Ideas",$F235)))),$X235,NA())</f>
      </c>
      <c r="AH235" s="0">
        <f>IF(AND($V235&lt;&gt;"No",ISNUMBER(SEARCH("Mage",$C235)),NOT(ISNUMBER(SEARCH("Ideas",$F235)))),$X235,NA())</f>
      </c>
      <c r="AI235" s="0">
        <f>IF(AND($V235&lt;&gt;"No",ISNUMBER(SEARCH("Rogue",$C235)),NOT(ISNUMBER(SEARCH("Ideas",$F235)))),$X235,NA())</f>
      </c>
      <c r="AJ235" s="0">
        <f>IF($V235&lt;&gt;"No",$Y235,NA())</f>
      </c>
      <c r="AK235" s="0">
        <f>IF(AND($V235&lt;&gt;"No",ISNUMBER(SEARCH("Ideas",$F235))),$W235,NA())</f>
      </c>
      <c r="AL235" s="0">
        <f>IF(AND($V235&lt;&gt;"No",ISNUMBER(SEARCH("Cleric",$C235)),NOT(ISNUMBER(SEARCH("Ideas",$F235)))),$X235,NA())</f>
      </c>
    </row>
    <row r="236">
      <c r="A236" s="0" t="s">
        <v>1063</v>
      </c>
      <c r="B236" s="0" t="s">
        <v>1061</v>
      </c>
      <c r="C236" s="0" t="s">
        <v>49</v>
      </c>
      <c r="D236" s="0">
        <v>3</v>
      </c>
      <c r="E236" s="0" t="s">
        <v>62</v>
      </c>
      <c r="F236" s="0" t="s">
        <v>1976</v>
      </c>
      <c r="G236" s="0">
        <v>13</v>
      </c>
      <c r="H236" s="0">
        <v>1</v>
      </c>
      <c r="I236" s="0">
        <v>10</v>
      </c>
      <c r="J236" s="0">
        <v>0</v>
      </c>
      <c r="K236" s="0">
        <v>0</v>
      </c>
      <c r="L236" s="0">
        <v>0</v>
      </c>
      <c r="M236" s="0">
        <v>0</v>
      </c>
      <c r="N236" s="0">
        <v>0</v>
      </c>
      <c r="O236" s="0">
        <v>0</v>
      </c>
      <c r="P236" s="0">
        <v>0</v>
      </c>
      <c r="Q236" s="0">
        <v>0</v>
      </c>
      <c r="R236" s="0">
        <v>0</v>
      </c>
      <c r="S236" s="0">
        <v>0</v>
      </c>
      <c r="T236" s="0" t="s">
        <v>34</v>
      </c>
      <c r="U236" s="0" t="s">
        <v>34</v>
      </c>
      <c r="V236" s="0" t="s">
        <v>882</v>
      </c>
      <c r="W236" s="11">
        <f>IF($V236="No","",ROUND((I236*w_Damage + N236*w_Poison + P236*w_Weaken*w_Horizon)*MIN(1+(G236-1)*w_OccEnemy,w_MaxEnemies) + (J236*w_Heal + K236*w_Shield + L236*w_Block + M236*w_Parry + O236*w_Strength*w_Horizon + S236*w_Combo)*MIN(1+(H236-1)*w_OccAlly,w_MaxAllies) + Q236*w_Draw + R236*w_Move,2))</f>
      </c>
      <c r="X236" s="11">
        <f>IF(W236="","",ROUND(W236/MAX(D236,1),2))</f>
      </c>
      <c r="Y236" s="11">
        <f>IF($V236="No","",ROUND((curve_Base+curve_Slope*D236)*IFERROR(VLOOKUP(E236,rarity_Mult,2,FALSE),1),2))</f>
      </c>
      <c r="Z236" s="11">
        <f>IF(OR(W236="",Y236=""),"",ROUND(W236-Y236,2))</f>
      </c>
      <c r="AA236" s="0">
        <f>IF(Z236="","",IF($V236="Partial","RIDER",IF(ABS(Z236)&lt;=Y236*tol_Pct,"OK",IF(Z236&gt;0,"OVER","UNDER"))))</f>
      </c>
      <c r="AB236" s="0" t="s">
        <v>34</v>
      </c>
      <c r="AC236" s="0">
        <f>IF(AND($V236&lt;&gt;"No",$E236="Common",NOT(ISNUMBER(SEARCH("Ideas",$F236)))),$W236,NA())</f>
      </c>
      <c r="AD236" s="0">
        <f>IF(AND($V236&lt;&gt;"No",$E236="Uncommon",NOT(ISNUMBER(SEARCH("Ideas",$F236)))),$W236,NA())</f>
      </c>
      <c r="AE236" s="0">
        <f>IF(AND($V236&lt;&gt;"No",$E236="Rare",NOT(ISNUMBER(SEARCH("Ideas",$F236)))),$W236,NA())</f>
      </c>
      <c r="AF236" s="0">
        <f>IF(AND($V236&lt;&gt;"No",$E236="Legendary",NOT(ISNUMBER(SEARCH("Ideas",$F236)))),$W236,NA())</f>
      </c>
      <c r="AG236" s="0">
        <f>IF(AND($V236&lt;&gt;"No",ISNUMBER(SEARCH("Knight",$C236)),NOT(ISNUMBER(SEARCH("Ideas",$F236)))),$X236,NA())</f>
      </c>
      <c r="AH236" s="0">
        <f>IF(AND($V236&lt;&gt;"No",ISNUMBER(SEARCH("Mage",$C236)),NOT(ISNUMBER(SEARCH("Ideas",$F236)))),$X236,NA())</f>
      </c>
      <c r="AI236" s="0">
        <f>IF(AND($V236&lt;&gt;"No",ISNUMBER(SEARCH("Rogue",$C236)),NOT(ISNUMBER(SEARCH("Ideas",$F236)))),$X236,NA())</f>
      </c>
      <c r="AJ236" s="0">
        <f>IF($V236&lt;&gt;"No",$Y236,NA())</f>
      </c>
      <c r="AK236" s="0">
        <f>IF(AND($V236&lt;&gt;"No",ISNUMBER(SEARCH("Ideas",$F236))),$W236,NA())</f>
      </c>
      <c r="AL236" s="0">
        <f>IF(AND($V236&lt;&gt;"No",ISNUMBER(SEARCH("Cleric",$C236)),NOT(ISNUMBER(SEARCH("Ideas",$F236)))),$X236,NA())</f>
      </c>
    </row>
    <row r="237">
      <c r="A237" s="0" t="s">
        <v>1066</v>
      </c>
      <c r="B237" s="0" t="s">
        <v>1064</v>
      </c>
      <c r="C237" s="0" t="s">
        <v>49</v>
      </c>
      <c r="D237" s="0">
        <v>3</v>
      </c>
      <c r="E237" s="0" t="s">
        <v>985</v>
      </c>
      <c r="F237" s="0" t="s">
        <v>1976</v>
      </c>
      <c r="G237" s="0">
        <v>1</v>
      </c>
      <c r="H237" s="0">
        <v>1</v>
      </c>
      <c r="I237" s="0">
        <v>0</v>
      </c>
      <c r="J237" s="0">
        <v>0</v>
      </c>
      <c r="K237" s="0">
        <v>0</v>
      </c>
      <c r="L237" s="0">
        <v>25</v>
      </c>
      <c r="M237" s="0">
        <v>1</v>
      </c>
      <c r="N237" s="0">
        <v>0</v>
      </c>
      <c r="O237" s="0">
        <v>0</v>
      </c>
      <c r="P237" s="0">
        <v>0</v>
      </c>
      <c r="Q237" s="0">
        <v>0</v>
      </c>
      <c r="R237" s="0">
        <v>0</v>
      </c>
      <c r="S237" s="0">
        <v>0</v>
      </c>
      <c r="T237" s="0" t="s">
        <v>34</v>
      </c>
      <c r="U237" s="0" t="s">
        <v>34</v>
      </c>
      <c r="V237" s="0" t="s">
        <v>882</v>
      </c>
      <c r="W237" s="11">
        <f>IF($V237="No","",ROUND((I237*w_Damage + N237*w_Poison + P237*w_Weaken*w_Horizon)*MIN(1+(G237-1)*w_OccEnemy,w_MaxEnemies) + (J237*w_Heal + K237*w_Shield + L237*w_Block + M237*w_Parry + O237*w_Strength*w_Horizon + S237*w_Combo)*MIN(1+(H237-1)*w_OccAlly,w_MaxAllies) + Q237*w_Draw + R237*w_Move,2))</f>
      </c>
      <c r="X237" s="11">
        <f>IF(W237="","",ROUND(W237/MAX(D237,1),2))</f>
      </c>
      <c r="Y237" s="11">
        <f>IF($V237="No","",ROUND((curve_Base+curve_Slope*D237)*IFERROR(VLOOKUP(E237,rarity_Mult,2,FALSE),1),2))</f>
      </c>
      <c r="Z237" s="11">
        <f>IF(OR(W237="",Y237=""),"",ROUND(W237-Y237,2))</f>
      </c>
      <c r="AA237" s="0">
        <f>IF(Z237="","",IF($V237="Partial","RIDER",IF(ABS(Z237)&lt;=Y237*tol_Pct,"OK",IF(Z237&gt;0,"OVER","UNDER"))))</f>
      </c>
      <c r="AB237" s="0" t="s">
        <v>34</v>
      </c>
      <c r="AC237" s="0">
        <f>IF(AND($V237&lt;&gt;"No",$E237="Common",NOT(ISNUMBER(SEARCH("Ideas",$F237)))),$W237,NA())</f>
      </c>
      <c r="AD237" s="0">
        <f>IF(AND($V237&lt;&gt;"No",$E237="Uncommon",NOT(ISNUMBER(SEARCH("Ideas",$F237)))),$W237,NA())</f>
      </c>
      <c r="AE237" s="0">
        <f>IF(AND($V237&lt;&gt;"No",$E237="Rare",NOT(ISNUMBER(SEARCH("Ideas",$F237)))),$W237,NA())</f>
      </c>
      <c r="AF237" s="0">
        <f>IF(AND($V237&lt;&gt;"No",$E237="Legendary",NOT(ISNUMBER(SEARCH("Ideas",$F237)))),$W237,NA())</f>
      </c>
      <c r="AG237" s="0">
        <f>IF(AND($V237&lt;&gt;"No",ISNUMBER(SEARCH("Knight",$C237)),NOT(ISNUMBER(SEARCH("Ideas",$F237)))),$X237,NA())</f>
      </c>
      <c r="AH237" s="0">
        <f>IF(AND($V237&lt;&gt;"No",ISNUMBER(SEARCH("Mage",$C237)),NOT(ISNUMBER(SEARCH("Ideas",$F237)))),$X237,NA())</f>
      </c>
      <c r="AI237" s="0">
        <f>IF(AND($V237&lt;&gt;"No",ISNUMBER(SEARCH("Rogue",$C237)),NOT(ISNUMBER(SEARCH("Ideas",$F237)))),$X237,NA())</f>
      </c>
      <c r="AJ237" s="0">
        <f>IF($V237&lt;&gt;"No",$Y237,NA())</f>
      </c>
      <c r="AK237" s="0">
        <f>IF(AND($V237&lt;&gt;"No",ISNUMBER(SEARCH("Ideas",$F237))),$W237,NA())</f>
      </c>
      <c r="AL237" s="0">
        <f>IF(AND($V237&lt;&gt;"No",ISNUMBER(SEARCH("Cleric",$C237)),NOT(ISNUMBER(SEARCH("Ideas",$F237)))),$X237,NA())</f>
      </c>
    </row>
    <row r="238">
      <c r="A238" s="0" t="s">
        <v>1072</v>
      </c>
      <c r="B238" s="0" t="s">
        <v>1072</v>
      </c>
      <c r="C238" s="0" t="s">
        <v>257</v>
      </c>
      <c r="D238" s="0">
        <v>1</v>
      </c>
      <c r="E238" s="0" t="s">
        <v>81</v>
      </c>
      <c r="F238" s="0" t="s">
        <v>1977</v>
      </c>
      <c r="G238" s="0">
        <v>1</v>
      </c>
      <c r="H238" s="0">
        <v>1</v>
      </c>
      <c r="I238" s="0">
        <v>6</v>
      </c>
      <c r="J238" s="0">
        <v>0</v>
      </c>
      <c r="K238" s="0">
        <v>0</v>
      </c>
      <c r="L238" s="0">
        <v>0</v>
      </c>
      <c r="M238" s="0">
        <v>0</v>
      </c>
      <c r="N238" s="0">
        <v>0</v>
      </c>
      <c r="O238" s="0">
        <v>0</v>
      </c>
      <c r="P238" s="0">
        <v>0</v>
      </c>
      <c r="Q238" s="0">
        <v>0</v>
      </c>
      <c r="R238" s="0">
        <v>0</v>
      </c>
      <c r="S238" s="0">
        <v>0</v>
      </c>
      <c r="T238" s="0" t="s">
        <v>34</v>
      </c>
      <c r="U238" s="0" t="s">
        <v>34</v>
      </c>
      <c r="V238" s="0" t="s">
        <v>882</v>
      </c>
      <c r="W238" s="11">
        <f>IF($V238="No","",ROUND((I238*w_Damage + N238*w_Poison + P238*w_Weaken*w_Horizon)*MIN(1+(G238-1)*w_OccEnemy,w_MaxEnemies) + (J238*w_Heal + K238*w_Shield + L238*w_Block + M238*w_Parry + O238*w_Strength*w_Horizon + S238*w_Combo)*MIN(1+(H238-1)*w_OccAlly,w_MaxAllies) + Q238*w_Draw + R238*w_Move,2))</f>
      </c>
      <c r="X238" s="11">
        <f>IF(W238="","",ROUND(W238/MAX(D238,1),2))</f>
      </c>
      <c r="Y238" s="11">
        <f>IF($V238="No","",ROUND((curve_Base+curve_Slope*D238)*IFERROR(VLOOKUP(E238,rarity_Mult,2,FALSE),1),2))</f>
      </c>
      <c r="Z238" s="11">
        <f>IF(OR(W238="",Y238=""),"",ROUND(W238-Y238,2))</f>
      </c>
      <c r="AA238" s="0">
        <f>IF(Z238="","",IF($V238="Partial","RIDER",IF(ABS(Z238)&lt;=Y238*tol_Pct,"OK",IF(Z238&gt;0,"OVER","UNDER"))))</f>
      </c>
      <c r="AB238" s="0" t="s">
        <v>34</v>
      </c>
      <c r="AC238" s="0">
        <f>IF(AND($V238&lt;&gt;"No",$E238="Common",NOT(ISNUMBER(SEARCH("Ideas",$F238)))),$W238,NA())</f>
      </c>
      <c r="AD238" s="0">
        <f>IF(AND($V238&lt;&gt;"No",$E238="Uncommon",NOT(ISNUMBER(SEARCH("Ideas",$F238)))),$W238,NA())</f>
      </c>
      <c r="AE238" s="0">
        <f>IF(AND($V238&lt;&gt;"No",$E238="Rare",NOT(ISNUMBER(SEARCH("Ideas",$F238)))),$W238,NA())</f>
      </c>
      <c r="AF238" s="0">
        <f>IF(AND($V238&lt;&gt;"No",$E238="Legendary",NOT(ISNUMBER(SEARCH("Ideas",$F238)))),$W238,NA())</f>
      </c>
      <c r="AG238" s="0">
        <f>IF(AND($V238&lt;&gt;"No",ISNUMBER(SEARCH("Knight",$C238)),NOT(ISNUMBER(SEARCH("Ideas",$F238)))),$X238,NA())</f>
      </c>
      <c r="AH238" s="0">
        <f>IF(AND($V238&lt;&gt;"No",ISNUMBER(SEARCH("Mage",$C238)),NOT(ISNUMBER(SEARCH("Ideas",$F238)))),$X238,NA())</f>
      </c>
      <c r="AI238" s="0">
        <f>IF(AND($V238&lt;&gt;"No",ISNUMBER(SEARCH("Rogue",$C238)),NOT(ISNUMBER(SEARCH("Ideas",$F238)))),$X238,NA())</f>
      </c>
      <c r="AJ238" s="0">
        <f>IF($V238&lt;&gt;"No",$Y238,NA())</f>
      </c>
      <c r="AK238" s="0">
        <f>IF(AND($V238&lt;&gt;"No",ISNUMBER(SEARCH("Ideas",$F238))),$W238,NA())</f>
      </c>
      <c r="AL238" s="0">
        <f>IF(AND($V238&lt;&gt;"No",ISNUMBER(SEARCH("Cleric",$C238)),NOT(ISNUMBER(SEARCH("Ideas",$F238)))),$X238,NA())</f>
      </c>
    </row>
    <row r="239">
      <c r="A239" s="0" t="s">
        <v>1076</v>
      </c>
      <c r="B239" s="0" t="s">
        <v>1074</v>
      </c>
      <c r="C239" s="0" t="s">
        <v>257</v>
      </c>
      <c r="D239" s="0">
        <v>0</v>
      </c>
      <c r="E239" s="0" t="s">
        <v>81</v>
      </c>
      <c r="F239" s="0" t="s">
        <v>1977</v>
      </c>
      <c r="G239" s="0">
        <v>1</v>
      </c>
      <c r="H239" s="0">
        <v>1</v>
      </c>
      <c r="I239" s="0">
        <v>3</v>
      </c>
      <c r="J239" s="0">
        <v>0</v>
      </c>
      <c r="K239" s="0">
        <v>0</v>
      </c>
      <c r="L239" s="0">
        <v>0</v>
      </c>
      <c r="M239" s="0">
        <v>0</v>
      </c>
      <c r="N239" s="0">
        <v>0</v>
      </c>
      <c r="O239" s="0">
        <v>0</v>
      </c>
      <c r="P239" s="0">
        <v>0</v>
      </c>
      <c r="Q239" s="0">
        <v>0</v>
      </c>
      <c r="R239" s="0">
        <v>0</v>
      </c>
      <c r="S239" s="0">
        <v>0</v>
      </c>
      <c r="T239" s="0" t="s">
        <v>34</v>
      </c>
      <c r="U239" s="0" t="s">
        <v>34</v>
      </c>
      <c r="V239" s="0" t="s">
        <v>882</v>
      </c>
      <c r="W239" s="11">
        <f>IF($V239="No","",ROUND((I239*w_Damage + N239*w_Poison + P239*w_Weaken*w_Horizon)*MIN(1+(G239-1)*w_OccEnemy,w_MaxEnemies) + (J239*w_Heal + K239*w_Shield + L239*w_Block + M239*w_Parry + O239*w_Strength*w_Horizon + S239*w_Combo)*MIN(1+(H239-1)*w_OccAlly,w_MaxAllies) + Q239*w_Draw + R239*w_Move,2))</f>
      </c>
      <c r="X239" s="11">
        <f>IF(W239="","",ROUND(W239/MAX(D239,1),2))</f>
      </c>
      <c r="Y239" s="11">
        <f>IF($V239="No","",ROUND((curve_Base+curve_Slope*D239)*IFERROR(VLOOKUP(E239,rarity_Mult,2,FALSE),1),2))</f>
      </c>
      <c r="Z239" s="11">
        <f>IF(OR(W239="",Y239=""),"",ROUND(W239-Y239,2))</f>
      </c>
      <c r="AA239" s="0">
        <f>IF(Z239="","",IF($V239="Partial","RIDER",IF(ABS(Z239)&lt;=Y239*tol_Pct,"OK",IF(Z239&gt;0,"OVER","UNDER"))))</f>
      </c>
      <c r="AB239" s="0" t="s">
        <v>34</v>
      </c>
      <c r="AC239" s="0">
        <f>IF(AND($V239&lt;&gt;"No",$E239="Common",NOT(ISNUMBER(SEARCH("Ideas",$F239)))),$W239,NA())</f>
      </c>
      <c r="AD239" s="0">
        <f>IF(AND($V239&lt;&gt;"No",$E239="Uncommon",NOT(ISNUMBER(SEARCH("Ideas",$F239)))),$W239,NA())</f>
      </c>
      <c r="AE239" s="0">
        <f>IF(AND($V239&lt;&gt;"No",$E239="Rare",NOT(ISNUMBER(SEARCH("Ideas",$F239)))),$W239,NA())</f>
      </c>
      <c r="AF239" s="0">
        <f>IF(AND($V239&lt;&gt;"No",$E239="Legendary",NOT(ISNUMBER(SEARCH("Ideas",$F239)))),$W239,NA())</f>
      </c>
      <c r="AG239" s="0">
        <f>IF(AND($V239&lt;&gt;"No",ISNUMBER(SEARCH("Knight",$C239)),NOT(ISNUMBER(SEARCH("Ideas",$F239)))),$X239,NA())</f>
      </c>
      <c r="AH239" s="0">
        <f>IF(AND($V239&lt;&gt;"No",ISNUMBER(SEARCH("Mage",$C239)),NOT(ISNUMBER(SEARCH("Ideas",$F239)))),$X239,NA())</f>
      </c>
      <c r="AI239" s="0">
        <f>IF(AND($V239&lt;&gt;"No",ISNUMBER(SEARCH("Rogue",$C239)),NOT(ISNUMBER(SEARCH("Ideas",$F239)))),$X239,NA())</f>
      </c>
      <c r="AJ239" s="0">
        <f>IF($V239&lt;&gt;"No",$Y239,NA())</f>
      </c>
      <c r="AK239" s="0">
        <f>IF(AND($V239&lt;&gt;"No",ISNUMBER(SEARCH("Ideas",$F239))),$W239,NA())</f>
      </c>
      <c r="AL239" s="0">
        <f>IF(AND($V239&lt;&gt;"No",ISNUMBER(SEARCH("Cleric",$C239)),NOT(ISNUMBER(SEARCH("Ideas",$F239)))),$X239,NA())</f>
      </c>
    </row>
    <row r="240">
      <c r="A240" s="0" t="s">
        <v>1078</v>
      </c>
      <c r="B240" s="0" t="s">
        <v>1078</v>
      </c>
      <c r="C240" s="0" t="s">
        <v>257</v>
      </c>
      <c r="D240" s="0">
        <v>1</v>
      </c>
      <c r="E240" s="0" t="s">
        <v>81</v>
      </c>
      <c r="F240" s="0" t="s">
        <v>1977</v>
      </c>
      <c r="G240" s="0">
        <v>1</v>
      </c>
      <c r="H240" s="0">
        <v>1</v>
      </c>
      <c r="I240" s="0">
        <v>5</v>
      </c>
      <c r="J240" s="0">
        <v>0</v>
      </c>
      <c r="K240" s="0">
        <v>0</v>
      </c>
      <c r="L240" s="0">
        <v>0</v>
      </c>
      <c r="M240" s="0">
        <v>0</v>
      </c>
      <c r="N240" s="0">
        <v>0</v>
      </c>
      <c r="O240" s="0">
        <v>0</v>
      </c>
      <c r="P240" s="0">
        <v>0</v>
      </c>
      <c r="Q240" s="0">
        <v>0</v>
      </c>
      <c r="R240" s="0">
        <v>0</v>
      </c>
      <c r="S240" s="0">
        <v>0</v>
      </c>
      <c r="T240" s="0" t="s">
        <v>34</v>
      </c>
      <c r="U240" s="0" t="s">
        <v>34</v>
      </c>
      <c r="V240" s="0" t="s">
        <v>882</v>
      </c>
      <c r="W240" s="11">
        <f>IF($V240="No","",ROUND((I240*w_Damage + N240*w_Poison + P240*w_Weaken*w_Horizon)*MIN(1+(G240-1)*w_OccEnemy,w_MaxEnemies) + (J240*w_Heal + K240*w_Shield + L240*w_Block + M240*w_Parry + O240*w_Strength*w_Horizon + S240*w_Combo)*MIN(1+(H240-1)*w_OccAlly,w_MaxAllies) + Q240*w_Draw + R240*w_Move,2))</f>
      </c>
      <c r="X240" s="11">
        <f>IF(W240="","",ROUND(W240/MAX(D240,1),2))</f>
      </c>
      <c r="Y240" s="11">
        <f>IF($V240="No","",ROUND((curve_Base+curve_Slope*D240)*IFERROR(VLOOKUP(E240,rarity_Mult,2,FALSE),1),2))</f>
      </c>
      <c r="Z240" s="11">
        <f>IF(OR(W240="",Y240=""),"",ROUND(W240-Y240,2))</f>
      </c>
      <c r="AA240" s="0">
        <f>IF(Z240="","",IF($V240="Partial","RIDER",IF(ABS(Z240)&lt;=Y240*tol_Pct,"OK",IF(Z240&gt;0,"OVER","UNDER"))))</f>
      </c>
      <c r="AB240" s="0" t="s">
        <v>34</v>
      </c>
      <c r="AC240" s="0">
        <f>IF(AND($V240&lt;&gt;"No",$E240="Common",NOT(ISNUMBER(SEARCH("Ideas",$F240)))),$W240,NA())</f>
      </c>
      <c r="AD240" s="0">
        <f>IF(AND($V240&lt;&gt;"No",$E240="Uncommon",NOT(ISNUMBER(SEARCH("Ideas",$F240)))),$W240,NA())</f>
      </c>
      <c r="AE240" s="0">
        <f>IF(AND($V240&lt;&gt;"No",$E240="Rare",NOT(ISNUMBER(SEARCH("Ideas",$F240)))),$W240,NA())</f>
      </c>
      <c r="AF240" s="0">
        <f>IF(AND($V240&lt;&gt;"No",$E240="Legendary",NOT(ISNUMBER(SEARCH("Ideas",$F240)))),$W240,NA())</f>
      </c>
      <c r="AG240" s="0">
        <f>IF(AND($V240&lt;&gt;"No",ISNUMBER(SEARCH("Knight",$C240)),NOT(ISNUMBER(SEARCH("Ideas",$F240)))),$X240,NA())</f>
      </c>
      <c r="AH240" s="0">
        <f>IF(AND($V240&lt;&gt;"No",ISNUMBER(SEARCH("Mage",$C240)),NOT(ISNUMBER(SEARCH("Ideas",$F240)))),$X240,NA())</f>
      </c>
      <c r="AI240" s="0">
        <f>IF(AND($V240&lt;&gt;"No",ISNUMBER(SEARCH("Rogue",$C240)),NOT(ISNUMBER(SEARCH("Ideas",$F240)))),$X240,NA())</f>
      </c>
      <c r="AJ240" s="0">
        <f>IF($V240&lt;&gt;"No",$Y240,NA())</f>
      </c>
      <c r="AK240" s="0">
        <f>IF(AND($V240&lt;&gt;"No",ISNUMBER(SEARCH("Ideas",$F240))),$W240,NA())</f>
      </c>
      <c r="AL240" s="0">
        <f>IF(AND($V240&lt;&gt;"No",ISNUMBER(SEARCH("Cleric",$C240)),NOT(ISNUMBER(SEARCH("Ideas",$F240)))),$X240,NA())</f>
      </c>
    </row>
    <row r="241">
      <c r="A241" s="0" t="s">
        <v>1082</v>
      </c>
      <c r="B241" s="0" t="s">
        <v>1080</v>
      </c>
      <c r="C241" s="0" t="s">
        <v>257</v>
      </c>
      <c r="D241" s="0">
        <v>2</v>
      </c>
      <c r="E241" s="0" t="s">
        <v>62</v>
      </c>
      <c r="F241" s="0" t="s">
        <v>1977</v>
      </c>
      <c r="G241" s="0">
        <v>13</v>
      </c>
      <c r="H241" s="0">
        <v>1</v>
      </c>
      <c r="I241" s="0">
        <v>4</v>
      </c>
      <c r="J241" s="0">
        <v>0</v>
      </c>
      <c r="K241" s="0">
        <v>0</v>
      </c>
      <c r="L241" s="0">
        <v>0</v>
      </c>
      <c r="M241" s="0">
        <v>0</v>
      </c>
      <c r="N241" s="0">
        <v>0</v>
      </c>
      <c r="O241" s="0">
        <v>0</v>
      </c>
      <c r="P241" s="0">
        <v>0</v>
      </c>
      <c r="Q241" s="0">
        <v>0</v>
      </c>
      <c r="R241" s="0">
        <v>0</v>
      </c>
      <c r="S241" s="0">
        <v>0</v>
      </c>
      <c r="T241" s="0" t="s">
        <v>34</v>
      </c>
      <c r="U241" s="0" t="s">
        <v>34</v>
      </c>
      <c r="V241" s="0" t="s">
        <v>882</v>
      </c>
      <c r="W241" s="11">
        <f>IF($V241="No","",ROUND((I241*w_Damage + N241*w_Poison + P241*w_Weaken*w_Horizon)*MIN(1+(G241-1)*w_OccEnemy,w_MaxEnemies) + (J241*w_Heal + K241*w_Shield + L241*w_Block + M241*w_Parry + O241*w_Strength*w_Horizon + S241*w_Combo)*MIN(1+(H241-1)*w_OccAlly,w_MaxAllies) + Q241*w_Draw + R241*w_Move,2))</f>
      </c>
      <c r="X241" s="11">
        <f>IF(W241="","",ROUND(W241/MAX(D241,1),2))</f>
      </c>
      <c r="Y241" s="11">
        <f>IF($V241="No","",ROUND((curve_Base+curve_Slope*D241)*IFERROR(VLOOKUP(E241,rarity_Mult,2,FALSE),1),2))</f>
      </c>
      <c r="Z241" s="11">
        <f>IF(OR(W241="",Y241=""),"",ROUND(W241-Y241,2))</f>
      </c>
      <c r="AA241" s="0">
        <f>IF(Z241="","",IF($V241="Partial","RIDER",IF(ABS(Z241)&lt;=Y241*tol_Pct,"OK",IF(Z241&gt;0,"OVER","UNDER"))))</f>
      </c>
      <c r="AB241" s="0" t="s">
        <v>34</v>
      </c>
      <c r="AC241" s="0">
        <f>IF(AND($V241&lt;&gt;"No",$E241="Common",NOT(ISNUMBER(SEARCH("Ideas",$F241)))),$W241,NA())</f>
      </c>
      <c r="AD241" s="0">
        <f>IF(AND($V241&lt;&gt;"No",$E241="Uncommon",NOT(ISNUMBER(SEARCH("Ideas",$F241)))),$W241,NA())</f>
      </c>
      <c r="AE241" s="0">
        <f>IF(AND($V241&lt;&gt;"No",$E241="Rare",NOT(ISNUMBER(SEARCH("Ideas",$F241)))),$W241,NA())</f>
      </c>
      <c r="AF241" s="0">
        <f>IF(AND($V241&lt;&gt;"No",$E241="Legendary",NOT(ISNUMBER(SEARCH("Ideas",$F241)))),$W241,NA())</f>
      </c>
      <c r="AG241" s="0">
        <f>IF(AND($V241&lt;&gt;"No",ISNUMBER(SEARCH("Knight",$C241)),NOT(ISNUMBER(SEARCH("Ideas",$F241)))),$X241,NA())</f>
      </c>
      <c r="AH241" s="0">
        <f>IF(AND($V241&lt;&gt;"No",ISNUMBER(SEARCH("Mage",$C241)),NOT(ISNUMBER(SEARCH("Ideas",$F241)))),$X241,NA())</f>
      </c>
      <c r="AI241" s="0">
        <f>IF(AND($V241&lt;&gt;"No",ISNUMBER(SEARCH("Rogue",$C241)),NOT(ISNUMBER(SEARCH("Ideas",$F241)))),$X241,NA())</f>
      </c>
      <c r="AJ241" s="0">
        <f>IF($V241&lt;&gt;"No",$Y241,NA())</f>
      </c>
      <c r="AK241" s="0">
        <f>IF(AND($V241&lt;&gt;"No",ISNUMBER(SEARCH("Ideas",$F241))),$W241,NA())</f>
      </c>
      <c r="AL241" s="0">
        <f>IF(AND($V241&lt;&gt;"No",ISNUMBER(SEARCH("Cleric",$C241)),NOT(ISNUMBER(SEARCH("Ideas",$F241)))),$X241,NA())</f>
      </c>
    </row>
    <row r="242">
      <c r="A242" s="0" t="s">
        <v>1083</v>
      </c>
      <c r="B242" s="0" t="s">
        <v>1083</v>
      </c>
      <c r="C242" s="0" t="s">
        <v>257</v>
      </c>
      <c r="D242" s="0">
        <v>3</v>
      </c>
      <c r="E242" s="0" t="s">
        <v>62</v>
      </c>
      <c r="F242" s="0" t="s">
        <v>1977</v>
      </c>
      <c r="G242" s="0">
        <v>9</v>
      </c>
      <c r="H242" s="0">
        <v>1</v>
      </c>
      <c r="I242" s="0">
        <v>12</v>
      </c>
      <c r="J242" s="0">
        <v>0</v>
      </c>
      <c r="K242" s="0">
        <v>0</v>
      </c>
      <c r="L242" s="0">
        <v>0</v>
      </c>
      <c r="M242" s="0">
        <v>0</v>
      </c>
      <c r="N242" s="0">
        <v>0</v>
      </c>
      <c r="O242" s="0">
        <v>0</v>
      </c>
      <c r="P242" s="0">
        <v>0</v>
      </c>
      <c r="Q242" s="0">
        <v>0</v>
      </c>
      <c r="R242" s="0">
        <v>0</v>
      </c>
      <c r="S242" s="0">
        <v>0</v>
      </c>
      <c r="T242" s="0" t="s">
        <v>34</v>
      </c>
      <c r="U242" s="0" t="s">
        <v>34</v>
      </c>
      <c r="V242" s="0" t="s">
        <v>882</v>
      </c>
      <c r="W242" s="11">
        <f>IF($V242="No","",ROUND((I242*w_Damage + N242*w_Poison + P242*w_Weaken*w_Horizon)*MIN(1+(G242-1)*w_OccEnemy,w_MaxEnemies) + (J242*w_Heal + K242*w_Shield + L242*w_Block + M242*w_Parry + O242*w_Strength*w_Horizon + S242*w_Combo)*MIN(1+(H242-1)*w_OccAlly,w_MaxAllies) + Q242*w_Draw + R242*w_Move,2))</f>
      </c>
      <c r="X242" s="11">
        <f>IF(W242="","",ROUND(W242/MAX(D242,1),2))</f>
      </c>
      <c r="Y242" s="11">
        <f>IF($V242="No","",ROUND((curve_Base+curve_Slope*D242)*IFERROR(VLOOKUP(E242,rarity_Mult,2,FALSE),1),2))</f>
      </c>
      <c r="Z242" s="11">
        <f>IF(OR(W242="",Y242=""),"",ROUND(W242-Y242,2))</f>
      </c>
      <c r="AA242" s="0">
        <f>IF(Z242="","",IF($V242="Partial","RIDER",IF(ABS(Z242)&lt;=Y242*tol_Pct,"OK",IF(Z242&gt;0,"OVER","UNDER"))))</f>
      </c>
      <c r="AB242" s="0" t="s">
        <v>34</v>
      </c>
      <c r="AC242" s="0">
        <f>IF(AND($V242&lt;&gt;"No",$E242="Common",NOT(ISNUMBER(SEARCH("Ideas",$F242)))),$W242,NA())</f>
      </c>
      <c r="AD242" s="0">
        <f>IF(AND($V242&lt;&gt;"No",$E242="Uncommon",NOT(ISNUMBER(SEARCH("Ideas",$F242)))),$W242,NA())</f>
      </c>
      <c r="AE242" s="0">
        <f>IF(AND($V242&lt;&gt;"No",$E242="Rare",NOT(ISNUMBER(SEARCH("Ideas",$F242)))),$W242,NA())</f>
      </c>
      <c r="AF242" s="0">
        <f>IF(AND($V242&lt;&gt;"No",$E242="Legendary",NOT(ISNUMBER(SEARCH("Ideas",$F242)))),$W242,NA())</f>
      </c>
      <c r="AG242" s="0">
        <f>IF(AND($V242&lt;&gt;"No",ISNUMBER(SEARCH("Knight",$C242)),NOT(ISNUMBER(SEARCH("Ideas",$F242)))),$X242,NA())</f>
      </c>
      <c r="AH242" s="0">
        <f>IF(AND($V242&lt;&gt;"No",ISNUMBER(SEARCH("Mage",$C242)),NOT(ISNUMBER(SEARCH("Ideas",$F242)))),$X242,NA())</f>
      </c>
      <c r="AI242" s="0">
        <f>IF(AND($V242&lt;&gt;"No",ISNUMBER(SEARCH("Rogue",$C242)),NOT(ISNUMBER(SEARCH("Ideas",$F242)))),$X242,NA())</f>
      </c>
      <c r="AJ242" s="0">
        <f>IF($V242&lt;&gt;"No",$Y242,NA())</f>
      </c>
      <c r="AK242" s="0">
        <f>IF(AND($V242&lt;&gt;"No",ISNUMBER(SEARCH("Ideas",$F242))),$W242,NA())</f>
      </c>
      <c r="AL242" s="0">
        <f>IF(AND($V242&lt;&gt;"No",ISNUMBER(SEARCH("Cleric",$C242)),NOT(ISNUMBER(SEARCH("Ideas",$F242)))),$X242,NA())</f>
      </c>
    </row>
    <row r="243">
      <c r="A243" s="0" t="s">
        <v>1087</v>
      </c>
      <c r="B243" s="0" t="s">
        <v>1086</v>
      </c>
      <c r="C243" s="0" t="s">
        <v>257</v>
      </c>
      <c r="D243" s="0">
        <v>1</v>
      </c>
      <c r="E243" s="0" t="s">
        <v>32</v>
      </c>
      <c r="F243" s="0" t="s">
        <v>1977</v>
      </c>
      <c r="G243" s="0">
        <v>1</v>
      </c>
      <c r="H243" s="0">
        <v>1</v>
      </c>
      <c r="I243" s="0">
        <v>0</v>
      </c>
      <c r="J243" s="0">
        <v>0</v>
      </c>
      <c r="K243" s="0">
        <v>7</v>
      </c>
      <c r="L243" s="0">
        <v>0</v>
      </c>
      <c r="M243" s="0">
        <v>0</v>
      </c>
      <c r="N243" s="0">
        <v>0</v>
      </c>
      <c r="O243" s="0">
        <v>0</v>
      </c>
      <c r="P243" s="0">
        <v>0</v>
      </c>
      <c r="Q243" s="0">
        <v>0</v>
      </c>
      <c r="R243" s="0">
        <v>0</v>
      </c>
      <c r="S243" s="0">
        <v>0</v>
      </c>
      <c r="T243" s="0" t="s">
        <v>34</v>
      </c>
      <c r="U243" s="0" t="s">
        <v>34</v>
      </c>
      <c r="V243" s="0" t="s">
        <v>882</v>
      </c>
      <c r="W243" s="11">
        <f>IF($V243="No","",ROUND((I243*w_Damage + N243*w_Poison + P243*w_Weaken*w_Horizon)*MIN(1+(G243-1)*w_OccEnemy,w_MaxEnemies) + (J243*w_Heal + K243*w_Shield + L243*w_Block + M243*w_Parry + O243*w_Strength*w_Horizon + S243*w_Combo)*MIN(1+(H243-1)*w_OccAlly,w_MaxAllies) + Q243*w_Draw + R243*w_Move,2))</f>
      </c>
      <c r="X243" s="11">
        <f>IF(W243="","",ROUND(W243/MAX(D243,1),2))</f>
      </c>
      <c r="Y243" s="11">
        <f>IF($V243="No","",ROUND((curve_Base+curve_Slope*D243)*IFERROR(VLOOKUP(E243,rarity_Mult,2,FALSE),1),2))</f>
      </c>
      <c r="Z243" s="11">
        <f>IF(OR(W243="",Y243=""),"",ROUND(W243-Y243,2))</f>
      </c>
      <c r="AA243" s="0">
        <f>IF(Z243="","",IF($V243="Partial","RIDER",IF(ABS(Z243)&lt;=Y243*tol_Pct,"OK",IF(Z243&gt;0,"OVER","UNDER"))))</f>
      </c>
      <c r="AB243" s="0" t="s">
        <v>34</v>
      </c>
      <c r="AC243" s="0">
        <f>IF(AND($V243&lt;&gt;"No",$E243="Common",NOT(ISNUMBER(SEARCH("Ideas",$F243)))),$W243,NA())</f>
      </c>
      <c r="AD243" s="0">
        <f>IF(AND($V243&lt;&gt;"No",$E243="Uncommon",NOT(ISNUMBER(SEARCH("Ideas",$F243)))),$W243,NA())</f>
      </c>
      <c r="AE243" s="0">
        <f>IF(AND($V243&lt;&gt;"No",$E243="Rare",NOT(ISNUMBER(SEARCH("Ideas",$F243)))),$W243,NA())</f>
      </c>
      <c r="AF243" s="0">
        <f>IF(AND($V243&lt;&gt;"No",$E243="Legendary",NOT(ISNUMBER(SEARCH("Ideas",$F243)))),$W243,NA())</f>
      </c>
      <c r="AG243" s="0">
        <f>IF(AND($V243&lt;&gt;"No",ISNUMBER(SEARCH("Knight",$C243)),NOT(ISNUMBER(SEARCH("Ideas",$F243)))),$X243,NA())</f>
      </c>
      <c r="AH243" s="0">
        <f>IF(AND($V243&lt;&gt;"No",ISNUMBER(SEARCH("Mage",$C243)),NOT(ISNUMBER(SEARCH("Ideas",$F243)))),$X243,NA())</f>
      </c>
      <c r="AI243" s="0">
        <f>IF(AND($V243&lt;&gt;"No",ISNUMBER(SEARCH("Rogue",$C243)),NOT(ISNUMBER(SEARCH("Ideas",$F243)))),$X243,NA())</f>
      </c>
      <c r="AJ243" s="0">
        <f>IF($V243&lt;&gt;"No",$Y243,NA())</f>
      </c>
      <c r="AK243" s="0">
        <f>IF(AND($V243&lt;&gt;"No",ISNUMBER(SEARCH("Ideas",$F243))),$W243,NA())</f>
      </c>
      <c r="AL243" s="0">
        <f>IF(AND($V243&lt;&gt;"No",ISNUMBER(SEARCH("Cleric",$C243)),NOT(ISNUMBER(SEARCH("Ideas",$F243)))),$X243,NA())</f>
      </c>
    </row>
    <row r="244">
      <c r="A244" s="0" t="s">
        <v>1091</v>
      </c>
      <c r="B244" s="0" t="s">
        <v>1088</v>
      </c>
      <c r="C244" s="0" t="s">
        <v>257</v>
      </c>
      <c r="D244" s="0">
        <v>2</v>
      </c>
      <c r="E244" s="0" t="s">
        <v>32</v>
      </c>
      <c r="F244" s="0" t="s">
        <v>1977</v>
      </c>
      <c r="G244" s="0">
        <v>1</v>
      </c>
      <c r="H244" s="0">
        <v>1</v>
      </c>
      <c r="I244" s="0">
        <v>0</v>
      </c>
      <c r="J244" s="0">
        <v>15</v>
      </c>
      <c r="K244" s="0">
        <v>0</v>
      </c>
      <c r="L244" s="0">
        <v>0</v>
      </c>
      <c r="M244" s="0">
        <v>0</v>
      </c>
      <c r="N244" s="0">
        <v>0</v>
      </c>
      <c r="O244" s="0">
        <v>0</v>
      </c>
      <c r="P244" s="0">
        <v>0</v>
      </c>
      <c r="Q244" s="0">
        <v>0</v>
      </c>
      <c r="R244" s="0">
        <v>0</v>
      </c>
      <c r="S244" s="0">
        <v>0</v>
      </c>
      <c r="T244" s="0" t="s">
        <v>34</v>
      </c>
      <c r="U244" s="0" t="s">
        <v>34</v>
      </c>
      <c r="V244" s="0" t="s">
        <v>882</v>
      </c>
      <c r="W244" s="11">
        <f>IF($V244="No","",ROUND((I244*w_Damage + N244*w_Poison + P244*w_Weaken*w_Horizon)*MIN(1+(G244-1)*w_OccEnemy,w_MaxEnemies) + (J244*w_Heal + K244*w_Shield + L244*w_Block + M244*w_Parry + O244*w_Strength*w_Horizon + S244*w_Combo)*MIN(1+(H244-1)*w_OccAlly,w_MaxAllies) + Q244*w_Draw + R244*w_Move,2))</f>
      </c>
      <c r="X244" s="11">
        <f>IF(W244="","",ROUND(W244/MAX(D244,1),2))</f>
      </c>
      <c r="Y244" s="11">
        <f>IF($V244="No","",ROUND((curve_Base+curve_Slope*D244)*IFERROR(VLOOKUP(E244,rarity_Mult,2,FALSE),1),2))</f>
      </c>
      <c r="Z244" s="11">
        <f>IF(OR(W244="",Y244=""),"",ROUND(W244-Y244,2))</f>
      </c>
      <c r="AA244" s="0">
        <f>IF(Z244="","",IF($V244="Partial","RIDER",IF(ABS(Z244)&lt;=Y244*tol_Pct,"OK",IF(Z244&gt;0,"OVER","UNDER"))))</f>
      </c>
      <c r="AB244" s="0" t="s">
        <v>34</v>
      </c>
      <c r="AC244" s="0">
        <f>IF(AND($V244&lt;&gt;"No",$E244="Common",NOT(ISNUMBER(SEARCH("Ideas",$F244)))),$W244,NA())</f>
      </c>
      <c r="AD244" s="0">
        <f>IF(AND($V244&lt;&gt;"No",$E244="Uncommon",NOT(ISNUMBER(SEARCH("Ideas",$F244)))),$W244,NA())</f>
      </c>
      <c r="AE244" s="0">
        <f>IF(AND($V244&lt;&gt;"No",$E244="Rare",NOT(ISNUMBER(SEARCH("Ideas",$F244)))),$W244,NA())</f>
      </c>
      <c r="AF244" s="0">
        <f>IF(AND($V244&lt;&gt;"No",$E244="Legendary",NOT(ISNUMBER(SEARCH("Ideas",$F244)))),$W244,NA())</f>
      </c>
      <c r="AG244" s="0">
        <f>IF(AND($V244&lt;&gt;"No",ISNUMBER(SEARCH("Knight",$C244)),NOT(ISNUMBER(SEARCH("Ideas",$F244)))),$X244,NA())</f>
      </c>
      <c r="AH244" s="0">
        <f>IF(AND($V244&lt;&gt;"No",ISNUMBER(SEARCH("Mage",$C244)),NOT(ISNUMBER(SEARCH("Ideas",$F244)))),$X244,NA())</f>
      </c>
      <c r="AI244" s="0">
        <f>IF(AND($V244&lt;&gt;"No",ISNUMBER(SEARCH("Rogue",$C244)),NOT(ISNUMBER(SEARCH("Ideas",$F244)))),$X244,NA())</f>
      </c>
      <c r="AJ244" s="0">
        <f>IF($V244&lt;&gt;"No",$Y244,NA())</f>
      </c>
      <c r="AK244" s="0">
        <f>IF(AND($V244&lt;&gt;"No",ISNUMBER(SEARCH("Ideas",$F244))),$W244,NA())</f>
      </c>
      <c r="AL244" s="0">
        <f>IF(AND($V244&lt;&gt;"No",ISNUMBER(SEARCH("Cleric",$C244)),NOT(ISNUMBER(SEARCH("Ideas",$F244)))),$X244,NA())</f>
      </c>
    </row>
    <row r="245">
      <c r="A245" s="0" t="s">
        <v>1092</v>
      </c>
      <c r="B245" s="0" t="s">
        <v>1092</v>
      </c>
      <c r="C245" s="0" t="s">
        <v>257</v>
      </c>
      <c r="D245" s="0">
        <v>3</v>
      </c>
      <c r="E245" s="0" t="s">
        <v>62</v>
      </c>
      <c r="F245" s="0" t="s">
        <v>1977</v>
      </c>
      <c r="G245" s="0">
        <v>25</v>
      </c>
      <c r="H245" s="0">
        <v>1</v>
      </c>
      <c r="I245" s="0">
        <v>6</v>
      </c>
      <c r="J245" s="0">
        <v>0</v>
      </c>
      <c r="K245" s="0">
        <v>0</v>
      </c>
      <c r="L245" s="0">
        <v>0</v>
      </c>
      <c r="M245" s="0">
        <v>0</v>
      </c>
      <c r="N245" s="0">
        <v>0</v>
      </c>
      <c r="O245" s="0">
        <v>0</v>
      </c>
      <c r="P245" s="0">
        <v>0</v>
      </c>
      <c r="Q245" s="0">
        <v>0</v>
      </c>
      <c r="R245" s="0">
        <v>0</v>
      </c>
      <c r="S245" s="0">
        <v>0</v>
      </c>
      <c r="T245" s="0" t="s">
        <v>34</v>
      </c>
      <c r="U245" s="0" t="s">
        <v>34</v>
      </c>
      <c r="V245" s="0" t="s">
        <v>882</v>
      </c>
      <c r="W245" s="11">
        <f>IF($V245="No","",ROUND((I245*w_Damage + N245*w_Poison + P245*w_Weaken*w_Horizon)*MIN(1+(G245-1)*w_OccEnemy,w_MaxEnemies) + (J245*w_Heal + K245*w_Shield + L245*w_Block + M245*w_Parry + O245*w_Strength*w_Horizon + S245*w_Combo)*MIN(1+(H245-1)*w_OccAlly,w_MaxAllies) + Q245*w_Draw + R245*w_Move,2))</f>
      </c>
      <c r="X245" s="11">
        <f>IF(W245="","",ROUND(W245/MAX(D245,1),2))</f>
      </c>
      <c r="Y245" s="11">
        <f>IF($V245="No","",ROUND((curve_Base+curve_Slope*D245)*IFERROR(VLOOKUP(E245,rarity_Mult,2,FALSE),1),2))</f>
      </c>
      <c r="Z245" s="11">
        <f>IF(OR(W245="",Y245=""),"",ROUND(W245-Y245,2))</f>
      </c>
      <c r="AA245" s="0">
        <f>IF(Z245="","",IF($V245="Partial","RIDER",IF(ABS(Z245)&lt;=Y245*tol_Pct,"OK",IF(Z245&gt;0,"OVER","UNDER"))))</f>
      </c>
      <c r="AB245" s="0" t="s">
        <v>34</v>
      </c>
      <c r="AC245" s="0">
        <f>IF(AND($V245&lt;&gt;"No",$E245="Common",NOT(ISNUMBER(SEARCH("Ideas",$F245)))),$W245,NA())</f>
      </c>
      <c r="AD245" s="0">
        <f>IF(AND($V245&lt;&gt;"No",$E245="Uncommon",NOT(ISNUMBER(SEARCH("Ideas",$F245)))),$W245,NA())</f>
      </c>
      <c r="AE245" s="0">
        <f>IF(AND($V245&lt;&gt;"No",$E245="Rare",NOT(ISNUMBER(SEARCH("Ideas",$F245)))),$W245,NA())</f>
      </c>
      <c r="AF245" s="0">
        <f>IF(AND($V245&lt;&gt;"No",$E245="Legendary",NOT(ISNUMBER(SEARCH("Ideas",$F245)))),$W245,NA())</f>
      </c>
      <c r="AG245" s="0">
        <f>IF(AND($V245&lt;&gt;"No",ISNUMBER(SEARCH("Knight",$C245)),NOT(ISNUMBER(SEARCH("Ideas",$F245)))),$X245,NA())</f>
      </c>
      <c r="AH245" s="0">
        <f>IF(AND($V245&lt;&gt;"No",ISNUMBER(SEARCH("Mage",$C245)),NOT(ISNUMBER(SEARCH("Ideas",$F245)))),$X245,NA())</f>
      </c>
      <c r="AI245" s="0">
        <f>IF(AND($V245&lt;&gt;"No",ISNUMBER(SEARCH("Rogue",$C245)),NOT(ISNUMBER(SEARCH("Ideas",$F245)))),$X245,NA())</f>
      </c>
      <c r="AJ245" s="0">
        <f>IF($V245&lt;&gt;"No",$Y245,NA())</f>
      </c>
      <c r="AK245" s="0">
        <f>IF(AND($V245&lt;&gt;"No",ISNUMBER(SEARCH("Ideas",$F245))),$W245,NA())</f>
      </c>
      <c r="AL245" s="0">
        <f>IF(AND($V245&lt;&gt;"No",ISNUMBER(SEARCH("Cleric",$C245)),NOT(ISNUMBER(SEARCH("Ideas",$F245)))),$X245,NA())</f>
      </c>
    </row>
    <row r="246">
      <c r="A246" s="0" t="s">
        <v>1102</v>
      </c>
      <c r="B246" s="0" t="s">
        <v>1100</v>
      </c>
      <c r="C246" s="0" t="s">
        <v>257</v>
      </c>
      <c r="D246" s="0">
        <v>2</v>
      </c>
      <c r="E246" s="0" t="s">
        <v>62</v>
      </c>
      <c r="F246" s="0" t="s">
        <v>1977</v>
      </c>
      <c r="G246" s="0">
        <v>1</v>
      </c>
      <c r="H246" s="0">
        <v>1</v>
      </c>
      <c r="I246" s="0">
        <v>0</v>
      </c>
      <c r="J246" s="0">
        <v>0</v>
      </c>
      <c r="K246" s="0">
        <v>5</v>
      </c>
      <c r="L246" s="0">
        <v>10</v>
      </c>
      <c r="M246" s="0">
        <v>1</v>
      </c>
      <c r="N246" s="0">
        <v>0</v>
      </c>
      <c r="O246" s="0">
        <v>0</v>
      </c>
      <c r="P246" s="0">
        <v>0</v>
      </c>
      <c r="Q246" s="0">
        <v>0</v>
      </c>
      <c r="R246" s="0">
        <v>0</v>
      </c>
      <c r="S246" s="0">
        <v>0</v>
      </c>
      <c r="T246" s="0" t="s">
        <v>34</v>
      </c>
      <c r="U246" s="0" t="s">
        <v>34</v>
      </c>
      <c r="V246" s="0" t="s">
        <v>882</v>
      </c>
      <c r="W246" s="11">
        <f>IF($V246="No","",ROUND((I246*w_Damage + N246*w_Poison + P246*w_Weaken*w_Horizon)*MIN(1+(G246-1)*w_OccEnemy,w_MaxEnemies) + (J246*w_Heal + K246*w_Shield + L246*w_Block + M246*w_Parry + O246*w_Strength*w_Horizon + S246*w_Combo)*MIN(1+(H246-1)*w_OccAlly,w_MaxAllies) + Q246*w_Draw + R246*w_Move,2))</f>
      </c>
      <c r="X246" s="11">
        <f>IF(W246="","",ROUND(W246/MAX(D246,1),2))</f>
      </c>
      <c r="Y246" s="11">
        <f>IF($V246="No","",ROUND((curve_Base+curve_Slope*D246)*IFERROR(VLOOKUP(E246,rarity_Mult,2,FALSE),1),2))</f>
      </c>
      <c r="Z246" s="11">
        <f>IF(OR(W246="",Y246=""),"",ROUND(W246-Y246,2))</f>
      </c>
      <c r="AA246" s="0">
        <f>IF(Z246="","",IF($V246="Partial","RIDER",IF(ABS(Z246)&lt;=Y246*tol_Pct,"OK",IF(Z246&gt;0,"OVER","UNDER"))))</f>
      </c>
      <c r="AB246" s="0" t="s">
        <v>34</v>
      </c>
      <c r="AC246" s="0">
        <f>IF(AND($V246&lt;&gt;"No",$E246="Common",NOT(ISNUMBER(SEARCH("Ideas",$F246)))),$W246,NA())</f>
      </c>
      <c r="AD246" s="0">
        <f>IF(AND($V246&lt;&gt;"No",$E246="Uncommon",NOT(ISNUMBER(SEARCH("Ideas",$F246)))),$W246,NA())</f>
      </c>
      <c r="AE246" s="0">
        <f>IF(AND($V246&lt;&gt;"No",$E246="Rare",NOT(ISNUMBER(SEARCH("Ideas",$F246)))),$W246,NA())</f>
      </c>
      <c r="AF246" s="0">
        <f>IF(AND($V246&lt;&gt;"No",$E246="Legendary",NOT(ISNUMBER(SEARCH("Ideas",$F246)))),$W246,NA())</f>
      </c>
      <c r="AG246" s="0">
        <f>IF(AND($V246&lt;&gt;"No",ISNUMBER(SEARCH("Knight",$C246)),NOT(ISNUMBER(SEARCH("Ideas",$F246)))),$X246,NA())</f>
      </c>
      <c r="AH246" s="0">
        <f>IF(AND($V246&lt;&gt;"No",ISNUMBER(SEARCH("Mage",$C246)),NOT(ISNUMBER(SEARCH("Ideas",$F246)))),$X246,NA())</f>
      </c>
      <c r="AI246" s="0">
        <f>IF(AND($V246&lt;&gt;"No",ISNUMBER(SEARCH("Rogue",$C246)),NOT(ISNUMBER(SEARCH("Ideas",$F246)))),$X246,NA())</f>
      </c>
      <c r="AJ246" s="0">
        <f>IF($V246&lt;&gt;"No",$Y246,NA())</f>
      </c>
      <c r="AK246" s="0">
        <f>IF(AND($V246&lt;&gt;"No",ISNUMBER(SEARCH("Ideas",$F246))),$W246,NA())</f>
      </c>
      <c r="AL246" s="0">
        <f>IF(AND($V246&lt;&gt;"No",ISNUMBER(SEARCH("Cleric",$C246)),NOT(ISNUMBER(SEARCH("Ideas",$F246)))),$X246,NA())</f>
      </c>
    </row>
    <row r="247">
      <c r="A247" s="0" t="s">
        <v>1103</v>
      </c>
      <c r="B247" s="0" t="s">
        <v>1103</v>
      </c>
      <c r="C247" s="0" t="s">
        <v>257</v>
      </c>
      <c r="D247" s="0">
        <v>0</v>
      </c>
      <c r="E247" s="0" t="s">
        <v>32</v>
      </c>
      <c r="F247" s="0" t="s">
        <v>1977</v>
      </c>
      <c r="G247" s="0">
        <v>1</v>
      </c>
      <c r="H247" s="0">
        <v>1</v>
      </c>
      <c r="I247" s="0">
        <v>0</v>
      </c>
      <c r="J247" s="0">
        <v>0</v>
      </c>
      <c r="K247" s="0">
        <v>0</v>
      </c>
      <c r="L247" s="0">
        <v>0</v>
      </c>
      <c r="M247" s="0">
        <v>0</v>
      </c>
      <c r="N247" s="0">
        <v>0</v>
      </c>
      <c r="O247" s="0">
        <v>0</v>
      </c>
      <c r="P247" s="0">
        <v>0</v>
      </c>
      <c r="Q247" s="0">
        <v>0</v>
      </c>
      <c r="R247" s="0">
        <v>1</v>
      </c>
      <c r="S247" s="0">
        <v>0</v>
      </c>
      <c r="T247" s="0" t="s">
        <v>34</v>
      </c>
      <c r="U247" s="0" t="s">
        <v>34</v>
      </c>
      <c r="V247" s="0" t="s">
        <v>882</v>
      </c>
      <c r="W247" s="11">
        <f>IF($V247="No","",ROUND((I247*w_Damage + N247*w_Poison + P247*w_Weaken*w_Horizon)*MIN(1+(G247-1)*w_OccEnemy,w_MaxEnemies) + (J247*w_Heal + K247*w_Shield + L247*w_Block + M247*w_Parry + O247*w_Strength*w_Horizon + S247*w_Combo)*MIN(1+(H247-1)*w_OccAlly,w_MaxAllies) + Q247*w_Draw + R247*w_Move,2))</f>
      </c>
      <c r="X247" s="11">
        <f>IF(W247="","",ROUND(W247/MAX(D247,1),2))</f>
      </c>
      <c r="Y247" s="11">
        <f>IF($V247="No","",ROUND((curve_Base+curve_Slope*D247)*IFERROR(VLOOKUP(E247,rarity_Mult,2,FALSE),1),2))</f>
      </c>
      <c r="Z247" s="11">
        <f>IF(OR(W247="",Y247=""),"",ROUND(W247-Y247,2))</f>
      </c>
      <c r="AA247" s="0">
        <f>IF(Z247="","",IF($V247="Partial","RIDER",IF(ABS(Z247)&lt;=Y247*tol_Pct,"OK",IF(Z247&gt;0,"OVER","UNDER"))))</f>
      </c>
      <c r="AB247" s="0" t="s">
        <v>34</v>
      </c>
      <c r="AC247" s="0">
        <f>IF(AND($V247&lt;&gt;"No",$E247="Common",NOT(ISNUMBER(SEARCH("Ideas",$F247)))),$W247,NA())</f>
      </c>
      <c r="AD247" s="0">
        <f>IF(AND($V247&lt;&gt;"No",$E247="Uncommon",NOT(ISNUMBER(SEARCH("Ideas",$F247)))),$W247,NA())</f>
      </c>
      <c r="AE247" s="0">
        <f>IF(AND($V247&lt;&gt;"No",$E247="Rare",NOT(ISNUMBER(SEARCH("Ideas",$F247)))),$W247,NA())</f>
      </c>
      <c r="AF247" s="0">
        <f>IF(AND($V247&lt;&gt;"No",$E247="Legendary",NOT(ISNUMBER(SEARCH("Ideas",$F247)))),$W247,NA())</f>
      </c>
      <c r="AG247" s="0">
        <f>IF(AND($V247&lt;&gt;"No",ISNUMBER(SEARCH("Knight",$C247)),NOT(ISNUMBER(SEARCH("Ideas",$F247)))),$X247,NA())</f>
      </c>
      <c r="AH247" s="0">
        <f>IF(AND($V247&lt;&gt;"No",ISNUMBER(SEARCH("Mage",$C247)),NOT(ISNUMBER(SEARCH("Ideas",$F247)))),$X247,NA())</f>
      </c>
      <c r="AI247" s="0">
        <f>IF(AND($V247&lt;&gt;"No",ISNUMBER(SEARCH("Rogue",$C247)),NOT(ISNUMBER(SEARCH("Ideas",$F247)))),$X247,NA())</f>
      </c>
      <c r="AJ247" s="0">
        <f>IF($V247&lt;&gt;"No",$Y247,NA())</f>
      </c>
      <c r="AK247" s="0">
        <f>IF(AND($V247&lt;&gt;"No",ISNUMBER(SEARCH("Ideas",$F247))),$W247,NA())</f>
      </c>
      <c r="AL247" s="0">
        <f>IF(AND($V247&lt;&gt;"No",ISNUMBER(SEARCH("Cleric",$C247)),NOT(ISNUMBER(SEARCH("Ideas",$F247)))),$X247,NA())</f>
      </c>
    </row>
    <row r="248">
      <c r="A248" s="0" t="s">
        <v>1120</v>
      </c>
      <c r="B248" s="0" t="s">
        <v>1120</v>
      </c>
      <c r="C248" s="0" t="s">
        <v>257</v>
      </c>
      <c r="D248" s="0">
        <v>1</v>
      </c>
      <c r="E248" s="0" t="s">
        <v>81</v>
      </c>
      <c r="F248" s="0" t="s">
        <v>1977</v>
      </c>
      <c r="G248" s="0">
        <v>5</v>
      </c>
      <c r="H248" s="0">
        <v>1</v>
      </c>
      <c r="I248" s="0">
        <v>0</v>
      </c>
      <c r="J248" s="0">
        <v>0</v>
      </c>
      <c r="K248" s="0">
        <v>0</v>
      </c>
      <c r="L248" s="0">
        <v>0</v>
      </c>
      <c r="M248" s="0">
        <v>0</v>
      </c>
      <c r="N248" s="0">
        <v>0</v>
      </c>
      <c r="O248" s="0">
        <v>0</v>
      </c>
      <c r="P248" s="0">
        <v>0</v>
      </c>
      <c r="Q248" s="0">
        <v>0</v>
      </c>
      <c r="R248" s="0">
        <v>0</v>
      </c>
      <c r="S248" s="0">
        <v>0</v>
      </c>
      <c r="T248" s="0" t="s">
        <v>34</v>
      </c>
      <c r="U248" s="0" t="s">
        <v>1803</v>
      </c>
      <c r="V248" s="0" t="s">
        <v>1407</v>
      </c>
      <c r="W248" s="11">
        <f>IF($V248="No","",ROUND((I248*w_Damage + N248*w_Poison + P248*w_Weaken*w_Horizon)*MIN(1+(G248-1)*w_OccEnemy,w_MaxEnemies) + (J248*w_Heal + K248*w_Shield + L248*w_Block + M248*w_Parry + O248*w_Strength*w_Horizon + S248*w_Combo)*MIN(1+(H248-1)*w_OccAlly,w_MaxAllies) + Q248*w_Draw + R248*w_Move,2))</f>
      </c>
      <c r="X248" s="11">
        <f>IF(W248="","",ROUND(W248/MAX(D248,1),2))</f>
      </c>
      <c r="Y248" s="11">
        <f>IF($V248="No","",ROUND((curve_Base+curve_Slope*D248)*IFERROR(VLOOKUP(E248,rarity_Mult,2,FALSE),1),2))</f>
      </c>
      <c r="Z248" s="11">
        <f>IF(OR(W248="",Y248=""),"",ROUND(W248-Y248,2))</f>
      </c>
      <c r="AA248" s="0">
        <f>IF(Z248="","",IF($V248="Partial","RIDER",IF(ABS(Z248)&lt;=Y248*tol_Pct,"OK",IF(Z248&gt;0,"OVER","UNDER"))))</f>
      </c>
      <c r="AB248" s="0" t="s">
        <v>34</v>
      </c>
      <c r="AC248" s="0">
        <f>IF(AND($V248&lt;&gt;"No",$E248="Common",NOT(ISNUMBER(SEARCH("Ideas",$F248)))),$W248,NA())</f>
      </c>
      <c r="AD248" s="0">
        <f>IF(AND($V248&lt;&gt;"No",$E248="Uncommon",NOT(ISNUMBER(SEARCH("Ideas",$F248)))),$W248,NA())</f>
      </c>
      <c r="AE248" s="0">
        <f>IF(AND($V248&lt;&gt;"No",$E248="Rare",NOT(ISNUMBER(SEARCH("Ideas",$F248)))),$W248,NA())</f>
      </c>
      <c r="AF248" s="0">
        <f>IF(AND($V248&lt;&gt;"No",$E248="Legendary",NOT(ISNUMBER(SEARCH("Ideas",$F248)))),$W248,NA())</f>
      </c>
      <c r="AG248" s="0">
        <f>IF(AND($V248&lt;&gt;"No",ISNUMBER(SEARCH("Knight",$C248)),NOT(ISNUMBER(SEARCH("Ideas",$F248)))),$X248,NA())</f>
      </c>
      <c r="AH248" s="0">
        <f>IF(AND($V248&lt;&gt;"No",ISNUMBER(SEARCH("Mage",$C248)),NOT(ISNUMBER(SEARCH("Ideas",$F248)))),$X248,NA())</f>
      </c>
      <c r="AI248" s="0">
        <f>IF(AND($V248&lt;&gt;"No",ISNUMBER(SEARCH("Rogue",$C248)),NOT(ISNUMBER(SEARCH("Ideas",$F248)))),$X248,NA())</f>
      </c>
      <c r="AJ248" s="0">
        <f>IF($V248&lt;&gt;"No",$Y248,NA())</f>
      </c>
      <c r="AK248" s="0">
        <f>IF(AND($V248&lt;&gt;"No",ISNUMBER(SEARCH("Ideas",$F248))),$W248,NA())</f>
      </c>
      <c r="AL248" s="0">
        <f>IF(AND($V248&lt;&gt;"No",ISNUMBER(SEARCH("Cleric",$C248)),NOT(ISNUMBER(SEARCH("Ideas",$F248)))),$X248,NA())</f>
      </c>
    </row>
    <row r="249">
      <c r="A249" s="0" t="s">
        <v>1127</v>
      </c>
      <c r="B249" s="0" t="s">
        <v>1127</v>
      </c>
      <c r="C249" s="0" t="s">
        <v>257</v>
      </c>
      <c r="D249" s="0">
        <v>1</v>
      </c>
      <c r="E249" s="0" t="s">
        <v>32</v>
      </c>
      <c r="F249" s="0" t="s">
        <v>1977</v>
      </c>
      <c r="G249" s="0">
        <v>5</v>
      </c>
      <c r="H249" s="0">
        <v>1</v>
      </c>
      <c r="I249" s="0">
        <v>0</v>
      </c>
      <c r="J249" s="0">
        <v>0</v>
      </c>
      <c r="K249" s="0">
        <v>0</v>
      </c>
      <c r="L249" s="0">
        <v>0</v>
      </c>
      <c r="M249" s="0">
        <v>0</v>
      </c>
      <c r="N249" s="0">
        <v>0</v>
      </c>
      <c r="O249" s="0">
        <v>0</v>
      </c>
      <c r="P249" s="0">
        <v>2</v>
      </c>
      <c r="Q249" s="0">
        <v>0</v>
      </c>
      <c r="R249" s="0">
        <v>0</v>
      </c>
      <c r="S249" s="0">
        <v>0</v>
      </c>
      <c r="T249" s="0" t="s">
        <v>34</v>
      </c>
      <c r="U249" s="0" t="s">
        <v>1803</v>
      </c>
      <c r="V249" s="0" t="s">
        <v>1905</v>
      </c>
      <c r="W249" s="11">
        <f>IF($V249="No","",ROUND((I249*w_Damage + N249*w_Poison + P249*w_Weaken*w_Horizon)*MIN(1+(G249-1)*w_OccEnemy,w_MaxEnemies) + (J249*w_Heal + K249*w_Shield + L249*w_Block + M249*w_Parry + O249*w_Strength*w_Horizon + S249*w_Combo)*MIN(1+(H249-1)*w_OccAlly,w_MaxAllies) + Q249*w_Draw + R249*w_Move,2))</f>
      </c>
      <c r="X249" s="11">
        <f>IF(W249="","",ROUND(W249/MAX(D249,1),2))</f>
      </c>
      <c r="Y249" s="11">
        <f>IF($V249="No","",ROUND((curve_Base+curve_Slope*D249)*IFERROR(VLOOKUP(E249,rarity_Mult,2,FALSE),1),2))</f>
      </c>
      <c r="Z249" s="11">
        <f>IF(OR(W249="",Y249=""),"",ROUND(W249-Y249,2))</f>
      </c>
      <c r="AA249" s="0">
        <f>IF(Z249="","",IF($V249="Partial","RIDER",IF(ABS(Z249)&lt;=Y249*tol_Pct,"OK",IF(Z249&gt;0,"OVER","UNDER"))))</f>
      </c>
      <c r="AB249" s="0" t="s">
        <v>34</v>
      </c>
      <c r="AC249" s="0">
        <f>IF(AND($V249&lt;&gt;"No",$E249="Common",NOT(ISNUMBER(SEARCH("Ideas",$F249)))),$W249,NA())</f>
      </c>
      <c r="AD249" s="0">
        <f>IF(AND($V249&lt;&gt;"No",$E249="Uncommon",NOT(ISNUMBER(SEARCH("Ideas",$F249)))),$W249,NA())</f>
      </c>
      <c r="AE249" s="0">
        <f>IF(AND($V249&lt;&gt;"No",$E249="Rare",NOT(ISNUMBER(SEARCH("Ideas",$F249)))),$W249,NA())</f>
      </c>
      <c r="AF249" s="0">
        <f>IF(AND($V249&lt;&gt;"No",$E249="Legendary",NOT(ISNUMBER(SEARCH("Ideas",$F249)))),$W249,NA())</f>
      </c>
      <c r="AG249" s="0">
        <f>IF(AND($V249&lt;&gt;"No",ISNUMBER(SEARCH("Knight",$C249)),NOT(ISNUMBER(SEARCH("Ideas",$F249)))),$X249,NA())</f>
      </c>
      <c r="AH249" s="0">
        <f>IF(AND($V249&lt;&gt;"No",ISNUMBER(SEARCH("Mage",$C249)),NOT(ISNUMBER(SEARCH("Ideas",$F249)))),$X249,NA())</f>
      </c>
      <c r="AI249" s="0">
        <f>IF(AND($V249&lt;&gt;"No",ISNUMBER(SEARCH("Rogue",$C249)),NOT(ISNUMBER(SEARCH("Ideas",$F249)))),$X249,NA())</f>
      </c>
      <c r="AJ249" s="0">
        <f>IF($V249&lt;&gt;"No",$Y249,NA())</f>
      </c>
      <c r="AK249" s="0">
        <f>IF(AND($V249&lt;&gt;"No",ISNUMBER(SEARCH("Ideas",$F249))),$W249,NA())</f>
      </c>
      <c r="AL249" s="0">
        <f>IF(AND($V249&lt;&gt;"No",ISNUMBER(SEARCH("Cleric",$C249)),NOT(ISNUMBER(SEARCH("Ideas",$F249)))),$X249,NA())</f>
      </c>
    </row>
    <row r="250">
      <c r="A250" s="0" t="s">
        <v>1132</v>
      </c>
      <c r="B250" s="0" t="s">
        <v>1132</v>
      </c>
      <c r="C250" s="0" t="s">
        <v>257</v>
      </c>
      <c r="D250" s="0">
        <v>2</v>
      </c>
      <c r="E250" s="0" t="s">
        <v>32</v>
      </c>
      <c r="F250" s="0" t="s">
        <v>1977</v>
      </c>
      <c r="G250" s="0">
        <v>5</v>
      </c>
      <c r="H250" s="0">
        <v>1</v>
      </c>
      <c r="I250" s="0">
        <v>5</v>
      </c>
      <c r="J250" s="0">
        <v>0</v>
      </c>
      <c r="K250" s="0">
        <v>0</v>
      </c>
      <c r="L250" s="0">
        <v>0</v>
      </c>
      <c r="M250" s="0">
        <v>0</v>
      </c>
      <c r="N250" s="0">
        <v>0</v>
      </c>
      <c r="O250" s="0">
        <v>0</v>
      </c>
      <c r="P250" s="0">
        <v>0</v>
      </c>
      <c r="Q250" s="0">
        <v>0</v>
      </c>
      <c r="R250" s="0">
        <v>0</v>
      </c>
      <c r="S250" s="0">
        <v>0</v>
      </c>
      <c r="T250" s="0" t="s">
        <v>34</v>
      </c>
      <c r="U250" s="0" t="s">
        <v>34</v>
      </c>
      <c r="V250" s="0" t="s">
        <v>882</v>
      </c>
      <c r="W250" s="11">
        <f>IF($V250="No","",ROUND((I250*w_Damage + N250*w_Poison + P250*w_Weaken*w_Horizon)*MIN(1+(G250-1)*w_OccEnemy,w_MaxEnemies) + (J250*w_Heal + K250*w_Shield + L250*w_Block + M250*w_Parry + O250*w_Strength*w_Horizon + S250*w_Combo)*MIN(1+(H250-1)*w_OccAlly,w_MaxAllies) + Q250*w_Draw + R250*w_Move,2))</f>
      </c>
      <c r="X250" s="11">
        <f>IF(W250="","",ROUND(W250/MAX(D250,1),2))</f>
      </c>
      <c r="Y250" s="11">
        <f>IF($V250="No","",ROUND((curve_Base+curve_Slope*D250)*IFERROR(VLOOKUP(E250,rarity_Mult,2,FALSE),1),2))</f>
      </c>
      <c r="Z250" s="11">
        <f>IF(OR(W250="",Y250=""),"",ROUND(W250-Y250,2))</f>
      </c>
      <c r="AA250" s="0">
        <f>IF(Z250="","",IF($V250="Partial","RIDER",IF(ABS(Z250)&lt;=Y250*tol_Pct,"OK",IF(Z250&gt;0,"OVER","UNDER"))))</f>
      </c>
      <c r="AB250" s="0" t="s">
        <v>34</v>
      </c>
      <c r="AC250" s="0">
        <f>IF(AND($V250&lt;&gt;"No",$E250="Common",NOT(ISNUMBER(SEARCH("Ideas",$F250)))),$W250,NA())</f>
      </c>
      <c r="AD250" s="0">
        <f>IF(AND($V250&lt;&gt;"No",$E250="Uncommon",NOT(ISNUMBER(SEARCH("Ideas",$F250)))),$W250,NA())</f>
      </c>
      <c r="AE250" s="0">
        <f>IF(AND($V250&lt;&gt;"No",$E250="Rare",NOT(ISNUMBER(SEARCH("Ideas",$F250)))),$W250,NA())</f>
      </c>
      <c r="AF250" s="0">
        <f>IF(AND($V250&lt;&gt;"No",$E250="Legendary",NOT(ISNUMBER(SEARCH("Ideas",$F250)))),$W250,NA())</f>
      </c>
      <c r="AG250" s="0">
        <f>IF(AND($V250&lt;&gt;"No",ISNUMBER(SEARCH("Knight",$C250)),NOT(ISNUMBER(SEARCH("Ideas",$F250)))),$X250,NA())</f>
      </c>
      <c r="AH250" s="0">
        <f>IF(AND($V250&lt;&gt;"No",ISNUMBER(SEARCH("Mage",$C250)),NOT(ISNUMBER(SEARCH("Ideas",$F250)))),$X250,NA())</f>
      </c>
      <c r="AI250" s="0">
        <f>IF(AND($V250&lt;&gt;"No",ISNUMBER(SEARCH("Rogue",$C250)),NOT(ISNUMBER(SEARCH("Ideas",$F250)))),$X250,NA())</f>
      </c>
      <c r="AJ250" s="0">
        <f>IF($V250&lt;&gt;"No",$Y250,NA())</f>
      </c>
      <c r="AK250" s="0">
        <f>IF(AND($V250&lt;&gt;"No",ISNUMBER(SEARCH("Ideas",$F250))),$W250,NA())</f>
      </c>
      <c r="AL250" s="0">
        <f>IF(AND($V250&lt;&gt;"No",ISNUMBER(SEARCH("Cleric",$C250)),NOT(ISNUMBER(SEARCH("Ideas",$F250)))),$X250,NA())</f>
      </c>
    </row>
    <row r="251">
      <c r="A251" s="0" t="s">
        <v>1138</v>
      </c>
      <c r="B251" s="0" t="s">
        <v>1136</v>
      </c>
      <c r="C251" s="0" t="s">
        <v>257</v>
      </c>
      <c r="D251" s="0">
        <v>1</v>
      </c>
      <c r="E251" s="0" t="s">
        <v>81</v>
      </c>
      <c r="F251" s="0" t="s">
        <v>1977</v>
      </c>
      <c r="G251" s="0">
        <v>1</v>
      </c>
      <c r="H251" s="0">
        <v>1</v>
      </c>
      <c r="I251" s="0">
        <v>0</v>
      </c>
      <c r="J251" s="0">
        <v>0</v>
      </c>
      <c r="K251" s="0">
        <v>0</v>
      </c>
      <c r="L251" s="0">
        <v>0</v>
      </c>
      <c r="M251" s="0">
        <v>0</v>
      </c>
      <c r="N251" s="0">
        <v>0</v>
      </c>
      <c r="O251" s="0">
        <v>0</v>
      </c>
      <c r="P251" s="0">
        <v>0</v>
      </c>
      <c r="Q251" s="0">
        <v>0</v>
      </c>
      <c r="R251" s="0">
        <v>1</v>
      </c>
      <c r="S251" s="0">
        <v>0</v>
      </c>
      <c r="T251" s="0" t="s">
        <v>34</v>
      </c>
      <c r="U251" s="0" t="s">
        <v>361</v>
      </c>
      <c r="V251" s="0" t="s">
        <v>1905</v>
      </c>
      <c r="W251" s="11">
        <f>IF($V251="No","",ROUND((I251*w_Damage + N251*w_Poison + P251*w_Weaken*w_Horizon)*MIN(1+(G251-1)*w_OccEnemy,w_MaxEnemies) + (J251*w_Heal + K251*w_Shield + L251*w_Block + M251*w_Parry + O251*w_Strength*w_Horizon + S251*w_Combo)*MIN(1+(H251-1)*w_OccAlly,w_MaxAllies) + Q251*w_Draw + R251*w_Move,2))</f>
      </c>
      <c r="X251" s="11">
        <f>IF(W251="","",ROUND(W251/MAX(D251,1),2))</f>
      </c>
      <c r="Y251" s="11">
        <f>IF($V251="No","",ROUND((curve_Base+curve_Slope*D251)*IFERROR(VLOOKUP(E251,rarity_Mult,2,FALSE),1),2))</f>
      </c>
      <c r="Z251" s="11">
        <f>IF(OR(W251="",Y251=""),"",ROUND(W251-Y251,2))</f>
      </c>
      <c r="AA251" s="0">
        <f>IF(Z251="","",IF($V251="Partial","RIDER",IF(ABS(Z251)&lt;=Y251*tol_Pct,"OK",IF(Z251&gt;0,"OVER","UNDER"))))</f>
      </c>
      <c r="AB251" s="0" t="s">
        <v>34</v>
      </c>
      <c r="AC251" s="0">
        <f>IF(AND($V251&lt;&gt;"No",$E251="Common",NOT(ISNUMBER(SEARCH("Ideas",$F251)))),$W251,NA())</f>
      </c>
      <c r="AD251" s="0">
        <f>IF(AND($V251&lt;&gt;"No",$E251="Uncommon",NOT(ISNUMBER(SEARCH("Ideas",$F251)))),$W251,NA())</f>
      </c>
      <c r="AE251" s="0">
        <f>IF(AND($V251&lt;&gt;"No",$E251="Rare",NOT(ISNUMBER(SEARCH("Ideas",$F251)))),$W251,NA())</f>
      </c>
      <c r="AF251" s="0">
        <f>IF(AND($V251&lt;&gt;"No",$E251="Legendary",NOT(ISNUMBER(SEARCH("Ideas",$F251)))),$W251,NA())</f>
      </c>
      <c r="AG251" s="0">
        <f>IF(AND($V251&lt;&gt;"No",ISNUMBER(SEARCH("Knight",$C251)),NOT(ISNUMBER(SEARCH("Ideas",$F251)))),$X251,NA())</f>
      </c>
      <c r="AH251" s="0">
        <f>IF(AND($V251&lt;&gt;"No",ISNUMBER(SEARCH("Mage",$C251)),NOT(ISNUMBER(SEARCH("Ideas",$F251)))),$X251,NA())</f>
      </c>
      <c r="AI251" s="0">
        <f>IF(AND($V251&lt;&gt;"No",ISNUMBER(SEARCH("Rogue",$C251)),NOT(ISNUMBER(SEARCH("Ideas",$F251)))),$X251,NA())</f>
      </c>
      <c r="AJ251" s="0">
        <f>IF($V251&lt;&gt;"No",$Y251,NA())</f>
      </c>
      <c r="AK251" s="0">
        <f>IF(AND($V251&lt;&gt;"No",ISNUMBER(SEARCH("Ideas",$F251))),$W251,NA())</f>
      </c>
      <c r="AL251" s="0">
        <f>IF(AND($V251&lt;&gt;"No",ISNUMBER(SEARCH("Cleric",$C251)),NOT(ISNUMBER(SEARCH("Ideas",$F251)))),$X251,NA())</f>
      </c>
    </row>
    <row r="252">
      <c r="A252" s="0" t="s">
        <v>1139</v>
      </c>
      <c r="B252" s="0" t="s">
        <v>1139</v>
      </c>
      <c r="C252" s="0" t="s">
        <v>257</v>
      </c>
      <c r="D252" s="0">
        <v>1</v>
      </c>
      <c r="E252" s="0" t="s">
        <v>81</v>
      </c>
      <c r="F252" s="0" t="s">
        <v>1977</v>
      </c>
      <c r="G252" s="0">
        <v>1</v>
      </c>
      <c r="H252" s="0">
        <v>1</v>
      </c>
      <c r="I252" s="0">
        <v>0</v>
      </c>
      <c r="J252" s="0">
        <v>0</v>
      </c>
      <c r="K252" s="0">
        <v>0</v>
      </c>
      <c r="L252" s="0">
        <v>0</v>
      </c>
      <c r="M252" s="0">
        <v>0</v>
      </c>
      <c r="N252" s="0">
        <v>0</v>
      </c>
      <c r="O252" s="0">
        <v>0</v>
      </c>
      <c r="P252" s="0">
        <v>3</v>
      </c>
      <c r="Q252" s="0">
        <v>0</v>
      </c>
      <c r="R252" s="0">
        <v>0</v>
      </c>
      <c r="S252" s="0">
        <v>0</v>
      </c>
      <c r="T252" s="0" t="s">
        <v>34</v>
      </c>
      <c r="U252" s="0" t="s">
        <v>34</v>
      </c>
      <c r="V252" s="0" t="s">
        <v>882</v>
      </c>
      <c r="W252" s="11">
        <f>IF($V252="No","",ROUND((I252*w_Damage + N252*w_Poison + P252*w_Weaken*w_Horizon)*MIN(1+(G252-1)*w_OccEnemy,w_MaxEnemies) + (J252*w_Heal + K252*w_Shield + L252*w_Block + M252*w_Parry + O252*w_Strength*w_Horizon + S252*w_Combo)*MIN(1+(H252-1)*w_OccAlly,w_MaxAllies) + Q252*w_Draw + R252*w_Move,2))</f>
      </c>
      <c r="X252" s="11">
        <f>IF(W252="","",ROUND(W252/MAX(D252,1),2))</f>
      </c>
      <c r="Y252" s="11">
        <f>IF($V252="No","",ROUND((curve_Base+curve_Slope*D252)*IFERROR(VLOOKUP(E252,rarity_Mult,2,FALSE),1),2))</f>
      </c>
      <c r="Z252" s="11">
        <f>IF(OR(W252="",Y252=""),"",ROUND(W252-Y252,2))</f>
      </c>
      <c r="AA252" s="0">
        <f>IF(Z252="","",IF($V252="Partial","RIDER",IF(ABS(Z252)&lt;=Y252*tol_Pct,"OK",IF(Z252&gt;0,"OVER","UNDER"))))</f>
      </c>
      <c r="AB252" s="0" t="s">
        <v>34</v>
      </c>
      <c r="AC252" s="0">
        <f>IF(AND($V252&lt;&gt;"No",$E252="Common",NOT(ISNUMBER(SEARCH("Ideas",$F252)))),$W252,NA())</f>
      </c>
      <c r="AD252" s="0">
        <f>IF(AND($V252&lt;&gt;"No",$E252="Uncommon",NOT(ISNUMBER(SEARCH("Ideas",$F252)))),$W252,NA())</f>
      </c>
      <c r="AE252" s="0">
        <f>IF(AND($V252&lt;&gt;"No",$E252="Rare",NOT(ISNUMBER(SEARCH("Ideas",$F252)))),$W252,NA())</f>
      </c>
      <c r="AF252" s="0">
        <f>IF(AND($V252&lt;&gt;"No",$E252="Legendary",NOT(ISNUMBER(SEARCH("Ideas",$F252)))),$W252,NA())</f>
      </c>
      <c r="AG252" s="0">
        <f>IF(AND($V252&lt;&gt;"No",ISNUMBER(SEARCH("Knight",$C252)),NOT(ISNUMBER(SEARCH("Ideas",$F252)))),$X252,NA())</f>
      </c>
      <c r="AH252" s="0">
        <f>IF(AND($V252&lt;&gt;"No",ISNUMBER(SEARCH("Mage",$C252)),NOT(ISNUMBER(SEARCH("Ideas",$F252)))),$X252,NA())</f>
      </c>
      <c r="AI252" s="0">
        <f>IF(AND($V252&lt;&gt;"No",ISNUMBER(SEARCH("Rogue",$C252)),NOT(ISNUMBER(SEARCH("Ideas",$F252)))),$X252,NA())</f>
      </c>
      <c r="AJ252" s="0">
        <f>IF($V252&lt;&gt;"No",$Y252,NA())</f>
      </c>
      <c r="AK252" s="0">
        <f>IF(AND($V252&lt;&gt;"No",ISNUMBER(SEARCH("Ideas",$F252))),$W252,NA())</f>
      </c>
      <c r="AL252" s="0">
        <f>IF(AND($V252&lt;&gt;"No",ISNUMBER(SEARCH("Cleric",$C252)),NOT(ISNUMBER(SEARCH("Ideas",$F252)))),$X252,NA())</f>
      </c>
    </row>
    <row r="253">
      <c r="A253" s="0" t="s">
        <v>1141</v>
      </c>
      <c r="B253" s="0" t="s">
        <v>1141</v>
      </c>
      <c r="C253" s="0" t="s">
        <v>257</v>
      </c>
      <c r="D253" s="0">
        <v>2</v>
      </c>
      <c r="E253" s="0" t="s">
        <v>32</v>
      </c>
      <c r="F253" s="0" t="s">
        <v>1977</v>
      </c>
      <c r="G253" s="0">
        <v>1</v>
      </c>
      <c r="H253" s="0">
        <v>1</v>
      </c>
      <c r="I253" s="0">
        <v>0</v>
      </c>
      <c r="J253" s="0">
        <v>0</v>
      </c>
      <c r="K253" s="0">
        <v>0</v>
      </c>
      <c r="L253" s="0">
        <v>0</v>
      </c>
      <c r="M253" s="0">
        <v>0</v>
      </c>
      <c r="N253" s="0">
        <v>6</v>
      </c>
      <c r="O253" s="0">
        <v>0</v>
      </c>
      <c r="P253" s="0">
        <v>3</v>
      </c>
      <c r="Q253" s="0">
        <v>0</v>
      </c>
      <c r="R253" s="0">
        <v>0</v>
      </c>
      <c r="S253" s="0">
        <v>0</v>
      </c>
      <c r="T253" s="0" t="s">
        <v>34</v>
      </c>
      <c r="U253" s="0" t="s">
        <v>34</v>
      </c>
      <c r="V253" s="0" t="s">
        <v>882</v>
      </c>
      <c r="W253" s="11">
        <f>IF($V253="No","",ROUND((I253*w_Damage + N253*w_Poison + P253*w_Weaken*w_Horizon)*MIN(1+(G253-1)*w_OccEnemy,w_MaxEnemies) + (J253*w_Heal + K253*w_Shield + L253*w_Block + M253*w_Parry + O253*w_Strength*w_Horizon + S253*w_Combo)*MIN(1+(H253-1)*w_OccAlly,w_MaxAllies) + Q253*w_Draw + R253*w_Move,2))</f>
      </c>
      <c r="X253" s="11">
        <f>IF(W253="","",ROUND(W253/MAX(D253,1),2))</f>
      </c>
      <c r="Y253" s="11">
        <f>IF($V253="No","",ROUND((curve_Base+curve_Slope*D253)*IFERROR(VLOOKUP(E253,rarity_Mult,2,FALSE),1),2))</f>
      </c>
      <c r="Z253" s="11">
        <f>IF(OR(W253="",Y253=""),"",ROUND(W253-Y253,2))</f>
      </c>
      <c r="AA253" s="0">
        <f>IF(Z253="","",IF($V253="Partial","RIDER",IF(ABS(Z253)&lt;=Y253*tol_Pct,"OK",IF(Z253&gt;0,"OVER","UNDER"))))</f>
      </c>
      <c r="AB253" s="0" t="s">
        <v>34</v>
      </c>
      <c r="AC253" s="0">
        <f>IF(AND($V253&lt;&gt;"No",$E253="Common",NOT(ISNUMBER(SEARCH("Ideas",$F253)))),$W253,NA())</f>
      </c>
      <c r="AD253" s="0">
        <f>IF(AND($V253&lt;&gt;"No",$E253="Uncommon",NOT(ISNUMBER(SEARCH("Ideas",$F253)))),$W253,NA())</f>
      </c>
      <c r="AE253" s="0">
        <f>IF(AND($V253&lt;&gt;"No",$E253="Rare",NOT(ISNUMBER(SEARCH("Ideas",$F253)))),$W253,NA())</f>
      </c>
      <c r="AF253" s="0">
        <f>IF(AND($V253&lt;&gt;"No",$E253="Legendary",NOT(ISNUMBER(SEARCH("Ideas",$F253)))),$W253,NA())</f>
      </c>
      <c r="AG253" s="0">
        <f>IF(AND($V253&lt;&gt;"No",ISNUMBER(SEARCH("Knight",$C253)),NOT(ISNUMBER(SEARCH("Ideas",$F253)))),$X253,NA())</f>
      </c>
      <c r="AH253" s="0">
        <f>IF(AND($V253&lt;&gt;"No",ISNUMBER(SEARCH("Mage",$C253)),NOT(ISNUMBER(SEARCH("Ideas",$F253)))),$X253,NA())</f>
      </c>
      <c r="AI253" s="0">
        <f>IF(AND($V253&lt;&gt;"No",ISNUMBER(SEARCH("Rogue",$C253)),NOT(ISNUMBER(SEARCH("Ideas",$F253)))),$X253,NA())</f>
      </c>
      <c r="AJ253" s="0">
        <f>IF($V253&lt;&gt;"No",$Y253,NA())</f>
      </c>
      <c r="AK253" s="0">
        <f>IF(AND($V253&lt;&gt;"No",ISNUMBER(SEARCH("Ideas",$F253))),$W253,NA())</f>
      </c>
      <c r="AL253" s="0">
        <f>IF(AND($V253&lt;&gt;"No",ISNUMBER(SEARCH("Cleric",$C253)),NOT(ISNUMBER(SEARCH("Ideas",$F253)))),$X253,NA())</f>
      </c>
    </row>
    <row r="254">
      <c r="A254" s="0" t="s">
        <v>1143</v>
      </c>
      <c r="B254" s="0" t="s">
        <v>1143</v>
      </c>
      <c r="C254" s="0" t="s">
        <v>257</v>
      </c>
      <c r="D254" s="0">
        <v>1</v>
      </c>
      <c r="E254" s="0" t="s">
        <v>32</v>
      </c>
      <c r="F254" s="0" t="s">
        <v>1977</v>
      </c>
      <c r="G254" s="0">
        <v>1</v>
      </c>
      <c r="H254" s="0">
        <v>1</v>
      </c>
      <c r="I254" s="0">
        <v>0</v>
      </c>
      <c r="J254" s="0">
        <v>0</v>
      </c>
      <c r="K254" s="0">
        <v>0</v>
      </c>
      <c r="L254" s="0">
        <v>0</v>
      </c>
      <c r="M254" s="0">
        <v>0</v>
      </c>
      <c r="N254" s="0">
        <v>0</v>
      </c>
      <c r="O254" s="0">
        <v>0</v>
      </c>
      <c r="P254" s="0">
        <v>2</v>
      </c>
      <c r="Q254" s="0">
        <v>0</v>
      </c>
      <c r="R254" s="0">
        <v>0</v>
      </c>
      <c r="S254" s="0">
        <v>0</v>
      </c>
      <c r="T254" s="0" t="s">
        <v>34</v>
      </c>
      <c r="U254" s="0" t="s">
        <v>1803</v>
      </c>
      <c r="V254" s="0" t="s">
        <v>1905</v>
      </c>
      <c r="W254" s="11">
        <f>IF($V254="No","",ROUND((I254*w_Damage + N254*w_Poison + P254*w_Weaken*w_Horizon)*MIN(1+(G254-1)*w_OccEnemy,w_MaxEnemies) + (J254*w_Heal + K254*w_Shield + L254*w_Block + M254*w_Parry + O254*w_Strength*w_Horizon + S254*w_Combo)*MIN(1+(H254-1)*w_OccAlly,w_MaxAllies) + Q254*w_Draw + R254*w_Move,2))</f>
      </c>
      <c r="X254" s="11">
        <f>IF(W254="","",ROUND(W254/MAX(D254,1),2))</f>
      </c>
      <c r="Y254" s="11">
        <f>IF($V254="No","",ROUND((curve_Base+curve_Slope*D254)*IFERROR(VLOOKUP(E254,rarity_Mult,2,FALSE),1),2))</f>
      </c>
      <c r="Z254" s="11">
        <f>IF(OR(W254="",Y254=""),"",ROUND(W254-Y254,2))</f>
      </c>
      <c r="AA254" s="0">
        <f>IF(Z254="","",IF($V254="Partial","RIDER",IF(ABS(Z254)&lt;=Y254*tol_Pct,"OK",IF(Z254&gt;0,"OVER","UNDER"))))</f>
      </c>
      <c r="AB254" s="0" t="s">
        <v>34</v>
      </c>
      <c r="AC254" s="0">
        <f>IF(AND($V254&lt;&gt;"No",$E254="Common",NOT(ISNUMBER(SEARCH("Ideas",$F254)))),$W254,NA())</f>
      </c>
      <c r="AD254" s="0">
        <f>IF(AND($V254&lt;&gt;"No",$E254="Uncommon",NOT(ISNUMBER(SEARCH("Ideas",$F254)))),$W254,NA())</f>
      </c>
      <c r="AE254" s="0">
        <f>IF(AND($V254&lt;&gt;"No",$E254="Rare",NOT(ISNUMBER(SEARCH("Ideas",$F254)))),$W254,NA())</f>
      </c>
      <c r="AF254" s="0">
        <f>IF(AND($V254&lt;&gt;"No",$E254="Legendary",NOT(ISNUMBER(SEARCH("Ideas",$F254)))),$W254,NA())</f>
      </c>
      <c r="AG254" s="0">
        <f>IF(AND($V254&lt;&gt;"No",ISNUMBER(SEARCH("Knight",$C254)),NOT(ISNUMBER(SEARCH("Ideas",$F254)))),$X254,NA())</f>
      </c>
      <c r="AH254" s="0">
        <f>IF(AND($V254&lt;&gt;"No",ISNUMBER(SEARCH("Mage",$C254)),NOT(ISNUMBER(SEARCH("Ideas",$F254)))),$X254,NA())</f>
      </c>
      <c r="AI254" s="0">
        <f>IF(AND($V254&lt;&gt;"No",ISNUMBER(SEARCH("Rogue",$C254)),NOT(ISNUMBER(SEARCH("Ideas",$F254)))),$X254,NA())</f>
      </c>
      <c r="AJ254" s="0">
        <f>IF($V254&lt;&gt;"No",$Y254,NA())</f>
      </c>
      <c r="AK254" s="0">
        <f>IF(AND($V254&lt;&gt;"No",ISNUMBER(SEARCH("Ideas",$F254))),$W254,NA())</f>
      </c>
      <c r="AL254" s="0">
        <f>IF(AND($V254&lt;&gt;"No",ISNUMBER(SEARCH("Cleric",$C254)),NOT(ISNUMBER(SEARCH("Ideas",$F254)))),$X254,NA())</f>
      </c>
    </row>
    <row r="255">
      <c r="A255" s="0" t="s">
        <v>1147</v>
      </c>
      <c r="B255" s="0" t="s">
        <v>1145</v>
      </c>
      <c r="C255" s="0" t="s">
        <v>257</v>
      </c>
      <c r="D255" s="0">
        <v>2</v>
      </c>
      <c r="E255" s="0" t="s">
        <v>62</v>
      </c>
      <c r="F255" s="0" t="s">
        <v>1977</v>
      </c>
      <c r="G255" s="0">
        <v>1</v>
      </c>
      <c r="H255" s="0">
        <v>1</v>
      </c>
      <c r="I255" s="0">
        <v>5</v>
      </c>
      <c r="J255" s="0">
        <v>0</v>
      </c>
      <c r="K255" s="0">
        <v>0</v>
      </c>
      <c r="L255" s="0">
        <v>0</v>
      </c>
      <c r="M255" s="0">
        <v>0</v>
      </c>
      <c r="N255" s="0">
        <v>0</v>
      </c>
      <c r="O255" s="0">
        <v>0</v>
      </c>
      <c r="P255" s="0">
        <v>0</v>
      </c>
      <c r="Q255" s="0">
        <v>0</v>
      </c>
      <c r="R255" s="0">
        <v>0</v>
      </c>
      <c r="S255" s="0">
        <v>0</v>
      </c>
      <c r="T255" s="0" t="s">
        <v>34</v>
      </c>
      <c r="U255" s="0" t="s">
        <v>1793</v>
      </c>
      <c r="V255" s="0" t="s">
        <v>1905</v>
      </c>
      <c r="W255" s="11">
        <f>IF($V255="No","",ROUND((I255*w_Damage + N255*w_Poison + P255*w_Weaken*w_Horizon)*MIN(1+(G255-1)*w_OccEnemy,w_MaxEnemies) + (J255*w_Heal + K255*w_Shield + L255*w_Block + M255*w_Parry + O255*w_Strength*w_Horizon + S255*w_Combo)*MIN(1+(H255-1)*w_OccAlly,w_MaxAllies) + Q255*w_Draw + R255*w_Move,2))</f>
      </c>
      <c r="X255" s="11">
        <f>IF(W255="","",ROUND(W255/MAX(D255,1),2))</f>
      </c>
      <c r="Y255" s="11">
        <f>IF($V255="No","",ROUND((curve_Base+curve_Slope*D255)*IFERROR(VLOOKUP(E255,rarity_Mult,2,FALSE),1),2))</f>
      </c>
      <c r="Z255" s="11">
        <f>IF(OR(W255="",Y255=""),"",ROUND(W255-Y255,2))</f>
      </c>
      <c r="AA255" s="0">
        <f>IF(Z255="","",IF($V255="Partial","RIDER",IF(ABS(Z255)&lt;=Y255*tol_Pct,"OK",IF(Z255&gt;0,"OVER","UNDER"))))</f>
      </c>
      <c r="AB255" s="0" t="s">
        <v>34</v>
      </c>
      <c r="AC255" s="0">
        <f>IF(AND($V255&lt;&gt;"No",$E255="Common",NOT(ISNUMBER(SEARCH("Ideas",$F255)))),$W255,NA())</f>
      </c>
      <c r="AD255" s="0">
        <f>IF(AND($V255&lt;&gt;"No",$E255="Uncommon",NOT(ISNUMBER(SEARCH("Ideas",$F255)))),$W255,NA())</f>
      </c>
      <c r="AE255" s="0">
        <f>IF(AND($V255&lt;&gt;"No",$E255="Rare",NOT(ISNUMBER(SEARCH("Ideas",$F255)))),$W255,NA())</f>
      </c>
      <c r="AF255" s="0">
        <f>IF(AND($V255&lt;&gt;"No",$E255="Legendary",NOT(ISNUMBER(SEARCH("Ideas",$F255)))),$W255,NA())</f>
      </c>
      <c r="AG255" s="0">
        <f>IF(AND($V255&lt;&gt;"No",ISNUMBER(SEARCH("Knight",$C255)),NOT(ISNUMBER(SEARCH("Ideas",$F255)))),$X255,NA())</f>
      </c>
      <c r="AH255" s="0">
        <f>IF(AND($V255&lt;&gt;"No",ISNUMBER(SEARCH("Mage",$C255)),NOT(ISNUMBER(SEARCH("Ideas",$F255)))),$X255,NA())</f>
      </c>
      <c r="AI255" s="0">
        <f>IF(AND($V255&lt;&gt;"No",ISNUMBER(SEARCH("Rogue",$C255)),NOT(ISNUMBER(SEARCH("Ideas",$F255)))),$X255,NA())</f>
      </c>
      <c r="AJ255" s="0">
        <f>IF($V255&lt;&gt;"No",$Y255,NA())</f>
      </c>
      <c r="AK255" s="0">
        <f>IF(AND($V255&lt;&gt;"No",ISNUMBER(SEARCH("Ideas",$F255))),$W255,NA())</f>
      </c>
      <c r="AL255" s="0">
        <f>IF(AND($V255&lt;&gt;"No",ISNUMBER(SEARCH("Cleric",$C255)),NOT(ISNUMBER(SEARCH("Ideas",$F255)))),$X255,NA())</f>
      </c>
    </row>
    <row r="256">
      <c r="A256" s="0" t="s">
        <v>1148</v>
      </c>
      <c r="B256" s="0" t="s">
        <v>1148</v>
      </c>
      <c r="C256" s="0" t="s">
        <v>257</v>
      </c>
      <c r="D256" s="0">
        <v>2</v>
      </c>
      <c r="E256" s="0" t="s">
        <v>62</v>
      </c>
      <c r="F256" s="0" t="s">
        <v>1977</v>
      </c>
      <c r="G256" s="0">
        <v>1</v>
      </c>
      <c r="H256" s="0">
        <v>1</v>
      </c>
      <c r="I256" s="0">
        <v>0</v>
      </c>
      <c r="J256" s="0">
        <v>0</v>
      </c>
      <c r="K256" s="0">
        <v>0</v>
      </c>
      <c r="L256" s="0">
        <v>0</v>
      </c>
      <c r="M256" s="0">
        <v>0</v>
      </c>
      <c r="N256" s="0">
        <v>0</v>
      </c>
      <c r="O256" s="0">
        <v>0</v>
      </c>
      <c r="P256" s="0">
        <v>0</v>
      </c>
      <c r="Q256" s="0">
        <v>1</v>
      </c>
      <c r="R256" s="0">
        <v>0</v>
      </c>
      <c r="S256" s="0">
        <v>1</v>
      </c>
      <c r="T256" s="0" t="s">
        <v>34</v>
      </c>
      <c r="U256" s="0" t="s">
        <v>34</v>
      </c>
      <c r="V256" s="0" t="s">
        <v>882</v>
      </c>
      <c r="W256" s="11">
        <f>IF($V256="No","",ROUND((I256*w_Damage + N256*w_Poison + P256*w_Weaken*w_Horizon)*MIN(1+(G256-1)*w_OccEnemy,w_MaxEnemies) + (J256*w_Heal + K256*w_Shield + L256*w_Block + M256*w_Parry + O256*w_Strength*w_Horizon + S256*w_Combo)*MIN(1+(H256-1)*w_OccAlly,w_MaxAllies) + Q256*w_Draw + R256*w_Move,2))</f>
      </c>
      <c r="X256" s="11">
        <f>IF(W256="","",ROUND(W256/MAX(D256,1),2))</f>
      </c>
      <c r="Y256" s="11">
        <f>IF($V256="No","",ROUND((curve_Base+curve_Slope*D256)*IFERROR(VLOOKUP(E256,rarity_Mult,2,FALSE),1),2))</f>
      </c>
      <c r="Z256" s="11">
        <f>IF(OR(W256="",Y256=""),"",ROUND(W256-Y256,2))</f>
      </c>
      <c r="AA256" s="0">
        <f>IF(Z256="","",IF($V256="Partial","RIDER",IF(ABS(Z256)&lt;=Y256*tol_Pct,"OK",IF(Z256&gt;0,"OVER","UNDER"))))</f>
      </c>
      <c r="AB256" s="0" t="s">
        <v>34</v>
      </c>
      <c r="AC256" s="0">
        <f>IF(AND($V256&lt;&gt;"No",$E256="Common",NOT(ISNUMBER(SEARCH("Ideas",$F256)))),$W256,NA())</f>
      </c>
      <c r="AD256" s="0">
        <f>IF(AND($V256&lt;&gt;"No",$E256="Uncommon",NOT(ISNUMBER(SEARCH("Ideas",$F256)))),$W256,NA())</f>
      </c>
      <c r="AE256" s="0">
        <f>IF(AND($V256&lt;&gt;"No",$E256="Rare",NOT(ISNUMBER(SEARCH("Ideas",$F256)))),$W256,NA())</f>
      </c>
      <c r="AF256" s="0">
        <f>IF(AND($V256&lt;&gt;"No",$E256="Legendary",NOT(ISNUMBER(SEARCH("Ideas",$F256)))),$W256,NA())</f>
      </c>
      <c r="AG256" s="0">
        <f>IF(AND($V256&lt;&gt;"No",ISNUMBER(SEARCH("Knight",$C256)),NOT(ISNUMBER(SEARCH("Ideas",$F256)))),$X256,NA())</f>
      </c>
      <c r="AH256" s="0">
        <f>IF(AND($V256&lt;&gt;"No",ISNUMBER(SEARCH("Mage",$C256)),NOT(ISNUMBER(SEARCH("Ideas",$F256)))),$X256,NA())</f>
      </c>
      <c r="AI256" s="0">
        <f>IF(AND($V256&lt;&gt;"No",ISNUMBER(SEARCH("Rogue",$C256)),NOT(ISNUMBER(SEARCH("Ideas",$F256)))),$X256,NA())</f>
      </c>
      <c r="AJ256" s="0">
        <f>IF($V256&lt;&gt;"No",$Y256,NA())</f>
      </c>
      <c r="AK256" s="0">
        <f>IF(AND($V256&lt;&gt;"No",ISNUMBER(SEARCH("Ideas",$F256))),$W256,NA())</f>
      </c>
      <c r="AL256" s="0">
        <f>IF(AND($V256&lt;&gt;"No",ISNUMBER(SEARCH("Cleric",$C256)),NOT(ISNUMBER(SEARCH("Ideas",$F256)))),$X256,NA())</f>
      </c>
    </row>
    <row r="257">
      <c r="A257" s="0" t="s">
        <v>1150</v>
      </c>
      <c r="B257" s="0" t="s">
        <v>1150</v>
      </c>
      <c r="C257" s="0" t="s">
        <v>257</v>
      </c>
      <c r="D257" s="0">
        <v>1</v>
      </c>
      <c r="E257" s="0" t="s">
        <v>32</v>
      </c>
      <c r="F257" s="0" t="s">
        <v>1977</v>
      </c>
      <c r="G257" s="0">
        <v>1</v>
      </c>
      <c r="H257" s="0">
        <v>1</v>
      </c>
      <c r="I257" s="0">
        <v>0</v>
      </c>
      <c r="J257" s="0">
        <v>0</v>
      </c>
      <c r="K257" s="0">
        <v>0</v>
      </c>
      <c r="L257" s="0">
        <v>0</v>
      </c>
      <c r="M257" s="0">
        <v>0</v>
      </c>
      <c r="N257" s="0">
        <v>0</v>
      </c>
      <c r="O257" s="0">
        <v>2</v>
      </c>
      <c r="P257" s="0">
        <v>0</v>
      </c>
      <c r="Q257" s="0">
        <v>0</v>
      </c>
      <c r="R257" s="0">
        <v>0</v>
      </c>
      <c r="S257" s="0">
        <v>0</v>
      </c>
      <c r="T257" s="0" t="s">
        <v>34</v>
      </c>
      <c r="U257" s="0" t="s">
        <v>34</v>
      </c>
      <c r="V257" s="0" t="s">
        <v>882</v>
      </c>
      <c r="W257" s="11">
        <f>IF($V257="No","",ROUND((I257*w_Damage + N257*w_Poison + P257*w_Weaken*w_Horizon)*MIN(1+(G257-1)*w_OccEnemy,w_MaxEnemies) + (J257*w_Heal + K257*w_Shield + L257*w_Block + M257*w_Parry + O257*w_Strength*w_Horizon + S257*w_Combo)*MIN(1+(H257-1)*w_OccAlly,w_MaxAllies) + Q257*w_Draw + R257*w_Move,2))</f>
      </c>
      <c r="X257" s="11">
        <f>IF(W257="","",ROUND(W257/MAX(D257,1),2))</f>
      </c>
      <c r="Y257" s="11">
        <f>IF($V257="No","",ROUND((curve_Base+curve_Slope*D257)*IFERROR(VLOOKUP(E257,rarity_Mult,2,FALSE),1),2))</f>
      </c>
      <c r="Z257" s="11">
        <f>IF(OR(W257="",Y257=""),"",ROUND(W257-Y257,2))</f>
      </c>
      <c r="AA257" s="0">
        <f>IF(Z257="","",IF($V257="Partial","RIDER",IF(ABS(Z257)&lt;=Y257*tol_Pct,"OK",IF(Z257&gt;0,"OVER","UNDER"))))</f>
      </c>
      <c r="AB257" s="0" t="s">
        <v>34</v>
      </c>
      <c r="AC257" s="0">
        <f>IF(AND($V257&lt;&gt;"No",$E257="Common",NOT(ISNUMBER(SEARCH("Ideas",$F257)))),$W257,NA())</f>
      </c>
      <c r="AD257" s="0">
        <f>IF(AND($V257&lt;&gt;"No",$E257="Uncommon",NOT(ISNUMBER(SEARCH("Ideas",$F257)))),$W257,NA())</f>
      </c>
      <c r="AE257" s="0">
        <f>IF(AND($V257&lt;&gt;"No",$E257="Rare",NOT(ISNUMBER(SEARCH("Ideas",$F257)))),$W257,NA())</f>
      </c>
      <c r="AF257" s="0">
        <f>IF(AND($V257&lt;&gt;"No",$E257="Legendary",NOT(ISNUMBER(SEARCH("Ideas",$F257)))),$W257,NA())</f>
      </c>
      <c r="AG257" s="0">
        <f>IF(AND($V257&lt;&gt;"No",ISNUMBER(SEARCH("Knight",$C257)),NOT(ISNUMBER(SEARCH("Ideas",$F257)))),$X257,NA())</f>
      </c>
      <c r="AH257" s="0">
        <f>IF(AND($V257&lt;&gt;"No",ISNUMBER(SEARCH("Mage",$C257)),NOT(ISNUMBER(SEARCH("Ideas",$F257)))),$X257,NA())</f>
      </c>
      <c r="AI257" s="0">
        <f>IF(AND($V257&lt;&gt;"No",ISNUMBER(SEARCH("Rogue",$C257)),NOT(ISNUMBER(SEARCH("Ideas",$F257)))),$X257,NA())</f>
      </c>
      <c r="AJ257" s="0">
        <f>IF($V257&lt;&gt;"No",$Y257,NA())</f>
      </c>
      <c r="AK257" s="0">
        <f>IF(AND($V257&lt;&gt;"No",ISNUMBER(SEARCH("Ideas",$F257))),$W257,NA())</f>
      </c>
      <c r="AL257" s="0">
        <f>IF(AND($V257&lt;&gt;"No",ISNUMBER(SEARCH("Cleric",$C257)),NOT(ISNUMBER(SEARCH("Ideas",$F257)))),$X257,NA())</f>
      </c>
    </row>
    <row r="258">
      <c r="A258" s="0" t="s">
        <v>1154</v>
      </c>
      <c r="B258" s="0" t="s">
        <v>1152</v>
      </c>
      <c r="C258" s="0" t="s">
        <v>257</v>
      </c>
      <c r="D258" s="0">
        <v>3</v>
      </c>
      <c r="E258" s="0" t="s">
        <v>62</v>
      </c>
      <c r="F258" s="0" t="s">
        <v>1977</v>
      </c>
      <c r="G258" s="0">
        <v>13</v>
      </c>
      <c r="H258" s="0">
        <v>1</v>
      </c>
      <c r="I258" s="0">
        <v>0</v>
      </c>
      <c r="J258" s="0">
        <v>0</v>
      </c>
      <c r="K258" s="0">
        <v>0</v>
      </c>
      <c r="L258" s="0">
        <v>0</v>
      </c>
      <c r="M258" s="0">
        <v>0</v>
      </c>
      <c r="N258" s="0">
        <v>0</v>
      </c>
      <c r="O258" s="0">
        <v>0</v>
      </c>
      <c r="P258" s="0">
        <v>3</v>
      </c>
      <c r="Q258" s="0">
        <v>0</v>
      </c>
      <c r="R258" s="0">
        <v>0</v>
      </c>
      <c r="S258" s="0">
        <v>0</v>
      </c>
      <c r="T258" s="0" t="s">
        <v>34</v>
      </c>
      <c r="U258" s="0" t="s">
        <v>34</v>
      </c>
      <c r="V258" s="0" t="s">
        <v>882</v>
      </c>
      <c r="W258" s="11">
        <f>IF($V258="No","",ROUND((I258*w_Damage + N258*w_Poison + P258*w_Weaken*w_Horizon)*MIN(1+(G258-1)*w_OccEnemy,w_MaxEnemies) + (J258*w_Heal + K258*w_Shield + L258*w_Block + M258*w_Parry + O258*w_Strength*w_Horizon + S258*w_Combo)*MIN(1+(H258-1)*w_OccAlly,w_MaxAllies) + Q258*w_Draw + R258*w_Move,2))</f>
      </c>
      <c r="X258" s="11">
        <f>IF(W258="","",ROUND(W258/MAX(D258,1),2))</f>
      </c>
      <c r="Y258" s="11">
        <f>IF($V258="No","",ROUND((curve_Base+curve_Slope*D258)*IFERROR(VLOOKUP(E258,rarity_Mult,2,FALSE),1),2))</f>
      </c>
      <c r="Z258" s="11">
        <f>IF(OR(W258="",Y258=""),"",ROUND(W258-Y258,2))</f>
      </c>
      <c r="AA258" s="0">
        <f>IF(Z258="","",IF($V258="Partial","RIDER",IF(ABS(Z258)&lt;=Y258*tol_Pct,"OK",IF(Z258&gt;0,"OVER","UNDER"))))</f>
      </c>
      <c r="AB258" s="0" t="s">
        <v>34</v>
      </c>
      <c r="AC258" s="0">
        <f>IF(AND($V258&lt;&gt;"No",$E258="Common",NOT(ISNUMBER(SEARCH("Ideas",$F258)))),$W258,NA())</f>
      </c>
      <c r="AD258" s="0">
        <f>IF(AND($V258&lt;&gt;"No",$E258="Uncommon",NOT(ISNUMBER(SEARCH("Ideas",$F258)))),$W258,NA())</f>
      </c>
      <c r="AE258" s="0">
        <f>IF(AND($V258&lt;&gt;"No",$E258="Rare",NOT(ISNUMBER(SEARCH("Ideas",$F258)))),$W258,NA())</f>
      </c>
      <c r="AF258" s="0">
        <f>IF(AND($V258&lt;&gt;"No",$E258="Legendary",NOT(ISNUMBER(SEARCH("Ideas",$F258)))),$W258,NA())</f>
      </c>
      <c r="AG258" s="0">
        <f>IF(AND($V258&lt;&gt;"No",ISNUMBER(SEARCH("Knight",$C258)),NOT(ISNUMBER(SEARCH("Ideas",$F258)))),$X258,NA())</f>
      </c>
      <c r="AH258" s="0">
        <f>IF(AND($V258&lt;&gt;"No",ISNUMBER(SEARCH("Mage",$C258)),NOT(ISNUMBER(SEARCH("Ideas",$F258)))),$X258,NA())</f>
      </c>
      <c r="AI258" s="0">
        <f>IF(AND($V258&lt;&gt;"No",ISNUMBER(SEARCH("Rogue",$C258)),NOT(ISNUMBER(SEARCH("Ideas",$F258)))),$X258,NA())</f>
      </c>
      <c r="AJ258" s="0">
        <f>IF($V258&lt;&gt;"No",$Y258,NA())</f>
      </c>
      <c r="AK258" s="0">
        <f>IF(AND($V258&lt;&gt;"No",ISNUMBER(SEARCH("Ideas",$F258))),$W258,NA())</f>
      </c>
      <c r="AL258" s="0">
        <f>IF(AND($V258&lt;&gt;"No",ISNUMBER(SEARCH("Cleric",$C258)),NOT(ISNUMBER(SEARCH("Ideas",$F258)))),$X258,NA())</f>
      </c>
    </row>
    <row r="259">
      <c r="A259" s="0" t="s">
        <v>1158</v>
      </c>
      <c r="B259" s="0" t="s">
        <v>1155</v>
      </c>
      <c r="C259" s="0" t="s">
        <v>257</v>
      </c>
      <c r="D259" s="0">
        <v>2</v>
      </c>
      <c r="E259" s="0" t="s">
        <v>62</v>
      </c>
      <c r="F259" s="0" t="s">
        <v>1977</v>
      </c>
      <c r="G259" s="0">
        <v>1</v>
      </c>
      <c r="H259" s="0">
        <v>1</v>
      </c>
      <c r="I259" s="0">
        <v>0</v>
      </c>
      <c r="J259" s="0">
        <v>0</v>
      </c>
      <c r="K259" s="0">
        <v>0</v>
      </c>
      <c r="L259" s="0">
        <v>0</v>
      </c>
      <c r="M259" s="0">
        <v>0</v>
      </c>
      <c r="N259" s="0">
        <v>0</v>
      </c>
      <c r="O259" s="0">
        <v>0</v>
      </c>
      <c r="P259" s="0">
        <v>0</v>
      </c>
      <c r="Q259" s="0">
        <v>0</v>
      </c>
      <c r="R259" s="0">
        <v>0</v>
      </c>
      <c r="S259" s="0">
        <v>0</v>
      </c>
      <c r="T259" s="0" t="s">
        <v>34</v>
      </c>
      <c r="U259" s="0" t="s">
        <v>361</v>
      </c>
      <c r="V259" s="0" t="s">
        <v>1407</v>
      </c>
      <c r="W259" s="11">
        <f>IF($V259="No","",ROUND((I259*w_Damage + N259*w_Poison + P259*w_Weaken*w_Horizon)*MIN(1+(G259-1)*w_OccEnemy,w_MaxEnemies) + (J259*w_Heal + K259*w_Shield + L259*w_Block + M259*w_Parry + O259*w_Strength*w_Horizon + S259*w_Combo)*MIN(1+(H259-1)*w_OccAlly,w_MaxAllies) + Q259*w_Draw + R259*w_Move,2))</f>
      </c>
      <c r="X259" s="11">
        <f>IF(W259="","",ROUND(W259/MAX(D259,1),2))</f>
      </c>
      <c r="Y259" s="11">
        <f>IF($V259="No","",ROUND((curve_Base+curve_Slope*D259)*IFERROR(VLOOKUP(E259,rarity_Mult,2,FALSE),1),2))</f>
      </c>
      <c r="Z259" s="11">
        <f>IF(OR(W259="",Y259=""),"",ROUND(W259-Y259,2))</f>
      </c>
      <c r="AA259" s="0">
        <f>IF(Z259="","",IF($V259="Partial","RIDER",IF(ABS(Z259)&lt;=Y259*tol_Pct,"OK",IF(Z259&gt;0,"OVER","UNDER"))))</f>
      </c>
      <c r="AB259" s="0" t="s">
        <v>34</v>
      </c>
      <c r="AC259" s="0">
        <f>IF(AND($V259&lt;&gt;"No",$E259="Common",NOT(ISNUMBER(SEARCH("Ideas",$F259)))),$W259,NA())</f>
      </c>
      <c r="AD259" s="0">
        <f>IF(AND($V259&lt;&gt;"No",$E259="Uncommon",NOT(ISNUMBER(SEARCH("Ideas",$F259)))),$W259,NA())</f>
      </c>
      <c r="AE259" s="0">
        <f>IF(AND($V259&lt;&gt;"No",$E259="Rare",NOT(ISNUMBER(SEARCH("Ideas",$F259)))),$W259,NA())</f>
      </c>
      <c r="AF259" s="0">
        <f>IF(AND($V259&lt;&gt;"No",$E259="Legendary",NOT(ISNUMBER(SEARCH("Ideas",$F259)))),$W259,NA())</f>
      </c>
      <c r="AG259" s="0">
        <f>IF(AND($V259&lt;&gt;"No",ISNUMBER(SEARCH("Knight",$C259)),NOT(ISNUMBER(SEARCH("Ideas",$F259)))),$X259,NA())</f>
      </c>
      <c r="AH259" s="0">
        <f>IF(AND($V259&lt;&gt;"No",ISNUMBER(SEARCH("Mage",$C259)),NOT(ISNUMBER(SEARCH("Ideas",$F259)))),$X259,NA())</f>
      </c>
      <c r="AI259" s="0">
        <f>IF(AND($V259&lt;&gt;"No",ISNUMBER(SEARCH("Rogue",$C259)),NOT(ISNUMBER(SEARCH("Ideas",$F259)))),$X259,NA())</f>
      </c>
      <c r="AJ259" s="0">
        <f>IF($V259&lt;&gt;"No",$Y259,NA())</f>
      </c>
      <c r="AK259" s="0">
        <f>IF(AND($V259&lt;&gt;"No",ISNUMBER(SEARCH("Ideas",$F259))),$W259,NA())</f>
      </c>
      <c r="AL259" s="0">
        <f>IF(AND($V259&lt;&gt;"No",ISNUMBER(SEARCH("Cleric",$C259)),NOT(ISNUMBER(SEARCH("Ideas",$F259)))),$X259,NA())</f>
      </c>
    </row>
    <row r="260">
      <c r="A260" s="0" t="s">
        <v>1159</v>
      </c>
      <c r="B260" s="0" t="s">
        <v>1159</v>
      </c>
      <c r="C260" s="0" t="s">
        <v>257</v>
      </c>
      <c r="D260" s="0">
        <v>2</v>
      </c>
      <c r="E260" s="0" t="s">
        <v>32</v>
      </c>
      <c r="F260" s="0" t="s">
        <v>1977</v>
      </c>
      <c r="G260" s="0">
        <v>1</v>
      </c>
      <c r="H260" s="0">
        <v>1</v>
      </c>
      <c r="I260" s="0">
        <v>0</v>
      </c>
      <c r="J260" s="0">
        <v>0</v>
      </c>
      <c r="K260" s="0">
        <v>0</v>
      </c>
      <c r="L260" s="0">
        <v>15</v>
      </c>
      <c r="M260" s="0">
        <v>0</v>
      </c>
      <c r="N260" s="0">
        <v>0</v>
      </c>
      <c r="O260" s="0">
        <v>0</v>
      </c>
      <c r="P260" s="0">
        <v>0</v>
      </c>
      <c r="Q260" s="0">
        <v>0</v>
      </c>
      <c r="R260" s="0">
        <v>0</v>
      </c>
      <c r="S260" s="0">
        <v>0</v>
      </c>
      <c r="T260" s="0" t="s">
        <v>34</v>
      </c>
      <c r="U260" s="0" t="s">
        <v>34</v>
      </c>
      <c r="V260" s="0" t="s">
        <v>882</v>
      </c>
      <c r="W260" s="11">
        <f>IF($V260="No","",ROUND((I260*w_Damage + N260*w_Poison + P260*w_Weaken*w_Horizon)*MIN(1+(G260-1)*w_OccEnemy,w_MaxEnemies) + (J260*w_Heal + K260*w_Shield + L260*w_Block + M260*w_Parry + O260*w_Strength*w_Horizon + S260*w_Combo)*MIN(1+(H260-1)*w_OccAlly,w_MaxAllies) + Q260*w_Draw + R260*w_Move,2))</f>
      </c>
      <c r="X260" s="11">
        <f>IF(W260="","",ROUND(W260/MAX(D260,1),2))</f>
      </c>
      <c r="Y260" s="11">
        <f>IF($V260="No","",ROUND((curve_Base+curve_Slope*D260)*IFERROR(VLOOKUP(E260,rarity_Mult,2,FALSE),1),2))</f>
      </c>
      <c r="Z260" s="11">
        <f>IF(OR(W260="",Y260=""),"",ROUND(W260-Y260,2))</f>
      </c>
      <c r="AA260" s="0">
        <f>IF(Z260="","",IF($V260="Partial","RIDER",IF(ABS(Z260)&lt;=Y260*tol_Pct,"OK",IF(Z260&gt;0,"OVER","UNDER"))))</f>
      </c>
      <c r="AB260" s="0" t="s">
        <v>34</v>
      </c>
      <c r="AC260" s="0">
        <f>IF(AND($V260&lt;&gt;"No",$E260="Common",NOT(ISNUMBER(SEARCH("Ideas",$F260)))),$W260,NA())</f>
      </c>
      <c r="AD260" s="0">
        <f>IF(AND($V260&lt;&gt;"No",$E260="Uncommon",NOT(ISNUMBER(SEARCH("Ideas",$F260)))),$W260,NA())</f>
      </c>
      <c r="AE260" s="0">
        <f>IF(AND($V260&lt;&gt;"No",$E260="Rare",NOT(ISNUMBER(SEARCH("Ideas",$F260)))),$W260,NA())</f>
      </c>
      <c r="AF260" s="0">
        <f>IF(AND($V260&lt;&gt;"No",$E260="Legendary",NOT(ISNUMBER(SEARCH("Ideas",$F260)))),$W260,NA())</f>
      </c>
      <c r="AG260" s="0">
        <f>IF(AND($V260&lt;&gt;"No",ISNUMBER(SEARCH("Knight",$C260)),NOT(ISNUMBER(SEARCH("Ideas",$F260)))),$X260,NA())</f>
      </c>
      <c r="AH260" s="0">
        <f>IF(AND($V260&lt;&gt;"No",ISNUMBER(SEARCH("Mage",$C260)),NOT(ISNUMBER(SEARCH("Ideas",$F260)))),$X260,NA())</f>
      </c>
      <c r="AI260" s="0">
        <f>IF(AND($V260&lt;&gt;"No",ISNUMBER(SEARCH("Rogue",$C260)),NOT(ISNUMBER(SEARCH("Ideas",$F260)))),$X260,NA())</f>
      </c>
      <c r="AJ260" s="0">
        <f>IF($V260&lt;&gt;"No",$Y260,NA())</f>
      </c>
      <c r="AK260" s="0">
        <f>IF(AND($V260&lt;&gt;"No",ISNUMBER(SEARCH("Ideas",$F260))),$W260,NA())</f>
      </c>
      <c r="AL260" s="0">
        <f>IF(AND($V260&lt;&gt;"No",ISNUMBER(SEARCH("Cleric",$C260)),NOT(ISNUMBER(SEARCH("Ideas",$F260)))),$X260,NA())</f>
      </c>
    </row>
    <row r="261">
      <c r="A261" s="0" t="s">
        <v>1161</v>
      </c>
      <c r="B261" s="0" t="s">
        <v>1161</v>
      </c>
      <c r="C261" s="0" t="s">
        <v>257</v>
      </c>
      <c r="D261" s="0">
        <v>3</v>
      </c>
      <c r="E261" s="0" t="s">
        <v>62</v>
      </c>
      <c r="F261" s="0" t="s">
        <v>1977</v>
      </c>
      <c r="G261" s="0">
        <v>13</v>
      </c>
      <c r="H261" s="0">
        <v>1</v>
      </c>
      <c r="I261" s="0">
        <v>0</v>
      </c>
      <c r="J261" s="0">
        <v>0</v>
      </c>
      <c r="K261" s="0">
        <v>0</v>
      </c>
      <c r="L261" s="0">
        <v>0</v>
      </c>
      <c r="M261" s="0">
        <v>0</v>
      </c>
      <c r="N261" s="0">
        <v>10</v>
      </c>
      <c r="O261" s="0">
        <v>0</v>
      </c>
      <c r="P261" s="0">
        <v>0</v>
      </c>
      <c r="Q261" s="0">
        <v>0</v>
      </c>
      <c r="R261" s="0">
        <v>0</v>
      </c>
      <c r="S261" s="0">
        <v>0</v>
      </c>
      <c r="T261" s="0" t="s">
        <v>34</v>
      </c>
      <c r="U261" s="0" t="s">
        <v>34</v>
      </c>
      <c r="V261" s="0" t="s">
        <v>882</v>
      </c>
      <c r="W261" s="11">
        <f>IF($V261="No","",ROUND((I261*w_Damage + N261*w_Poison + P261*w_Weaken*w_Horizon)*MIN(1+(G261-1)*w_OccEnemy,w_MaxEnemies) + (J261*w_Heal + K261*w_Shield + L261*w_Block + M261*w_Parry + O261*w_Strength*w_Horizon + S261*w_Combo)*MIN(1+(H261-1)*w_OccAlly,w_MaxAllies) + Q261*w_Draw + R261*w_Move,2))</f>
      </c>
      <c r="X261" s="11">
        <f>IF(W261="","",ROUND(W261/MAX(D261,1),2))</f>
      </c>
      <c r="Y261" s="11">
        <f>IF($V261="No","",ROUND((curve_Base+curve_Slope*D261)*IFERROR(VLOOKUP(E261,rarity_Mult,2,FALSE),1),2))</f>
      </c>
      <c r="Z261" s="11">
        <f>IF(OR(W261="",Y261=""),"",ROUND(W261-Y261,2))</f>
      </c>
      <c r="AA261" s="0">
        <f>IF(Z261="","",IF($V261="Partial","RIDER",IF(ABS(Z261)&lt;=Y261*tol_Pct,"OK",IF(Z261&gt;0,"OVER","UNDER"))))</f>
      </c>
      <c r="AB261" s="0" t="s">
        <v>34</v>
      </c>
      <c r="AC261" s="0">
        <f>IF(AND($V261&lt;&gt;"No",$E261="Common",NOT(ISNUMBER(SEARCH("Ideas",$F261)))),$W261,NA())</f>
      </c>
      <c r="AD261" s="0">
        <f>IF(AND($V261&lt;&gt;"No",$E261="Uncommon",NOT(ISNUMBER(SEARCH("Ideas",$F261)))),$W261,NA())</f>
      </c>
      <c r="AE261" s="0">
        <f>IF(AND($V261&lt;&gt;"No",$E261="Rare",NOT(ISNUMBER(SEARCH("Ideas",$F261)))),$W261,NA())</f>
      </c>
      <c r="AF261" s="0">
        <f>IF(AND($V261&lt;&gt;"No",$E261="Legendary",NOT(ISNUMBER(SEARCH("Ideas",$F261)))),$W261,NA())</f>
      </c>
      <c r="AG261" s="0">
        <f>IF(AND($V261&lt;&gt;"No",ISNUMBER(SEARCH("Knight",$C261)),NOT(ISNUMBER(SEARCH("Ideas",$F261)))),$X261,NA())</f>
      </c>
      <c r="AH261" s="0">
        <f>IF(AND($V261&lt;&gt;"No",ISNUMBER(SEARCH("Mage",$C261)),NOT(ISNUMBER(SEARCH("Ideas",$F261)))),$X261,NA())</f>
      </c>
      <c r="AI261" s="0">
        <f>IF(AND($V261&lt;&gt;"No",ISNUMBER(SEARCH("Rogue",$C261)),NOT(ISNUMBER(SEARCH("Ideas",$F261)))),$X261,NA())</f>
      </c>
      <c r="AJ261" s="0">
        <f>IF($V261&lt;&gt;"No",$Y261,NA())</f>
      </c>
      <c r="AK261" s="0">
        <f>IF(AND($V261&lt;&gt;"No",ISNUMBER(SEARCH("Ideas",$F261))),$W261,NA())</f>
      </c>
      <c r="AL261" s="0">
        <f>IF(AND($V261&lt;&gt;"No",ISNUMBER(SEARCH("Cleric",$C261)),NOT(ISNUMBER(SEARCH("Ideas",$F261)))),$X261,NA())</f>
      </c>
    </row>
    <row r="262">
      <c r="A262" s="0" t="s">
        <v>1202</v>
      </c>
      <c r="B262" s="0" t="s">
        <v>1199</v>
      </c>
      <c r="C262" s="0" t="s">
        <v>257</v>
      </c>
      <c r="D262" s="0">
        <v>1</v>
      </c>
      <c r="E262" s="0" t="s">
        <v>32</v>
      </c>
      <c r="F262" s="0" t="s">
        <v>1977</v>
      </c>
      <c r="G262" s="0">
        <v>1</v>
      </c>
      <c r="H262" s="0">
        <v>1</v>
      </c>
      <c r="I262" s="0">
        <v>0</v>
      </c>
      <c r="J262" s="0">
        <v>0</v>
      </c>
      <c r="K262" s="0">
        <v>0</v>
      </c>
      <c r="L262" s="0">
        <v>0</v>
      </c>
      <c r="M262" s="0">
        <v>0</v>
      </c>
      <c r="N262" s="0">
        <v>0</v>
      </c>
      <c r="O262" s="0">
        <v>0</v>
      </c>
      <c r="P262" s="0">
        <v>0</v>
      </c>
      <c r="Q262" s="0">
        <v>2</v>
      </c>
      <c r="R262" s="0">
        <v>0</v>
      </c>
      <c r="S262" s="0">
        <v>0</v>
      </c>
      <c r="T262" s="0" t="s">
        <v>34</v>
      </c>
      <c r="U262" s="0" t="s">
        <v>34</v>
      </c>
      <c r="V262" s="0" t="s">
        <v>882</v>
      </c>
      <c r="W262" s="11">
        <f>IF($V262="No","",ROUND((I262*w_Damage + N262*w_Poison + P262*w_Weaken*w_Horizon)*MIN(1+(G262-1)*w_OccEnemy,w_MaxEnemies) + (J262*w_Heal + K262*w_Shield + L262*w_Block + M262*w_Parry + O262*w_Strength*w_Horizon + S262*w_Combo)*MIN(1+(H262-1)*w_OccAlly,w_MaxAllies) + Q262*w_Draw + R262*w_Move,2))</f>
      </c>
      <c r="X262" s="11">
        <f>IF(W262="","",ROUND(W262/MAX(D262,1),2))</f>
      </c>
      <c r="Y262" s="11">
        <f>IF($V262="No","",ROUND((curve_Base+curve_Slope*D262)*IFERROR(VLOOKUP(E262,rarity_Mult,2,FALSE),1),2))</f>
      </c>
      <c r="Z262" s="11">
        <f>IF(OR(W262="",Y262=""),"",ROUND(W262-Y262,2))</f>
      </c>
      <c r="AA262" s="0">
        <f>IF(Z262="","",IF($V262="Partial","RIDER",IF(ABS(Z262)&lt;=Y262*tol_Pct,"OK",IF(Z262&gt;0,"OVER","UNDER"))))</f>
      </c>
      <c r="AB262" s="0" t="s">
        <v>34</v>
      </c>
      <c r="AC262" s="0">
        <f>IF(AND($V262&lt;&gt;"No",$E262="Common",NOT(ISNUMBER(SEARCH("Ideas",$F262)))),$W262,NA())</f>
      </c>
      <c r="AD262" s="0">
        <f>IF(AND($V262&lt;&gt;"No",$E262="Uncommon",NOT(ISNUMBER(SEARCH("Ideas",$F262)))),$W262,NA())</f>
      </c>
      <c r="AE262" s="0">
        <f>IF(AND($V262&lt;&gt;"No",$E262="Rare",NOT(ISNUMBER(SEARCH("Ideas",$F262)))),$W262,NA())</f>
      </c>
      <c r="AF262" s="0">
        <f>IF(AND($V262&lt;&gt;"No",$E262="Legendary",NOT(ISNUMBER(SEARCH("Ideas",$F262)))),$W262,NA())</f>
      </c>
      <c r="AG262" s="0">
        <f>IF(AND($V262&lt;&gt;"No",ISNUMBER(SEARCH("Knight",$C262)),NOT(ISNUMBER(SEARCH("Ideas",$F262)))),$X262,NA())</f>
      </c>
      <c r="AH262" s="0">
        <f>IF(AND($V262&lt;&gt;"No",ISNUMBER(SEARCH("Mage",$C262)),NOT(ISNUMBER(SEARCH("Ideas",$F262)))),$X262,NA())</f>
      </c>
      <c r="AI262" s="0">
        <f>IF(AND($V262&lt;&gt;"No",ISNUMBER(SEARCH("Rogue",$C262)),NOT(ISNUMBER(SEARCH("Ideas",$F262)))),$X262,NA())</f>
      </c>
      <c r="AJ262" s="0">
        <f>IF($V262&lt;&gt;"No",$Y262,NA())</f>
      </c>
      <c r="AK262" s="0">
        <f>IF(AND($V262&lt;&gt;"No",ISNUMBER(SEARCH("Ideas",$F262))),$W262,NA())</f>
      </c>
      <c r="AL262" s="0">
        <f>IF(AND($V262&lt;&gt;"No",ISNUMBER(SEARCH("Cleric",$C262)),NOT(ISNUMBER(SEARCH("Ideas",$F262)))),$X262,NA())</f>
      </c>
    </row>
    <row r="263">
      <c r="A263" s="0" t="s">
        <v>1208</v>
      </c>
      <c r="B263" s="0" t="s">
        <v>1208</v>
      </c>
      <c r="C263" s="0" t="s">
        <v>257</v>
      </c>
      <c r="D263" s="0">
        <v>3</v>
      </c>
      <c r="E263" s="0" t="s">
        <v>985</v>
      </c>
      <c r="F263" s="0" t="s">
        <v>1977</v>
      </c>
      <c r="G263" s="0">
        <v>25</v>
      </c>
      <c r="H263" s="0">
        <v>1</v>
      </c>
      <c r="I263" s="0">
        <v>10</v>
      </c>
      <c r="J263" s="0">
        <v>0</v>
      </c>
      <c r="K263" s="0">
        <v>0</v>
      </c>
      <c r="L263" s="0">
        <v>0</v>
      </c>
      <c r="M263" s="0">
        <v>0</v>
      </c>
      <c r="N263" s="0">
        <v>0</v>
      </c>
      <c r="O263" s="0">
        <v>0</v>
      </c>
      <c r="P263" s="0">
        <v>0</v>
      </c>
      <c r="Q263" s="0">
        <v>0</v>
      </c>
      <c r="R263" s="0">
        <v>0</v>
      </c>
      <c r="S263" s="0">
        <v>0</v>
      </c>
      <c r="T263" s="0" t="s">
        <v>34</v>
      </c>
      <c r="U263" s="0" t="s">
        <v>34</v>
      </c>
      <c r="V263" s="0" t="s">
        <v>882</v>
      </c>
      <c r="W263" s="11">
        <f>IF($V263="No","",ROUND((I263*w_Damage + N263*w_Poison + P263*w_Weaken*w_Horizon)*MIN(1+(G263-1)*w_OccEnemy,w_MaxEnemies) + (J263*w_Heal + K263*w_Shield + L263*w_Block + M263*w_Parry + O263*w_Strength*w_Horizon + S263*w_Combo)*MIN(1+(H263-1)*w_OccAlly,w_MaxAllies) + Q263*w_Draw + R263*w_Move,2))</f>
      </c>
      <c r="X263" s="11">
        <f>IF(W263="","",ROUND(W263/MAX(D263,1),2))</f>
      </c>
      <c r="Y263" s="11">
        <f>IF($V263="No","",ROUND((curve_Base+curve_Slope*D263)*IFERROR(VLOOKUP(E263,rarity_Mult,2,FALSE),1),2))</f>
      </c>
      <c r="Z263" s="11">
        <f>IF(OR(W263="",Y263=""),"",ROUND(W263-Y263,2))</f>
      </c>
      <c r="AA263" s="0">
        <f>IF(Z263="","",IF($V263="Partial","RIDER",IF(ABS(Z263)&lt;=Y263*tol_Pct,"OK",IF(Z263&gt;0,"OVER","UNDER"))))</f>
      </c>
      <c r="AB263" s="0" t="s">
        <v>34</v>
      </c>
      <c r="AC263" s="0">
        <f>IF(AND($V263&lt;&gt;"No",$E263="Common",NOT(ISNUMBER(SEARCH("Ideas",$F263)))),$W263,NA())</f>
      </c>
      <c r="AD263" s="0">
        <f>IF(AND($V263&lt;&gt;"No",$E263="Uncommon",NOT(ISNUMBER(SEARCH("Ideas",$F263)))),$W263,NA())</f>
      </c>
      <c r="AE263" s="0">
        <f>IF(AND($V263&lt;&gt;"No",$E263="Rare",NOT(ISNUMBER(SEARCH("Ideas",$F263)))),$W263,NA())</f>
      </c>
      <c r="AF263" s="0">
        <f>IF(AND($V263&lt;&gt;"No",$E263="Legendary",NOT(ISNUMBER(SEARCH("Ideas",$F263)))),$W263,NA())</f>
      </c>
      <c r="AG263" s="0">
        <f>IF(AND($V263&lt;&gt;"No",ISNUMBER(SEARCH("Knight",$C263)),NOT(ISNUMBER(SEARCH("Ideas",$F263)))),$X263,NA())</f>
      </c>
      <c r="AH263" s="0">
        <f>IF(AND($V263&lt;&gt;"No",ISNUMBER(SEARCH("Mage",$C263)),NOT(ISNUMBER(SEARCH("Ideas",$F263)))),$X263,NA())</f>
      </c>
      <c r="AI263" s="0">
        <f>IF(AND($V263&lt;&gt;"No",ISNUMBER(SEARCH("Rogue",$C263)),NOT(ISNUMBER(SEARCH("Ideas",$F263)))),$X263,NA())</f>
      </c>
      <c r="AJ263" s="0">
        <f>IF($V263&lt;&gt;"No",$Y263,NA())</f>
      </c>
      <c r="AK263" s="0">
        <f>IF(AND($V263&lt;&gt;"No",ISNUMBER(SEARCH("Ideas",$F263))),$W263,NA())</f>
      </c>
      <c r="AL263" s="0">
        <f>IF(AND($V263&lt;&gt;"No",ISNUMBER(SEARCH("Cleric",$C263)),NOT(ISNUMBER(SEARCH("Ideas",$F263)))),$X263,NA())</f>
      </c>
    </row>
    <row r="264">
      <c r="A264" s="0" t="s">
        <v>1210</v>
      </c>
      <c r="B264" s="0" t="s">
        <v>1210</v>
      </c>
      <c r="C264" s="0" t="s">
        <v>257</v>
      </c>
      <c r="D264" s="0">
        <v>3</v>
      </c>
      <c r="E264" s="0" t="s">
        <v>985</v>
      </c>
      <c r="F264" s="0" t="s">
        <v>1977</v>
      </c>
      <c r="G264" s="0">
        <v>1</v>
      </c>
      <c r="H264" s="0">
        <v>1</v>
      </c>
      <c r="I264" s="0">
        <v>20</v>
      </c>
      <c r="J264" s="0">
        <v>0</v>
      </c>
      <c r="K264" s="0">
        <v>0</v>
      </c>
      <c r="L264" s="0">
        <v>0</v>
      </c>
      <c r="M264" s="0">
        <v>0</v>
      </c>
      <c r="N264" s="0">
        <v>0</v>
      </c>
      <c r="O264" s="0">
        <v>0</v>
      </c>
      <c r="P264" s="0">
        <v>0</v>
      </c>
      <c r="Q264" s="0">
        <v>0</v>
      </c>
      <c r="R264" s="0">
        <v>0</v>
      </c>
      <c r="S264" s="0">
        <v>0</v>
      </c>
      <c r="T264" s="0" t="s">
        <v>34</v>
      </c>
      <c r="U264" s="0" t="s">
        <v>34</v>
      </c>
      <c r="V264" s="0" t="s">
        <v>882</v>
      </c>
      <c r="W264" s="11">
        <f>IF($V264="No","",ROUND((I264*w_Damage + N264*w_Poison + P264*w_Weaken*w_Horizon)*MIN(1+(G264-1)*w_OccEnemy,w_MaxEnemies) + (J264*w_Heal + K264*w_Shield + L264*w_Block + M264*w_Parry + O264*w_Strength*w_Horizon + S264*w_Combo)*MIN(1+(H264-1)*w_OccAlly,w_MaxAllies) + Q264*w_Draw + R264*w_Move,2))</f>
      </c>
      <c r="X264" s="11">
        <f>IF(W264="","",ROUND(W264/MAX(D264,1),2))</f>
      </c>
      <c r="Y264" s="11">
        <f>IF($V264="No","",ROUND((curve_Base+curve_Slope*D264)*IFERROR(VLOOKUP(E264,rarity_Mult,2,FALSE),1),2))</f>
      </c>
      <c r="Z264" s="11">
        <f>IF(OR(W264="",Y264=""),"",ROUND(W264-Y264,2))</f>
      </c>
      <c r="AA264" s="0">
        <f>IF(Z264="","",IF($V264="Partial","RIDER",IF(ABS(Z264)&lt;=Y264*tol_Pct,"OK",IF(Z264&gt;0,"OVER","UNDER"))))</f>
      </c>
      <c r="AB264" s="0" t="s">
        <v>34</v>
      </c>
      <c r="AC264" s="0">
        <f>IF(AND($V264&lt;&gt;"No",$E264="Common",NOT(ISNUMBER(SEARCH("Ideas",$F264)))),$W264,NA())</f>
      </c>
      <c r="AD264" s="0">
        <f>IF(AND($V264&lt;&gt;"No",$E264="Uncommon",NOT(ISNUMBER(SEARCH("Ideas",$F264)))),$W264,NA())</f>
      </c>
      <c r="AE264" s="0">
        <f>IF(AND($V264&lt;&gt;"No",$E264="Rare",NOT(ISNUMBER(SEARCH("Ideas",$F264)))),$W264,NA())</f>
      </c>
      <c r="AF264" s="0">
        <f>IF(AND($V264&lt;&gt;"No",$E264="Legendary",NOT(ISNUMBER(SEARCH("Ideas",$F264)))),$W264,NA())</f>
      </c>
      <c r="AG264" s="0">
        <f>IF(AND($V264&lt;&gt;"No",ISNUMBER(SEARCH("Knight",$C264)),NOT(ISNUMBER(SEARCH("Ideas",$F264)))),$X264,NA())</f>
      </c>
      <c r="AH264" s="0">
        <f>IF(AND($V264&lt;&gt;"No",ISNUMBER(SEARCH("Mage",$C264)),NOT(ISNUMBER(SEARCH("Ideas",$F264)))),$X264,NA())</f>
      </c>
      <c r="AI264" s="0">
        <f>IF(AND($V264&lt;&gt;"No",ISNUMBER(SEARCH("Rogue",$C264)),NOT(ISNUMBER(SEARCH("Ideas",$F264)))),$X264,NA())</f>
      </c>
      <c r="AJ264" s="0">
        <f>IF($V264&lt;&gt;"No",$Y264,NA())</f>
      </c>
      <c r="AK264" s="0">
        <f>IF(AND($V264&lt;&gt;"No",ISNUMBER(SEARCH("Ideas",$F264))),$W264,NA())</f>
      </c>
      <c r="AL264" s="0">
        <f>IF(AND($V264&lt;&gt;"No",ISNUMBER(SEARCH("Cleric",$C264)),NOT(ISNUMBER(SEARCH("Ideas",$F264)))),$X264,NA())</f>
      </c>
    </row>
    <row r="265">
      <c r="A265" s="0" t="s">
        <v>1215</v>
      </c>
      <c r="B265" s="0" t="s">
        <v>1213</v>
      </c>
      <c r="C265" s="0" t="s">
        <v>257</v>
      </c>
      <c r="D265" s="0">
        <v>3</v>
      </c>
      <c r="E265" s="0" t="s">
        <v>62</v>
      </c>
      <c r="F265" s="0" t="s">
        <v>1977</v>
      </c>
      <c r="G265" s="0">
        <v>1</v>
      </c>
      <c r="H265" s="0">
        <v>13</v>
      </c>
      <c r="I265" s="0">
        <v>0</v>
      </c>
      <c r="J265" s="0">
        <v>10</v>
      </c>
      <c r="K265" s="0">
        <v>0</v>
      </c>
      <c r="L265" s="0">
        <v>0</v>
      </c>
      <c r="M265" s="0">
        <v>0</v>
      </c>
      <c r="N265" s="0">
        <v>0</v>
      </c>
      <c r="O265" s="0">
        <v>0</v>
      </c>
      <c r="P265" s="0">
        <v>0</v>
      </c>
      <c r="Q265" s="0">
        <v>0</v>
      </c>
      <c r="R265" s="0">
        <v>0</v>
      </c>
      <c r="S265" s="0">
        <v>0</v>
      </c>
      <c r="T265" s="0" t="s">
        <v>34</v>
      </c>
      <c r="U265" s="0" t="s">
        <v>34</v>
      </c>
      <c r="V265" s="0" t="s">
        <v>882</v>
      </c>
      <c r="W265" s="11">
        <f>IF($V265="No","",ROUND((I265*w_Damage + N265*w_Poison + P265*w_Weaken*w_Horizon)*MIN(1+(G265-1)*w_OccEnemy,w_MaxEnemies) + (J265*w_Heal + K265*w_Shield + L265*w_Block + M265*w_Parry + O265*w_Strength*w_Horizon + S265*w_Combo)*MIN(1+(H265-1)*w_OccAlly,w_MaxAllies) + Q265*w_Draw + R265*w_Move,2))</f>
      </c>
      <c r="X265" s="11">
        <f>IF(W265="","",ROUND(W265/MAX(D265,1),2))</f>
      </c>
      <c r="Y265" s="11">
        <f>IF($V265="No","",ROUND((curve_Base+curve_Slope*D265)*IFERROR(VLOOKUP(E265,rarity_Mult,2,FALSE),1),2))</f>
      </c>
      <c r="Z265" s="11">
        <f>IF(OR(W265="",Y265=""),"",ROUND(W265-Y265,2))</f>
      </c>
      <c r="AA265" s="0">
        <f>IF(Z265="","",IF($V265="Partial","RIDER",IF(ABS(Z265)&lt;=Y265*tol_Pct,"OK",IF(Z265&gt;0,"OVER","UNDER"))))</f>
      </c>
      <c r="AB265" s="0" t="s">
        <v>34</v>
      </c>
      <c r="AC265" s="0">
        <f>IF(AND($V265&lt;&gt;"No",$E265="Common",NOT(ISNUMBER(SEARCH("Ideas",$F265)))),$W265,NA())</f>
      </c>
      <c r="AD265" s="0">
        <f>IF(AND($V265&lt;&gt;"No",$E265="Uncommon",NOT(ISNUMBER(SEARCH("Ideas",$F265)))),$W265,NA())</f>
      </c>
      <c r="AE265" s="0">
        <f>IF(AND($V265&lt;&gt;"No",$E265="Rare",NOT(ISNUMBER(SEARCH("Ideas",$F265)))),$W265,NA())</f>
      </c>
      <c r="AF265" s="0">
        <f>IF(AND($V265&lt;&gt;"No",$E265="Legendary",NOT(ISNUMBER(SEARCH("Ideas",$F265)))),$W265,NA())</f>
      </c>
      <c r="AG265" s="0">
        <f>IF(AND($V265&lt;&gt;"No",ISNUMBER(SEARCH("Knight",$C265)),NOT(ISNUMBER(SEARCH("Ideas",$F265)))),$X265,NA())</f>
      </c>
      <c r="AH265" s="0">
        <f>IF(AND($V265&lt;&gt;"No",ISNUMBER(SEARCH("Mage",$C265)),NOT(ISNUMBER(SEARCH("Ideas",$F265)))),$X265,NA())</f>
      </c>
      <c r="AI265" s="0">
        <f>IF(AND($V265&lt;&gt;"No",ISNUMBER(SEARCH("Rogue",$C265)),NOT(ISNUMBER(SEARCH("Ideas",$F265)))),$X265,NA())</f>
      </c>
      <c r="AJ265" s="0">
        <f>IF($V265&lt;&gt;"No",$Y265,NA())</f>
      </c>
      <c r="AK265" s="0">
        <f>IF(AND($V265&lt;&gt;"No",ISNUMBER(SEARCH("Ideas",$F265))),$W265,NA())</f>
      </c>
      <c r="AL265" s="0">
        <f>IF(AND($V265&lt;&gt;"No",ISNUMBER(SEARCH("Cleric",$C265)),NOT(ISNUMBER(SEARCH("Ideas",$F265)))),$X265,NA())</f>
      </c>
    </row>
    <row r="266">
      <c r="A266" s="0" t="s">
        <v>1223</v>
      </c>
      <c r="B266" s="0" t="s">
        <v>1221</v>
      </c>
      <c r="C266" s="0" t="s">
        <v>257</v>
      </c>
      <c r="D266" s="0">
        <v>3</v>
      </c>
      <c r="E266" s="0" t="s">
        <v>985</v>
      </c>
      <c r="F266" s="0" t="s">
        <v>1977</v>
      </c>
      <c r="G266" s="0">
        <v>13</v>
      </c>
      <c r="H266" s="0">
        <v>1</v>
      </c>
      <c r="I266" s="0">
        <v>0</v>
      </c>
      <c r="J266" s="0">
        <v>0</v>
      </c>
      <c r="K266" s="0">
        <v>0</v>
      </c>
      <c r="L266" s="0">
        <v>0</v>
      </c>
      <c r="M266" s="0">
        <v>0</v>
      </c>
      <c r="N266" s="0">
        <v>0</v>
      </c>
      <c r="O266" s="0">
        <v>0</v>
      </c>
      <c r="P266" s="0">
        <v>0</v>
      </c>
      <c r="Q266" s="0">
        <v>0</v>
      </c>
      <c r="R266" s="0">
        <v>0</v>
      </c>
      <c r="S266" s="0">
        <v>0</v>
      </c>
      <c r="T266" s="0" t="s">
        <v>34</v>
      </c>
      <c r="U266" s="0" t="s">
        <v>1793</v>
      </c>
      <c r="V266" s="0" t="s">
        <v>1407</v>
      </c>
      <c r="W266" s="11">
        <f>IF($V266="No","",ROUND((I266*w_Damage + N266*w_Poison + P266*w_Weaken*w_Horizon)*MIN(1+(G266-1)*w_OccEnemy,w_MaxEnemies) + (J266*w_Heal + K266*w_Shield + L266*w_Block + M266*w_Parry + O266*w_Strength*w_Horizon + S266*w_Combo)*MIN(1+(H266-1)*w_OccAlly,w_MaxAllies) + Q266*w_Draw + R266*w_Move,2))</f>
      </c>
      <c r="X266" s="11">
        <f>IF(W266="","",ROUND(W266/MAX(D266,1),2))</f>
      </c>
      <c r="Y266" s="11">
        <f>IF($V266="No","",ROUND((curve_Base+curve_Slope*D266)*IFERROR(VLOOKUP(E266,rarity_Mult,2,FALSE),1),2))</f>
      </c>
      <c r="Z266" s="11">
        <f>IF(OR(W266="",Y266=""),"",ROUND(W266-Y266,2))</f>
      </c>
      <c r="AA266" s="0">
        <f>IF(Z266="","",IF($V266="Partial","RIDER",IF(ABS(Z266)&lt;=Y266*tol_Pct,"OK",IF(Z266&gt;0,"OVER","UNDER"))))</f>
      </c>
      <c r="AB266" s="0" t="s">
        <v>34</v>
      </c>
      <c r="AC266" s="0">
        <f>IF(AND($V266&lt;&gt;"No",$E266="Common",NOT(ISNUMBER(SEARCH("Ideas",$F266)))),$W266,NA())</f>
      </c>
      <c r="AD266" s="0">
        <f>IF(AND($V266&lt;&gt;"No",$E266="Uncommon",NOT(ISNUMBER(SEARCH("Ideas",$F266)))),$W266,NA())</f>
      </c>
      <c r="AE266" s="0">
        <f>IF(AND($V266&lt;&gt;"No",$E266="Rare",NOT(ISNUMBER(SEARCH("Ideas",$F266)))),$W266,NA())</f>
      </c>
      <c r="AF266" s="0">
        <f>IF(AND($V266&lt;&gt;"No",$E266="Legendary",NOT(ISNUMBER(SEARCH("Ideas",$F266)))),$W266,NA())</f>
      </c>
      <c r="AG266" s="0">
        <f>IF(AND($V266&lt;&gt;"No",ISNUMBER(SEARCH("Knight",$C266)),NOT(ISNUMBER(SEARCH("Ideas",$F266)))),$X266,NA())</f>
      </c>
      <c r="AH266" s="0">
        <f>IF(AND($V266&lt;&gt;"No",ISNUMBER(SEARCH("Mage",$C266)),NOT(ISNUMBER(SEARCH("Ideas",$F266)))),$X266,NA())</f>
      </c>
      <c r="AI266" s="0">
        <f>IF(AND($V266&lt;&gt;"No",ISNUMBER(SEARCH("Rogue",$C266)),NOT(ISNUMBER(SEARCH("Ideas",$F266)))),$X266,NA())</f>
      </c>
      <c r="AJ266" s="0">
        <f>IF($V266&lt;&gt;"No",$Y266,NA())</f>
      </c>
      <c r="AK266" s="0">
        <f>IF(AND($V266&lt;&gt;"No",ISNUMBER(SEARCH("Ideas",$F266))),$W266,NA())</f>
      </c>
      <c r="AL266" s="0">
        <f>IF(AND($V266&lt;&gt;"No",ISNUMBER(SEARCH("Cleric",$C266)),NOT(ISNUMBER(SEARCH("Ideas",$F266)))),$X266,NA())</f>
      </c>
    </row>
    <row r="267">
      <c r="A267" s="0" t="s">
        <v>1226</v>
      </c>
      <c r="B267" s="0" t="s">
        <v>1224</v>
      </c>
      <c r="C267" s="0" t="s">
        <v>257</v>
      </c>
      <c r="D267" s="0">
        <v>2</v>
      </c>
      <c r="E267" s="0" t="s">
        <v>32</v>
      </c>
      <c r="F267" s="0" t="s">
        <v>1977</v>
      </c>
      <c r="G267" s="0">
        <v>1</v>
      </c>
      <c r="H267" s="0">
        <v>1</v>
      </c>
      <c r="I267" s="0">
        <v>0</v>
      </c>
      <c r="J267" s="0">
        <v>0</v>
      </c>
      <c r="K267" s="0">
        <v>9</v>
      </c>
      <c r="L267" s="0">
        <v>0</v>
      </c>
      <c r="M267" s="0">
        <v>0</v>
      </c>
      <c r="N267" s="0">
        <v>0</v>
      </c>
      <c r="O267" s="0">
        <v>0</v>
      </c>
      <c r="P267" s="0">
        <v>0</v>
      </c>
      <c r="Q267" s="0">
        <v>0</v>
      </c>
      <c r="R267" s="0">
        <v>0</v>
      </c>
      <c r="S267" s="0">
        <v>0</v>
      </c>
      <c r="T267" s="0" t="s">
        <v>1917</v>
      </c>
      <c r="U267" s="0" t="s">
        <v>34</v>
      </c>
      <c r="V267" s="0" t="s">
        <v>1905</v>
      </c>
      <c r="W267" s="11">
        <f>IF($V267="No","",ROUND((I267*w_Damage + N267*w_Poison + P267*w_Weaken*w_Horizon)*MIN(1+(G267-1)*w_OccEnemy,w_MaxEnemies) + (J267*w_Heal + K267*w_Shield + L267*w_Block + M267*w_Parry + O267*w_Strength*w_Horizon + S267*w_Combo)*MIN(1+(H267-1)*w_OccAlly,w_MaxAllies) + Q267*w_Draw + R267*w_Move,2))</f>
      </c>
      <c r="X267" s="11">
        <f>IF(W267="","",ROUND(W267/MAX(D267,1),2))</f>
      </c>
      <c r="Y267" s="11">
        <f>IF($V267="No","",ROUND((curve_Base+curve_Slope*D267)*IFERROR(VLOOKUP(E267,rarity_Mult,2,FALSE),1),2))</f>
      </c>
      <c r="Z267" s="11">
        <f>IF(OR(W267="",Y267=""),"",ROUND(W267-Y267,2))</f>
      </c>
      <c r="AA267" s="0">
        <f>IF(Z267="","",IF($V267="Partial","RIDER",IF(ABS(Z267)&lt;=Y267*tol_Pct,"OK",IF(Z267&gt;0,"OVER","UNDER"))))</f>
      </c>
      <c r="AB267" s="0" t="s">
        <v>34</v>
      </c>
      <c r="AC267" s="0">
        <f>IF(AND($V267&lt;&gt;"No",$E267="Common",NOT(ISNUMBER(SEARCH("Ideas",$F267)))),$W267,NA())</f>
      </c>
      <c r="AD267" s="0">
        <f>IF(AND($V267&lt;&gt;"No",$E267="Uncommon",NOT(ISNUMBER(SEARCH("Ideas",$F267)))),$W267,NA())</f>
      </c>
      <c r="AE267" s="0">
        <f>IF(AND($V267&lt;&gt;"No",$E267="Rare",NOT(ISNUMBER(SEARCH("Ideas",$F267)))),$W267,NA())</f>
      </c>
      <c r="AF267" s="0">
        <f>IF(AND($V267&lt;&gt;"No",$E267="Legendary",NOT(ISNUMBER(SEARCH("Ideas",$F267)))),$W267,NA())</f>
      </c>
      <c r="AG267" s="0">
        <f>IF(AND($V267&lt;&gt;"No",ISNUMBER(SEARCH("Knight",$C267)),NOT(ISNUMBER(SEARCH("Ideas",$F267)))),$X267,NA())</f>
      </c>
      <c r="AH267" s="0">
        <f>IF(AND($V267&lt;&gt;"No",ISNUMBER(SEARCH("Mage",$C267)),NOT(ISNUMBER(SEARCH("Ideas",$F267)))),$X267,NA())</f>
      </c>
      <c r="AI267" s="0">
        <f>IF(AND($V267&lt;&gt;"No",ISNUMBER(SEARCH("Rogue",$C267)),NOT(ISNUMBER(SEARCH("Ideas",$F267)))),$X267,NA())</f>
      </c>
      <c r="AJ267" s="0">
        <f>IF($V267&lt;&gt;"No",$Y267,NA())</f>
      </c>
      <c r="AK267" s="0">
        <f>IF(AND($V267&lt;&gt;"No",ISNUMBER(SEARCH("Ideas",$F267))),$W267,NA())</f>
      </c>
      <c r="AL267" s="0">
        <f>IF(AND($V267&lt;&gt;"No",ISNUMBER(SEARCH("Cleric",$C267)),NOT(ISNUMBER(SEARCH("Ideas",$F267)))),$X267,NA())</f>
      </c>
    </row>
    <row r="268">
      <c r="A268" s="0" t="s">
        <v>1231</v>
      </c>
      <c r="B268" s="0" t="s">
        <v>1229</v>
      </c>
      <c r="C268" s="0" t="s">
        <v>257</v>
      </c>
      <c r="D268" s="0">
        <v>2</v>
      </c>
      <c r="E268" s="0" t="s">
        <v>32</v>
      </c>
      <c r="F268" s="0" t="s">
        <v>1977</v>
      </c>
      <c r="G268" s="0">
        <v>1</v>
      </c>
      <c r="H268" s="0">
        <v>13</v>
      </c>
      <c r="I268" s="0">
        <v>0</v>
      </c>
      <c r="J268" s="0">
        <v>5</v>
      </c>
      <c r="K268" s="0">
        <v>0</v>
      </c>
      <c r="L268" s="0">
        <v>0</v>
      </c>
      <c r="M268" s="0">
        <v>0</v>
      </c>
      <c r="N268" s="0">
        <v>0</v>
      </c>
      <c r="O268" s="0">
        <v>0</v>
      </c>
      <c r="P268" s="0">
        <v>0</v>
      </c>
      <c r="Q268" s="0">
        <v>0</v>
      </c>
      <c r="R268" s="0">
        <v>0</v>
      </c>
      <c r="S268" s="0">
        <v>0</v>
      </c>
      <c r="T268" s="0" t="s">
        <v>34</v>
      </c>
      <c r="U268" s="0" t="s">
        <v>34</v>
      </c>
      <c r="V268" s="0" t="s">
        <v>882</v>
      </c>
      <c r="W268" s="11">
        <f>IF($V268="No","",ROUND((I268*w_Damage + N268*w_Poison + P268*w_Weaken*w_Horizon)*MIN(1+(G268-1)*w_OccEnemy,w_MaxEnemies) + (J268*w_Heal + K268*w_Shield + L268*w_Block + M268*w_Parry + O268*w_Strength*w_Horizon + S268*w_Combo)*MIN(1+(H268-1)*w_OccAlly,w_MaxAllies) + Q268*w_Draw + R268*w_Move,2))</f>
      </c>
      <c r="X268" s="11">
        <f>IF(W268="","",ROUND(W268/MAX(D268,1),2))</f>
      </c>
      <c r="Y268" s="11">
        <f>IF($V268="No","",ROUND((curve_Base+curve_Slope*D268)*IFERROR(VLOOKUP(E268,rarity_Mult,2,FALSE),1),2))</f>
      </c>
      <c r="Z268" s="11">
        <f>IF(OR(W268="",Y268=""),"",ROUND(W268-Y268,2))</f>
      </c>
      <c r="AA268" s="0">
        <f>IF(Z268="","",IF($V268="Partial","RIDER",IF(ABS(Z268)&lt;=Y268*tol_Pct,"OK",IF(Z268&gt;0,"OVER","UNDER"))))</f>
      </c>
      <c r="AB268" s="0" t="s">
        <v>34</v>
      </c>
      <c r="AC268" s="0">
        <f>IF(AND($V268&lt;&gt;"No",$E268="Common",NOT(ISNUMBER(SEARCH("Ideas",$F268)))),$W268,NA())</f>
      </c>
      <c r="AD268" s="0">
        <f>IF(AND($V268&lt;&gt;"No",$E268="Uncommon",NOT(ISNUMBER(SEARCH("Ideas",$F268)))),$W268,NA())</f>
      </c>
      <c r="AE268" s="0">
        <f>IF(AND($V268&lt;&gt;"No",$E268="Rare",NOT(ISNUMBER(SEARCH("Ideas",$F268)))),$W268,NA())</f>
      </c>
      <c r="AF268" s="0">
        <f>IF(AND($V268&lt;&gt;"No",$E268="Legendary",NOT(ISNUMBER(SEARCH("Ideas",$F268)))),$W268,NA())</f>
      </c>
      <c r="AG268" s="0">
        <f>IF(AND($V268&lt;&gt;"No",ISNUMBER(SEARCH("Knight",$C268)),NOT(ISNUMBER(SEARCH("Ideas",$F268)))),$X268,NA())</f>
      </c>
      <c r="AH268" s="0">
        <f>IF(AND($V268&lt;&gt;"No",ISNUMBER(SEARCH("Mage",$C268)),NOT(ISNUMBER(SEARCH("Ideas",$F268)))),$X268,NA())</f>
      </c>
      <c r="AI268" s="0">
        <f>IF(AND($V268&lt;&gt;"No",ISNUMBER(SEARCH("Rogue",$C268)),NOT(ISNUMBER(SEARCH("Ideas",$F268)))),$X268,NA())</f>
      </c>
      <c r="AJ268" s="0">
        <f>IF($V268&lt;&gt;"No",$Y268,NA())</f>
      </c>
      <c r="AK268" s="0">
        <f>IF(AND($V268&lt;&gt;"No",ISNUMBER(SEARCH("Ideas",$F268))),$W268,NA())</f>
      </c>
      <c r="AL268" s="0">
        <f>IF(AND($V268&lt;&gt;"No",ISNUMBER(SEARCH("Cleric",$C268)),NOT(ISNUMBER(SEARCH("Ideas",$F268)))),$X268,NA())</f>
      </c>
    </row>
    <row r="269">
      <c r="A269" s="0" t="s">
        <v>1232</v>
      </c>
      <c r="B269" s="0" t="s">
        <v>1232</v>
      </c>
      <c r="C269" s="0" t="s">
        <v>257</v>
      </c>
      <c r="D269" s="0">
        <v>3</v>
      </c>
      <c r="E269" s="0" t="s">
        <v>985</v>
      </c>
      <c r="F269" s="0" t="s">
        <v>1977</v>
      </c>
      <c r="G269" s="0">
        <v>1</v>
      </c>
      <c r="H269" s="0">
        <v>1</v>
      </c>
      <c r="I269" s="0">
        <v>25</v>
      </c>
      <c r="J269" s="0">
        <v>0</v>
      </c>
      <c r="K269" s="0">
        <v>0</v>
      </c>
      <c r="L269" s="0">
        <v>0</v>
      </c>
      <c r="M269" s="0">
        <v>0</v>
      </c>
      <c r="N269" s="0">
        <v>0</v>
      </c>
      <c r="O269" s="0">
        <v>0</v>
      </c>
      <c r="P269" s="0">
        <v>0</v>
      </c>
      <c r="Q269" s="0">
        <v>0</v>
      </c>
      <c r="R269" s="0">
        <v>0</v>
      </c>
      <c r="S269" s="0">
        <v>0</v>
      </c>
      <c r="T269" s="0" t="s">
        <v>34</v>
      </c>
      <c r="U269" s="0" t="s">
        <v>34</v>
      </c>
      <c r="V269" s="0" t="s">
        <v>882</v>
      </c>
      <c r="W269" s="11">
        <f>IF($V269="No","",ROUND((I269*w_Damage + N269*w_Poison + P269*w_Weaken*w_Horizon)*MIN(1+(G269-1)*w_OccEnemy,w_MaxEnemies) + (J269*w_Heal + K269*w_Shield + L269*w_Block + M269*w_Parry + O269*w_Strength*w_Horizon + S269*w_Combo)*MIN(1+(H269-1)*w_OccAlly,w_MaxAllies) + Q269*w_Draw + R269*w_Move,2))</f>
      </c>
      <c r="X269" s="11">
        <f>IF(W269="","",ROUND(W269/MAX(D269,1),2))</f>
      </c>
      <c r="Y269" s="11">
        <f>IF($V269="No","",ROUND((curve_Base+curve_Slope*D269)*IFERROR(VLOOKUP(E269,rarity_Mult,2,FALSE),1),2))</f>
      </c>
      <c r="Z269" s="11">
        <f>IF(OR(W269="",Y269=""),"",ROUND(W269-Y269,2))</f>
      </c>
      <c r="AA269" s="0">
        <f>IF(Z269="","",IF($V269="Partial","RIDER",IF(ABS(Z269)&lt;=Y269*tol_Pct,"OK",IF(Z269&gt;0,"OVER","UNDER"))))</f>
      </c>
      <c r="AB269" s="0" t="s">
        <v>34</v>
      </c>
      <c r="AC269" s="0">
        <f>IF(AND($V269&lt;&gt;"No",$E269="Common",NOT(ISNUMBER(SEARCH("Ideas",$F269)))),$W269,NA())</f>
      </c>
      <c r="AD269" s="0">
        <f>IF(AND($V269&lt;&gt;"No",$E269="Uncommon",NOT(ISNUMBER(SEARCH("Ideas",$F269)))),$W269,NA())</f>
      </c>
      <c r="AE269" s="0">
        <f>IF(AND($V269&lt;&gt;"No",$E269="Rare",NOT(ISNUMBER(SEARCH("Ideas",$F269)))),$W269,NA())</f>
      </c>
      <c r="AF269" s="0">
        <f>IF(AND($V269&lt;&gt;"No",$E269="Legendary",NOT(ISNUMBER(SEARCH("Ideas",$F269)))),$W269,NA())</f>
      </c>
      <c r="AG269" s="0">
        <f>IF(AND($V269&lt;&gt;"No",ISNUMBER(SEARCH("Knight",$C269)),NOT(ISNUMBER(SEARCH("Ideas",$F269)))),$X269,NA())</f>
      </c>
      <c r="AH269" s="0">
        <f>IF(AND($V269&lt;&gt;"No",ISNUMBER(SEARCH("Mage",$C269)),NOT(ISNUMBER(SEARCH("Ideas",$F269)))),$X269,NA())</f>
      </c>
      <c r="AI269" s="0">
        <f>IF(AND($V269&lt;&gt;"No",ISNUMBER(SEARCH("Rogue",$C269)),NOT(ISNUMBER(SEARCH("Ideas",$F269)))),$X269,NA())</f>
      </c>
      <c r="AJ269" s="0">
        <f>IF($V269&lt;&gt;"No",$Y269,NA())</f>
      </c>
      <c r="AK269" s="0">
        <f>IF(AND($V269&lt;&gt;"No",ISNUMBER(SEARCH("Ideas",$F269))),$W269,NA())</f>
      </c>
      <c r="AL269" s="0">
        <f>IF(AND($V269&lt;&gt;"No",ISNUMBER(SEARCH("Cleric",$C269)),NOT(ISNUMBER(SEARCH("Ideas",$F269)))),$X269,NA())</f>
      </c>
    </row>
    <row r="270">
      <c r="A270" s="0" t="s">
        <v>1237</v>
      </c>
      <c r="B270" s="0" t="s">
        <v>1235</v>
      </c>
      <c r="C270" s="0" t="s">
        <v>257</v>
      </c>
      <c r="D270" s="0">
        <v>3</v>
      </c>
      <c r="E270" s="0" t="s">
        <v>62</v>
      </c>
      <c r="F270" s="0" t="s">
        <v>1977</v>
      </c>
      <c r="G270" s="0">
        <v>5</v>
      </c>
      <c r="H270" s="0">
        <v>1</v>
      </c>
      <c r="I270" s="0">
        <v>6</v>
      </c>
      <c r="J270" s="0">
        <v>0</v>
      </c>
      <c r="K270" s="0">
        <v>0</v>
      </c>
      <c r="L270" s="0">
        <v>0</v>
      </c>
      <c r="M270" s="0">
        <v>0</v>
      </c>
      <c r="N270" s="0">
        <v>0</v>
      </c>
      <c r="O270" s="0">
        <v>0</v>
      </c>
      <c r="P270" s="0">
        <v>3</v>
      </c>
      <c r="Q270" s="0">
        <v>0</v>
      </c>
      <c r="R270" s="0">
        <v>0</v>
      </c>
      <c r="S270" s="0">
        <v>0</v>
      </c>
      <c r="T270" s="0" t="s">
        <v>34</v>
      </c>
      <c r="U270" s="0" t="s">
        <v>34</v>
      </c>
      <c r="V270" s="0" t="s">
        <v>882</v>
      </c>
      <c r="W270" s="11">
        <f>IF($V270="No","",ROUND((I270*w_Damage + N270*w_Poison + P270*w_Weaken*w_Horizon)*MIN(1+(G270-1)*w_OccEnemy,w_MaxEnemies) + (J270*w_Heal + K270*w_Shield + L270*w_Block + M270*w_Parry + O270*w_Strength*w_Horizon + S270*w_Combo)*MIN(1+(H270-1)*w_OccAlly,w_MaxAllies) + Q270*w_Draw + R270*w_Move,2))</f>
      </c>
      <c r="X270" s="11">
        <f>IF(W270="","",ROUND(W270/MAX(D270,1),2))</f>
      </c>
      <c r="Y270" s="11">
        <f>IF($V270="No","",ROUND((curve_Base+curve_Slope*D270)*IFERROR(VLOOKUP(E270,rarity_Mult,2,FALSE),1),2))</f>
      </c>
      <c r="Z270" s="11">
        <f>IF(OR(W270="",Y270=""),"",ROUND(W270-Y270,2))</f>
      </c>
      <c r="AA270" s="0">
        <f>IF(Z270="","",IF($V270="Partial","RIDER",IF(ABS(Z270)&lt;=Y270*tol_Pct,"OK",IF(Z270&gt;0,"OVER","UNDER"))))</f>
      </c>
      <c r="AB270" s="0" t="s">
        <v>34</v>
      </c>
      <c r="AC270" s="0">
        <f>IF(AND($V270&lt;&gt;"No",$E270="Common",NOT(ISNUMBER(SEARCH("Ideas",$F270)))),$W270,NA())</f>
      </c>
      <c r="AD270" s="0">
        <f>IF(AND($V270&lt;&gt;"No",$E270="Uncommon",NOT(ISNUMBER(SEARCH("Ideas",$F270)))),$W270,NA())</f>
      </c>
      <c r="AE270" s="0">
        <f>IF(AND($V270&lt;&gt;"No",$E270="Rare",NOT(ISNUMBER(SEARCH("Ideas",$F270)))),$W270,NA())</f>
      </c>
      <c r="AF270" s="0">
        <f>IF(AND($V270&lt;&gt;"No",$E270="Legendary",NOT(ISNUMBER(SEARCH("Ideas",$F270)))),$W270,NA())</f>
      </c>
      <c r="AG270" s="0">
        <f>IF(AND($V270&lt;&gt;"No",ISNUMBER(SEARCH("Knight",$C270)),NOT(ISNUMBER(SEARCH("Ideas",$F270)))),$X270,NA())</f>
      </c>
      <c r="AH270" s="0">
        <f>IF(AND($V270&lt;&gt;"No",ISNUMBER(SEARCH("Mage",$C270)),NOT(ISNUMBER(SEARCH("Ideas",$F270)))),$X270,NA())</f>
      </c>
      <c r="AI270" s="0">
        <f>IF(AND($V270&lt;&gt;"No",ISNUMBER(SEARCH("Rogue",$C270)),NOT(ISNUMBER(SEARCH("Ideas",$F270)))),$X270,NA())</f>
      </c>
      <c r="AJ270" s="0">
        <f>IF($V270&lt;&gt;"No",$Y270,NA())</f>
      </c>
      <c r="AK270" s="0">
        <f>IF(AND($V270&lt;&gt;"No",ISNUMBER(SEARCH("Ideas",$F270))),$W270,NA())</f>
      </c>
      <c r="AL270" s="0">
        <f>IF(AND($V270&lt;&gt;"No",ISNUMBER(SEARCH("Cleric",$C270)),NOT(ISNUMBER(SEARCH("Ideas",$F270)))),$X270,NA())</f>
      </c>
    </row>
    <row r="271">
      <c r="A271" s="0" t="s">
        <v>1240</v>
      </c>
      <c r="B271" s="0" t="s">
        <v>1238</v>
      </c>
      <c r="C271" s="0" t="s">
        <v>257</v>
      </c>
      <c r="D271" s="0">
        <v>3</v>
      </c>
      <c r="E271" s="0" t="s">
        <v>985</v>
      </c>
      <c r="F271" s="0" t="s">
        <v>1977</v>
      </c>
      <c r="G271" s="0">
        <v>1</v>
      </c>
      <c r="H271" s="0">
        <v>1</v>
      </c>
      <c r="I271" s="0">
        <v>0</v>
      </c>
      <c r="J271" s="0">
        <v>0</v>
      </c>
      <c r="K271" s="0">
        <v>0</v>
      </c>
      <c r="L271" s="0">
        <v>0</v>
      </c>
      <c r="M271" s="0">
        <v>0</v>
      </c>
      <c r="N271" s="0">
        <v>0</v>
      </c>
      <c r="O271" s="0">
        <v>3</v>
      </c>
      <c r="P271" s="0">
        <v>0</v>
      </c>
      <c r="Q271" s="0">
        <v>2</v>
      </c>
      <c r="R271" s="0">
        <v>0</v>
      </c>
      <c r="S271" s="0">
        <v>1</v>
      </c>
      <c r="T271" s="0" t="s">
        <v>34</v>
      </c>
      <c r="U271" s="0" t="s">
        <v>34</v>
      </c>
      <c r="V271" s="0" t="s">
        <v>882</v>
      </c>
      <c r="W271" s="11">
        <f>IF($V271="No","",ROUND((I271*w_Damage + N271*w_Poison + P271*w_Weaken*w_Horizon)*MIN(1+(G271-1)*w_OccEnemy,w_MaxEnemies) + (J271*w_Heal + K271*w_Shield + L271*w_Block + M271*w_Parry + O271*w_Strength*w_Horizon + S271*w_Combo)*MIN(1+(H271-1)*w_OccAlly,w_MaxAllies) + Q271*w_Draw + R271*w_Move,2))</f>
      </c>
      <c r="X271" s="11">
        <f>IF(W271="","",ROUND(W271/MAX(D271,1),2))</f>
      </c>
      <c r="Y271" s="11">
        <f>IF($V271="No","",ROUND((curve_Base+curve_Slope*D271)*IFERROR(VLOOKUP(E271,rarity_Mult,2,FALSE),1),2))</f>
      </c>
      <c r="Z271" s="11">
        <f>IF(OR(W271="",Y271=""),"",ROUND(W271-Y271,2))</f>
      </c>
      <c r="AA271" s="0">
        <f>IF(Z271="","",IF($V271="Partial","RIDER",IF(ABS(Z271)&lt;=Y271*tol_Pct,"OK",IF(Z271&gt;0,"OVER","UNDER"))))</f>
      </c>
      <c r="AB271" s="0" t="s">
        <v>34</v>
      </c>
      <c r="AC271" s="0">
        <f>IF(AND($V271&lt;&gt;"No",$E271="Common",NOT(ISNUMBER(SEARCH("Ideas",$F271)))),$W271,NA())</f>
      </c>
      <c r="AD271" s="0">
        <f>IF(AND($V271&lt;&gt;"No",$E271="Uncommon",NOT(ISNUMBER(SEARCH("Ideas",$F271)))),$W271,NA())</f>
      </c>
      <c r="AE271" s="0">
        <f>IF(AND($V271&lt;&gt;"No",$E271="Rare",NOT(ISNUMBER(SEARCH("Ideas",$F271)))),$W271,NA())</f>
      </c>
      <c r="AF271" s="0">
        <f>IF(AND($V271&lt;&gt;"No",$E271="Legendary",NOT(ISNUMBER(SEARCH("Ideas",$F271)))),$W271,NA())</f>
      </c>
      <c r="AG271" s="0">
        <f>IF(AND($V271&lt;&gt;"No",ISNUMBER(SEARCH("Knight",$C271)),NOT(ISNUMBER(SEARCH("Ideas",$F271)))),$X271,NA())</f>
      </c>
      <c r="AH271" s="0">
        <f>IF(AND($V271&lt;&gt;"No",ISNUMBER(SEARCH("Mage",$C271)),NOT(ISNUMBER(SEARCH("Ideas",$F271)))),$X271,NA())</f>
      </c>
      <c r="AI271" s="0">
        <f>IF(AND($V271&lt;&gt;"No",ISNUMBER(SEARCH("Rogue",$C271)),NOT(ISNUMBER(SEARCH("Ideas",$F271)))),$X271,NA())</f>
      </c>
      <c r="AJ271" s="0">
        <f>IF($V271&lt;&gt;"No",$Y271,NA())</f>
      </c>
      <c r="AK271" s="0">
        <f>IF(AND($V271&lt;&gt;"No",ISNUMBER(SEARCH("Ideas",$F271))),$W271,NA())</f>
      </c>
      <c r="AL271" s="0">
        <f>IF(AND($V271&lt;&gt;"No",ISNUMBER(SEARCH("Cleric",$C271)),NOT(ISNUMBER(SEARCH("Ideas",$F271)))),$X271,NA())</f>
      </c>
    </row>
    <row r="272">
      <c r="A272" s="0" t="s">
        <v>762</v>
      </c>
      <c r="B272" s="0" t="s">
        <v>762</v>
      </c>
      <c r="C272" s="0" t="s">
        <v>363</v>
      </c>
      <c r="D272" s="0">
        <v>1</v>
      </c>
      <c r="E272" s="0" t="s">
        <v>81</v>
      </c>
      <c r="F272" s="0" t="s">
        <v>1978</v>
      </c>
      <c r="G272" s="0">
        <v>1</v>
      </c>
      <c r="H272" s="0">
        <v>1</v>
      </c>
      <c r="I272" s="0">
        <v>7</v>
      </c>
      <c r="J272" s="0">
        <v>0</v>
      </c>
      <c r="K272" s="0">
        <v>0</v>
      </c>
      <c r="L272" s="0">
        <v>0</v>
      </c>
      <c r="M272" s="0">
        <v>0</v>
      </c>
      <c r="N272" s="0">
        <v>0</v>
      </c>
      <c r="O272" s="0">
        <v>0</v>
      </c>
      <c r="P272" s="0">
        <v>0</v>
      </c>
      <c r="Q272" s="0">
        <v>0</v>
      </c>
      <c r="R272" s="0">
        <v>0</v>
      </c>
      <c r="S272" s="0">
        <v>0</v>
      </c>
      <c r="T272" s="0" t="s">
        <v>34</v>
      </c>
      <c r="U272" s="0" t="s">
        <v>34</v>
      </c>
      <c r="V272" s="0" t="s">
        <v>882</v>
      </c>
      <c r="W272" s="11">
        <f>IF($V272="No","",ROUND((I272*w_Damage + N272*w_Poison + P272*w_Weaken*w_Horizon)*MIN(1+(G272-1)*w_OccEnemy,w_MaxEnemies) + (J272*w_Heal + K272*w_Shield + L272*w_Block + M272*w_Parry + O272*w_Strength*w_Horizon + S272*w_Combo)*MIN(1+(H272-1)*w_OccAlly,w_MaxAllies) + Q272*w_Draw + R272*w_Move,2))</f>
      </c>
      <c r="X272" s="11">
        <f>IF(W272="","",ROUND(W272/MAX(D272,1),2))</f>
      </c>
      <c r="Y272" s="11">
        <f>IF($V272="No","",ROUND((curve_Base+curve_Slope*D272)*IFERROR(VLOOKUP(E272,rarity_Mult,2,FALSE),1),2))</f>
      </c>
      <c r="Z272" s="11">
        <f>IF(OR(W272="",Y272=""),"",ROUND(W272-Y272,2))</f>
      </c>
      <c r="AA272" s="0">
        <f>IF(Z272="","",IF($V272="Partial","RIDER",IF(ABS(Z272)&lt;=Y272*tol_Pct,"OK",IF(Z272&gt;0,"OVER","UNDER"))))</f>
      </c>
      <c r="AB272" s="0" t="s">
        <v>34</v>
      </c>
      <c r="AC272" s="0">
        <f>IF(AND($V272&lt;&gt;"No",$E272="Common",NOT(ISNUMBER(SEARCH("Ideas",$F272)))),$W272,NA())</f>
      </c>
      <c r="AD272" s="0">
        <f>IF(AND($V272&lt;&gt;"No",$E272="Uncommon",NOT(ISNUMBER(SEARCH("Ideas",$F272)))),$W272,NA())</f>
      </c>
      <c r="AE272" s="0">
        <f>IF(AND($V272&lt;&gt;"No",$E272="Rare",NOT(ISNUMBER(SEARCH("Ideas",$F272)))),$W272,NA())</f>
      </c>
      <c r="AF272" s="0">
        <f>IF(AND($V272&lt;&gt;"No",$E272="Legendary",NOT(ISNUMBER(SEARCH("Ideas",$F272)))),$W272,NA())</f>
      </c>
      <c r="AG272" s="0">
        <f>IF(AND($V272&lt;&gt;"No",ISNUMBER(SEARCH("Knight",$C272)),NOT(ISNUMBER(SEARCH("Ideas",$F272)))),$X272,NA())</f>
      </c>
      <c r="AH272" s="0">
        <f>IF(AND($V272&lt;&gt;"No",ISNUMBER(SEARCH("Mage",$C272)),NOT(ISNUMBER(SEARCH("Ideas",$F272)))),$X272,NA())</f>
      </c>
      <c r="AI272" s="0">
        <f>IF(AND($V272&lt;&gt;"No",ISNUMBER(SEARCH("Rogue",$C272)),NOT(ISNUMBER(SEARCH("Ideas",$F272)))),$X272,NA())</f>
      </c>
      <c r="AJ272" s="0">
        <f>IF($V272&lt;&gt;"No",$Y272,NA())</f>
      </c>
      <c r="AK272" s="0">
        <f>IF(AND($V272&lt;&gt;"No",ISNUMBER(SEARCH("Ideas",$F272))),$W272,NA())</f>
      </c>
      <c r="AL272" s="0">
        <f>IF(AND($V272&lt;&gt;"No",ISNUMBER(SEARCH("Cleric",$C272)),NOT(ISNUMBER(SEARCH("Ideas",$F272)))),$X272,NA())</f>
      </c>
    </row>
    <row r="273">
      <c r="A273" s="0" t="s">
        <v>1244</v>
      </c>
      <c r="B273" s="0" t="s">
        <v>1242</v>
      </c>
      <c r="C273" s="0" t="s">
        <v>363</v>
      </c>
      <c r="D273" s="0">
        <v>1</v>
      </c>
      <c r="E273" s="0" t="s">
        <v>32</v>
      </c>
      <c r="F273" s="0" t="s">
        <v>1978</v>
      </c>
      <c r="G273" s="0">
        <v>1</v>
      </c>
      <c r="H273" s="0">
        <v>1</v>
      </c>
      <c r="I273" s="0">
        <v>3</v>
      </c>
      <c r="J273" s="0">
        <v>0</v>
      </c>
      <c r="K273" s="0">
        <v>0</v>
      </c>
      <c r="L273" s="0">
        <v>0</v>
      </c>
      <c r="M273" s="0">
        <v>0</v>
      </c>
      <c r="N273" s="0">
        <v>3</v>
      </c>
      <c r="O273" s="0">
        <v>0</v>
      </c>
      <c r="P273" s="0">
        <v>0</v>
      </c>
      <c r="Q273" s="0">
        <v>0</v>
      </c>
      <c r="R273" s="0">
        <v>0</v>
      </c>
      <c r="S273" s="0">
        <v>0</v>
      </c>
      <c r="T273" s="0" t="s">
        <v>34</v>
      </c>
      <c r="U273" s="0" t="s">
        <v>34</v>
      </c>
      <c r="V273" s="0" t="s">
        <v>882</v>
      </c>
      <c r="W273" s="11">
        <f>IF($V273="No","",ROUND((I273*w_Damage + N273*w_Poison + P273*w_Weaken*w_Horizon)*MIN(1+(G273-1)*w_OccEnemy,w_MaxEnemies) + (J273*w_Heal + K273*w_Shield + L273*w_Block + M273*w_Parry + O273*w_Strength*w_Horizon + S273*w_Combo)*MIN(1+(H273-1)*w_OccAlly,w_MaxAllies) + Q273*w_Draw + R273*w_Move,2))</f>
      </c>
      <c r="X273" s="11">
        <f>IF(W273="","",ROUND(W273/MAX(D273,1),2))</f>
      </c>
      <c r="Y273" s="11">
        <f>IF($V273="No","",ROUND((curve_Base+curve_Slope*D273)*IFERROR(VLOOKUP(E273,rarity_Mult,2,FALSE),1),2))</f>
      </c>
      <c r="Z273" s="11">
        <f>IF(OR(W273="",Y273=""),"",ROUND(W273-Y273,2))</f>
      </c>
      <c r="AA273" s="0">
        <f>IF(Z273="","",IF($V273="Partial","RIDER",IF(ABS(Z273)&lt;=Y273*tol_Pct,"OK",IF(Z273&gt;0,"OVER","UNDER"))))</f>
      </c>
      <c r="AB273" s="0" t="s">
        <v>34</v>
      </c>
      <c r="AC273" s="0">
        <f>IF(AND($V273&lt;&gt;"No",$E273="Common",NOT(ISNUMBER(SEARCH("Ideas",$F273)))),$W273,NA())</f>
      </c>
      <c r="AD273" s="0">
        <f>IF(AND($V273&lt;&gt;"No",$E273="Uncommon",NOT(ISNUMBER(SEARCH("Ideas",$F273)))),$W273,NA())</f>
      </c>
      <c r="AE273" s="0">
        <f>IF(AND($V273&lt;&gt;"No",$E273="Rare",NOT(ISNUMBER(SEARCH("Ideas",$F273)))),$W273,NA())</f>
      </c>
      <c r="AF273" s="0">
        <f>IF(AND($V273&lt;&gt;"No",$E273="Legendary",NOT(ISNUMBER(SEARCH("Ideas",$F273)))),$W273,NA())</f>
      </c>
      <c r="AG273" s="0">
        <f>IF(AND($V273&lt;&gt;"No",ISNUMBER(SEARCH("Knight",$C273)),NOT(ISNUMBER(SEARCH("Ideas",$F273)))),$X273,NA())</f>
      </c>
      <c r="AH273" s="0">
        <f>IF(AND($V273&lt;&gt;"No",ISNUMBER(SEARCH("Mage",$C273)),NOT(ISNUMBER(SEARCH("Ideas",$F273)))),$X273,NA())</f>
      </c>
      <c r="AI273" s="0">
        <f>IF(AND($V273&lt;&gt;"No",ISNUMBER(SEARCH("Rogue",$C273)),NOT(ISNUMBER(SEARCH("Ideas",$F273)))),$X273,NA())</f>
      </c>
      <c r="AJ273" s="0">
        <f>IF($V273&lt;&gt;"No",$Y273,NA())</f>
      </c>
      <c r="AK273" s="0">
        <f>IF(AND($V273&lt;&gt;"No",ISNUMBER(SEARCH("Ideas",$F273))),$W273,NA())</f>
      </c>
      <c r="AL273" s="0">
        <f>IF(AND($V273&lt;&gt;"No",ISNUMBER(SEARCH("Cleric",$C273)),NOT(ISNUMBER(SEARCH("Ideas",$F273)))),$X273,NA())</f>
      </c>
    </row>
    <row r="274">
      <c r="A274" s="0" t="s">
        <v>1245</v>
      </c>
      <c r="B274" s="0" t="s">
        <v>1245</v>
      </c>
      <c r="C274" s="0" t="s">
        <v>363</v>
      </c>
      <c r="D274" s="0">
        <v>2</v>
      </c>
      <c r="E274" s="0" t="s">
        <v>32</v>
      </c>
      <c r="F274" s="0" t="s">
        <v>1978</v>
      </c>
      <c r="G274" s="0">
        <v>1</v>
      </c>
      <c r="H274" s="0">
        <v>1</v>
      </c>
      <c r="I274" s="0">
        <v>10</v>
      </c>
      <c r="J274" s="0">
        <v>0</v>
      </c>
      <c r="K274" s="0">
        <v>0</v>
      </c>
      <c r="L274" s="0">
        <v>0</v>
      </c>
      <c r="M274" s="0">
        <v>0</v>
      </c>
      <c r="N274" s="0">
        <v>0</v>
      </c>
      <c r="O274" s="0">
        <v>0</v>
      </c>
      <c r="P274" s="0">
        <v>0</v>
      </c>
      <c r="Q274" s="0">
        <v>0</v>
      </c>
      <c r="R274" s="0">
        <v>0</v>
      </c>
      <c r="S274" s="0">
        <v>0</v>
      </c>
      <c r="T274" s="0" t="s">
        <v>34</v>
      </c>
      <c r="U274" s="0" t="s">
        <v>34</v>
      </c>
      <c r="V274" s="0" t="s">
        <v>882</v>
      </c>
      <c r="W274" s="11">
        <f>IF($V274="No","",ROUND((I274*w_Damage + N274*w_Poison + P274*w_Weaken*w_Horizon)*MIN(1+(G274-1)*w_OccEnemy,w_MaxEnemies) + (J274*w_Heal + K274*w_Shield + L274*w_Block + M274*w_Parry + O274*w_Strength*w_Horizon + S274*w_Combo)*MIN(1+(H274-1)*w_OccAlly,w_MaxAllies) + Q274*w_Draw + R274*w_Move,2))</f>
      </c>
      <c r="X274" s="11">
        <f>IF(W274="","",ROUND(W274/MAX(D274,1),2))</f>
      </c>
      <c r="Y274" s="11">
        <f>IF($V274="No","",ROUND((curve_Base+curve_Slope*D274)*IFERROR(VLOOKUP(E274,rarity_Mult,2,FALSE),1),2))</f>
      </c>
      <c r="Z274" s="11">
        <f>IF(OR(W274="",Y274=""),"",ROUND(W274-Y274,2))</f>
      </c>
      <c r="AA274" s="0">
        <f>IF(Z274="","",IF($V274="Partial","RIDER",IF(ABS(Z274)&lt;=Y274*tol_Pct,"OK",IF(Z274&gt;0,"OVER","UNDER"))))</f>
      </c>
      <c r="AB274" s="0" t="s">
        <v>34</v>
      </c>
      <c r="AC274" s="0">
        <f>IF(AND($V274&lt;&gt;"No",$E274="Common",NOT(ISNUMBER(SEARCH("Ideas",$F274)))),$W274,NA())</f>
      </c>
      <c r="AD274" s="0">
        <f>IF(AND($V274&lt;&gt;"No",$E274="Uncommon",NOT(ISNUMBER(SEARCH("Ideas",$F274)))),$W274,NA())</f>
      </c>
      <c r="AE274" s="0">
        <f>IF(AND($V274&lt;&gt;"No",$E274="Rare",NOT(ISNUMBER(SEARCH("Ideas",$F274)))),$W274,NA())</f>
      </c>
      <c r="AF274" s="0">
        <f>IF(AND($V274&lt;&gt;"No",$E274="Legendary",NOT(ISNUMBER(SEARCH("Ideas",$F274)))),$W274,NA())</f>
      </c>
      <c r="AG274" s="0">
        <f>IF(AND($V274&lt;&gt;"No",ISNUMBER(SEARCH("Knight",$C274)),NOT(ISNUMBER(SEARCH("Ideas",$F274)))),$X274,NA())</f>
      </c>
      <c r="AH274" s="0">
        <f>IF(AND($V274&lt;&gt;"No",ISNUMBER(SEARCH("Mage",$C274)),NOT(ISNUMBER(SEARCH("Ideas",$F274)))),$X274,NA())</f>
      </c>
      <c r="AI274" s="0">
        <f>IF(AND($V274&lt;&gt;"No",ISNUMBER(SEARCH("Rogue",$C274)),NOT(ISNUMBER(SEARCH("Ideas",$F274)))),$X274,NA())</f>
      </c>
      <c r="AJ274" s="0">
        <f>IF($V274&lt;&gt;"No",$Y274,NA())</f>
      </c>
      <c r="AK274" s="0">
        <f>IF(AND($V274&lt;&gt;"No",ISNUMBER(SEARCH("Ideas",$F274))),$W274,NA())</f>
      </c>
      <c r="AL274" s="0">
        <f>IF(AND($V274&lt;&gt;"No",ISNUMBER(SEARCH("Cleric",$C274)),NOT(ISNUMBER(SEARCH("Ideas",$F274)))),$X274,NA())</f>
      </c>
    </row>
    <row r="275">
      <c r="A275" s="0" t="s">
        <v>1247</v>
      </c>
      <c r="B275" s="0" t="s">
        <v>1247</v>
      </c>
      <c r="C275" s="0" t="s">
        <v>363</v>
      </c>
      <c r="D275" s="0">
        <v>0</v>
      </c>
      <c r="E275" s="0" t="s">
        <v>81</v>
      </c>
      <c r="F275" s="0" t="s">
        <v>1978</v>
      </c>
      <c r="G275" s="0">
        <v>1</v>
      </c>
      <c r="H275" s="0">
        <v>1</v>
      </c>
      <c r="I275" s="0">
        <v>0</v>
      </c>
      <c r="J275" s="0">
        <v>0</v>
      </c>
      <c r="K275" s="0">
        <v>0</v>
      </c>
      <c r="L275" s="0">
        <v>0</v>
      </c>
      <c r="M275" s="0">
        <v>0</v>
      </c>
      <c r="N275" s="0">
        <v>0</v>
      </c>
      <c r="O275" s="0">
        <v>0</v>
      </c>
      <c r="P275" s="0">
        <v>0</v>
      </c>
      <c r="Q275" s="0">
        <v>0</v>
      </c>
      <c r="R275" s="0">
        <v>0</v>
      </c>
      <c r="S275" s="0">
        <v>0</v>
      </c>
      <c r="T275" s="0" t="s">
        <v>34</v>
      </c>
      <c r="U275" s="0" t="s">
        <v>361</v>
      </c>
      <c r="V275" s="0" t="s">
        <v>1407</v>
      </c>
      <c r="W275" s="11">
        <f>IF($V275="No","",ROUND((I275*w_Damage + N275*w_Poison + P275*w_Weaken*w_Horizon)*MIN(1+(G275-1)*w_OccEnemy,w_MaxEnemies) + (J275*w_Heal + K275*w_Shield + L275*w_Block + M275*w_Parry + O275*w_Strength*w_Horizon + S275*w_Combo)*MIN(1+(H275-1)*w_OccAlly,w_MaxAllies) + Q275*w_Draw + R275*w_Move,2))</f>
      </c>
      <c r="X275" s="11">
        <f>IF(W275="","",ROUND(W275/MAX(D275,1),2))</f>
      </c>
      <c r="Y275" s="11">
        <f>IF($V275="No","",ROUND((curve_Base+curve_Slope*D275)*IFERROR(VLOOKUP(E275,rarity_Mult,2,FALSE),1),2))</f>
      </c>
      <c r="Z275" s="11">
        <f>IF(OR(W275="",Y275=""),"",ROUND(W275-Y275,2))</f>
      </c>
      <c r="AA275" s="0">
        <f>IF(Z275="","",IF($V275="Partial","RIDER",IF(ABS(Z275)&lt;=Y275*tol_Pct,"OK",IF(Z275&gt;0,"OVER","UNDER"))))</f>
      </c>
      <c r="AB275" s="0" t="s">
        <v>34</v>
      </c>
      <c r="AC275" s="0">
        <f>IF(AND($V275&lt;&gt;"No",$E275="Common",NOT(ISNUMBER(SEARCH("Ideas",$F275)))),$W275,NA())</f>
      </c>
      <c r="AD275" s="0">
        <f>IF(AND($V275&lt;&gt;"No",$E275="Uncommon",NOT(ISNUMBER(SEARCH("Ideas",$F275)))),$W275,NA())</f>
      </c>
      <c r="AE275" s="0">
        <f>IF(AND($V275&lt;&gt;"No",$E275="Rare",NOT(ISNUMBER(SEARCH("Ideas",$F275)))),$W275,NA())</f>
      </c>
      <c r="AF275" s="0">
        <f>IF(AND($V275&lt;&gt;"No",$E275="Legendary",NOT(ISNUMBER(SEARCH("Ideas",$F275)))),$W275,NA())</f>
      </c>
      <c r="AG275" s="0">
        <f>IF(AND($V275&lt;&gt;"No",ISNUMBER(SEARCH("Knight",$C275)),NOT(ISNUMBER(SEARCH("Ideas",$F275)))),$X275,NA())</f>
      </c>
      <c r="AH275" s="0">
        <f>IF(AND($V275&lt;&gt;"No",ISNUMBER(SEARCH("Mage",$C275)),NOT(ISNUMBER(SEARCH("Ideas",$F275)))),$X275,NA())</f>
      </c>
      <c r="AI275" s="0">
        <f>IF(AND($V275&lt;&gt;"No",ISNUMBER(SEARCH("Rogue",$C275)),NOT(ISNUMBER(SEARCH("Ideas",$F275)))),$X275,NA())</f>
      </c>
      <c r="AJ275" s="0">
        <f>IF($V275&lt;&gt;"No",$Y275,NA())</f>
      </c>
      <c r="AK275" s="0">
        <f>IF(AND($V275&lt;&gt;"No",ISNUMBER(SEARCH("Ideas",$F275))),$W275,NA())</f>
      </c>
      <c r="AL275" s="0">
        <f>IF(AND($V275&lt;&gt;"No",ISNUMBER(SEARCH("Cleric",$C275)),NOT(ISNUMBER(SEARCH("Ideas",$F275)))),$X275,NA())</f>
      </c>
    </row>
    <row r="276">
      <c r="A276" s="0" t="s">
        <v>1249</v>
      </c>
      <c r="B276" s="0" t="s">
        <v>1249</v>
      </c>
      <c r="C276" s="0" t="s">
        <v>363</v>
      </c>
      <c r="D276" s="0">
        <v>1</v>
      </c>
      <c r="E276" s="0" t="s">
        <v>81</v>
      </c>
      <c r="F276" s="0" t="s">
        <v>1978</v>
      </c>
      <c r="G276" s="0">
        <v>1</v>
      </c>
      <c r="H276" s="0">
        <v>1</v>
      </c>
      <c r="I276" s="0">
        <v>0</v>
      </c>
      <c r="J276" s="0">
        <v>0</v>
      </c>
      <c r="K276" s="0">
        <v>0</v>
      </c>
      <c r="L276" s="0">
        <v>0</v>
      </c>
      <c r="M276" s="0">
        <v>0</v>
      </c>
      <c r="N276" s="0">
        <v>10</v>
      </c>
      <c r="O276" s="0">
        <v>0</v>
      </c>
      <c r="P276" s="0">
        <v>0</v>
      </c>
      <c r="Q276" s="0">
        <v>0</v>
      </c>
      <c r="R276" s="0">
        <v>0</v>
      </c>
      <c r="S276" s="0">
        <v>0</v>
      </c>
      <c r="T276" s="0" t="s">
        <v>34</v>
      </c>
      <c r="U276" s="0" t="s">
        <v>34</v>
      </c>
      <c r="V276" s="0" t="s">
        <v>882</v>
      </c>
      <c r="W276" s="11">
        <f>IF($V276="No","",ROUND((I276*w_Damage + N276*w_Poison + P276*w_Weaken*w_Horizon)*MIN(1+(G276-1)*w_OccEnemy,w_MaxEnemies) + (J276*w_Heal + K276*w_Shield + L276*w_Block + M276*w_Parry + O276*w_Strength*w_Horizon + S276*w_Combo)*MIN(1+(H276-1)*w_OccAlly,w_MaxAllies) + Q276*w_Draw + R276*w_Move,2))</f>
      </c>
      <c r="X276" s="11">
        <f>IF(W276="","",ROUND(W276/MAX(D276,1),2))</f>
      </c>
      <c r="Y276" s="11">
        <f>IF($V276="No","",ROUND((curve_Base+curve_Slope*D276)*IFERROR(VLOOKUP(E276,rarity_Mult,2,FALSE),1),2))</f>
      </c>
      <c r="Z276" s="11">
        <f>IF(OR(W276="",Y276=""),"",ROUND(W276-Y276,2))</f>
      </c>
      <c r="AA276" s="0">
        <f>IF(Z276="","",IF($V276="Partial","RIDER",IF(ABS(Z276)&lt;=Y276*tol_Pct,"OK",IF(Z276&gt;0,"OVER","UNDER"))))</f>
      </c>
      <c r="AB276" s="0" t="s">
        <v>34</v>
      </c>
      <c r="AC276" s="0">
        <f>IF(AND($V276&lt;&gt;"No",$E276="Common",NOT(ISNUMBER(SEARCH("Ideas",$F276)))),$W276,NA())</f>
      </c>
      <c r="AD276" s="0">
        <f>IF(AND($V276&lt;&gt;"No",$E276="Uncommon",NOT(ISNUMBER(SEARCH("Ideas",$F276)))),$W276,NA())</f>
      </c>
      <c r="AE276" s="0">
        <f>IF(AND($V276&lt;&gt;"No",$E276="Rare",NOT(ISNUMBER(SEARCH("Ideas",$F276)))),$W276,NA())</f>
      </c>
      <c r="AF276" s="0">
        <f>IF(AND($V276&lt;&gt;"No",$E276="Legendary",NOT(ISNUMBER(SEARCH("Ideas",$F276)))),$W276,NA())</f>
      </c>
      <c r="AG276" s="0">
        <f>IF(AND($V276&lt;&gt;"No",ISNUMBER(SEARCH("Knight",$C276)),NOT(ISNUMBER(SEARCH("Ideas",$F276)))),$X276,NA())</f>
      </c>
      <c r="AH276" s="0">
        <f>IF(AND($V276&lt;&gt;"No",ISNUMBER(SEARCH("Mage",$C276)),NOT(ISNUMBER(SEARCH("Ideas",$F276)))),$X276,NA())</f>
      </c>
      <c r="AI276" s="0">
        <f>IF(AND($V276&lt;&gt;"No",ISNUMBER(SEARCH("Rogue",$C276)),NOT(ISNUMBER(SEARCH("Ideas",$F276)))),$X276,NA())</f>
      </c>
      <c r="AJ276" s="0">
        <f>IF($V276&lt;&gt;"No",$Y276,NA())</f>
      </c>
      <c r="AK276" s="0">
        <f>IF(AND($V276&lt;&gt;"No",ISNUMBER(SEARCH("Ideas",$F276))),$W276,NA())</f>
      </c>
      <c r="AL276" s="0">
        <f>IF(AND($V276&lt;&gt;"No",ISNUMBER(SEARCH("Cleric",$C276)),NOT(ISNUMBER(SEARCH("Ideas",$F276)))),$X276,NA())</f>
      </c>
    </row>
    <row r="277">
      <c r="A277" s="0" t="s">
        <v>1253</v>
      </c>
      <c r="B277" s="0" t="s">
        <v>1251</v>
      </c>
      <c r="C277" s="0" t="s">
        <v>363</v>
      </c>
      <c r="D277" s="0">
        <v>2</v>
      </c>
      <c r="E277" s="0" t="s">
        <v>62</v>
      </c>
      <c r="F277" s="0" t="s">
        <v>1978</v>
      </c>
      <c r="G277" s="0">
        <v>1</v>
      </c>
      <c r="H277" s="0">
        <v>1</v>
      </c>
      <c r="I277" s="0">
        <v>8</v>
      </c>
      <c r="J277" s="0">
        <v>0</v>
      </c>
      <c r="K277" s="0">
        <v>0</v>
      </c>
      <c r="L277" s="0">
        <v>0</v>
      </c>
      <c r="M277" s="0">
        <v>0</v>
      </c>
      <c r="N277" s="0">
        <v>0</v>
      </c>
      <c r="O277" s="0">
        <v>0</v>
      </c>
      <c r="P277" s="0">
        <v>2</v>
      </c>
      <c r="Q277" s="0">
        <v>0</v>
      </c>
      <c r="R277" s="0">
        <v>0</v>
      </c>
      <c r="S277" s="0">
        <v>0</v>
      </c>
      <c r="T277" s="0" t="s">
        <v>34</v>
      </c>
      <c r="U277" s="0" t="s">
        <v>34</v>
      </c>
      <c r="V277" s="0" t="s">
        <v>882</v>
      </c>
      <c r="W277" s="11">
        <f>IF($V277="No","",ROUND((I277*w_Damage + N277*w_Poison + P277*w_Weaken*w_Horizon)*MIN(1+(G277-1)*w_OccEnemy,w_MaxEnemies) + (J277*w_Heal + K277*w_Shield + L277*w_Block + M277*w_Parry + O277*w_Strength*w_Horizon + S277*w_Combo)*MIN(1+(H277-1)*w_OccAlly,w_MaxAllies) + Q277*w_Draw + R277*w_Move,2))</f>
      </c>
      <c r="X277" s="11">
        <f>IF(W277="","",ROUND(W277/MAX(D277,1),2))</f>
      </c>
      <c r="Y277" s="11">
        <f>IF($V277="No","",ROUND((curve_Base+curve_Slope*D277)*IFERROR(VLOOKUP(E277,rarity_Mult,2,FALSE),1),2))</f>
      </c>
      <c r="Z277" s="11">
        <f>IF(OR(W277="",Y277=""),"",ROUND(W277-Y277,2))</f>
      </c>
      <c r="AA277" s="0">
        <f>IF(Z277="","",IF($V277="Partial","RIDER",IF(ABS(Z277)&lt;=Y277*tol_Pct,"OK",IF(Z277&gt;0,"OVER","UNDER"))))</f>
      </c>
      <c r="AB277" s="0" t="s">
        <v>34</v>
      </c>
      <c r="AC277" s="0">
        <f>IF(AND($V277&lt;&gt;"No",$E277="Common",NOT(ISNUMBER(SEARCH("Ideas",$F277)))),$W277,NA())</f>
      </c>
      <c r="AD277" s="0">
        <f>IF(AND($V277&lt;&gt;"No",$E277="Uncommon",NOT(ISNUMBER(SEARCH("Ideas",$F277)))),$W277,NA())</f>
      </c>
      <c r="AE277" s="0">
        <f>IF(AND($V277&lt;&gt;"No",$E277="Rare",NOT(ISNUMBER(SEARCH("Ideas",$F277)))),$W277,NA())</f>
      </c>
      <c r="AF277" s="0">
        <f>IF(AND($V277&lt;&gt;"No",$E277="Legendary",NOT(ISNUMBER(SEARCH("Ideas",$F277)))),$W277,NA())</f>
      </c>
      <c r="AG277" s="0">
        <f>IF(AND($V277&lt;&gt;"No",ISNUMBER(SEARCH("Knight",$C277)),NOT(ISNUMBER(SEARCH("Ideas",$F277)))),$X277,NA())</f>
      </c>
      <c r="AH277" s="0">
        <f>IF(AND($V277&lt;&gt;"No",ISNUMBER(SEARCH("Mage",$C277)),NOT(ISNUMBER(SEARCH("Ideas",$F277)))),$X277,NA())</f>
      </c>
      <c r="AI277" s="0">
        <f>IF(AND($V277&lt;&gt;"No",ISNUMBER(SEARCH("Rogue",$C277)),NOT(ISNUMBER(SEARCH("Ideas",$F277)))),$X277,NA())</f>
      </c>
      <c r="AJ277" s="0">
        <f>IF($V277&lt;&gt;"No",$Y277,NA())</f>
      </c>
      <c r="AK277" s="0">
        <f>IF(AND($V277&lt;&gt;"No",ISNUMBER(SEARCH("Ideas",$F277))),$W277,NA())</f>
      </c>
      <c r="AL277" s="0">
        <f>IF(AND($V277&lt;&gt;"No",ISNUMBER(SEARCH("Cleric",$C277)),NOT(ISNUMBER(SEARCH("Ideas",$F277)))),$X277,NA())</f>
      </c>
    </row>
    <row r="278">
      <c r="A278" s="0" t="s">
        <v>1254</v>
      </c>
      <c r="B278" s="0" t="s">
        <v>1254</v>
      </c>
      <c r="C278" s="0" t="s">
        <v>363</v>
      </c>
      <c r="D278" s="0">
        <v>1</v>
      </c>
      <c r="E278" s="0" t="s">
        <v>32</v>
      </c>
      <c r="F278" s="0" t="s">
        <v>1978</v>
      </c>
      <c r="G278" s="0">
        <v>1</v>
      </c>
      <c r="H278" s="0">
        <v>1</v>
      </c>
      <c r="I278" s="0">
        <v>0</v>
      </c>
      <c r="J278" s="0">
        <v>5</v>
      </c>
      <c r="K278" s="0">
        <v>0</v>
      </c>
      <c r="L278" s="0">
        <v>0</v>
      </c>
      <c r="M278" s="0">
        <v>0</v>
      </c>
      <c r="N278" s="0">
        <v>0</v>
      </c>
      <c r="O278" s="0">
        <v>0</v>
      </c>
      <c r="P278" s="0">
        <v>0</v>
      </c>
      <c r="Q278" s="0">
        <v>0</v>
      </c>
      <c r="R278" s="0">
        <v>0</v>
      </c>
      <c r="S278" s="0">
        <v>0</v>
      </c>
      <c r="T278" s="0" t="s">
        <v>34</v>
      </c>
      <c r="U278" s="0" t="s">
        <v>34</v>
      </c>
      <c r="V278" s="0" t="s">
        <v>882</v>
      </c>
      <c r="W278" s="11">
        <f>IF($V278="No","",ROUND((I278*w_Damage + N278*w_Poison + P278*w_Weaken*w_Horizon)*MIN(1+(G278-1)*w_OccEnemy,w_MaxEnemies) + (J278*w_Heal + K278*w_Shield + L278*w_Block + M278*w_Parry + O278*w_Strength*w_Horizon + S278*w_Combo)*MIN(1+(H278-1)*w_OccAlly,w_MaxAllies) + Q278*w_Draw + R278*w_Move,2))</f>
      </c>
      <c r="X278" s="11">
        <f>IF(W278="","",ROUND(W278/MAX(D278,1),2))</f>
      </c>
      <c r="Y278" s="11">
        <f>IF($V278="No","",ROUND((curve_Base+curve_Slope*D278)*IFERROR(VLOOKUP(E278,rarity_Mult,2,FALSE),1),2))</f>
      </c>
      <c r="Z278" s="11">
        <f>IF(OR(W278="",Y278=""),"",ROUND(W278-Y278,2))</f>
      </c>
      <c r="AA278" s="0">
        <f>IF(Z278="","",IF($V278="Partial","RIDER",IF(ABS(Z278)&lt;=Y278*tol_Pct,"OK",IF(Z278&gt;0,"OVER","UNDER"))))</f>
      </c>
      <c r="AB278" s="0" t="s">
        <v>34</v>
      </c>
      <c r="AC278" s="0">
        <f>IF(AND($V278&lt;&gt;"No",$E278="Common",NOT(ISNUMBER(SEARCH("Ideas",$F278)))),$W278,NA())</f>
      </c>
      <c r="AD278" s="0">
        <f>IF(AND($V278&lt;&gt;"No",$E278="Uncommon",NOT(ISNUMBER(SEARCH("Ideas",$F278)))),$W278,NA())</f>
      </c>
      <c r="AE278" s="0">
        <f>IF(AND($V278&lt;&gt;"No",$E278="Rare",NOT(ISNUMBER(SEARCH("Ideas",$F278)))),$W278,NA())</f>
      </c>
      <c r="AF278" s="0">
        <f>IF(AND($V278&lt;&gt;"No",$E278="Legendary",NOT(ISNUMBER(SEARCH("Ideas",$F278)))),$W278,NA())</f>
      </c>
      <c r="AG278" s="0">
        <f>IF(AND($V278&lt;&gt;"No",ISNUMBER(SEARCH("Knight",$C278)),NOT(ISNUMBER(SEARCH("Ideas",$F278)))),$X278,NA())</f>
      </c>
      <c r="AH278" s="0">
        <f>IF(AND($V278&lt;&gt;"No",ISNUMBER(SEARCH("Mage",$C278)),NOT(ISNUMBER(SEARCH("Ideas",$F278)))),$X278,NA())</f>
      </c>
      <c r="AI278" s="0">
        <f>IF(AND($V278&lt;&gt;"No",ISNUMBER(SEARCH("Rogue",$C278)),NOT(ISNUMBER(SEARCH("Ideas",$F278)))),$X278,NA())</f>
      </c>
      <c r="AJ278" s="0">
        <f>IF($V278&lt;&gt;"No",$Y278,NA())</f>
      </c>
      <c r="AK278" s="0">
        <f>IF(AND($V278&lt;&gt;"No",ISNUMBER(SEARCH("Ideas",$F278))),$W278,NA())</f>
      </c>
      <c r="AL278" s="0">
        <f>IF(AND($V278&lt;&gt;"No",ISNUMBER(SEARCH("Cleric",$C278)),NOT(ISNUMBER(SEARCH("Ideas",$F278)))),$X278,NA())</f>
      </c>
    </row>
    <row r="279">
      <c r="A279" s="0" t="s">
        <v>1256</v>
      </c>
      <c r="B279" s="0" t="s">
        <v>1256</v>
      </c>
      <c r="C279" s="0" t="s">
        <v>363</v>
      </c>
      <c r="D279" s="0">
        <v>1</v>
      </c>
      <c r="E279" s="0" t="s">
        <v>81</v>
      </c>
      <c r="F279" s="0" t="s">
        <v>1978</v>
      </c>
      <c r="G279" s="0">
        <v>1</v>
      </c>
      <c r="H279" s="0">
        <v>1</v>
      </c>
      <c r="I279" s="0">
        <v>0</v>
      </c>
      <c r="J279" s="0">
        <v>0</v>
      </c>
      <c r="K279" s="0">
        <v>0</v>
      </c>
      <c r="L279" s="0">
        <v>10</v>
      </c>
      <c r="M279" s="0">
        <v>0</v>
      </c>
      <c r="N279" s="0">
        <v>0</v>
      </c>
      <c r="O279" s="0">
        <v>0</v>
      </c>
      <c r="P279" s="0">
        <v>0</v>
      </c>
      <c r="Q279" s="0">
        <v>0</v>
      </c>
      <c r="R279" s="0">
        <v>0</v>
      </c>
      <c r="S279" s="0">
        <v>0</v>
      </c>
      <c r="T279" s="0" t="s">
        <v>34</v>
      </c>
      <c r="U279" s="0" t="s">
        <v>34</v>
      </c>
      <c r="V279" s="0" t="s">
        <v>882</v>
      </c>
      <c r="W279" s="11">
        <f>IF($V279="No","",ROUND((I279*w_Damage + N279*w_Poison + P279*w_Weaken*w_Horizon)*MIN(1+(G279-1)*w_OccEnemy,w_MaxEnemies) + (J279*w_Heal + K279*w_Shield + L279*w_Block + M279*w_Parry + O279*w_Strength*w_Horizon + S279*w_Combo)*MIN(1+(H279-1)*w_OccAlly,w_MaxAllies) + Q279*w_Draw + R279*w_Move,2))</f>
      </c>
      <c r="X279" s="11">
        <f>IF(W279="","",ROUND(W279/MAX(D279,1),2))</f>
      </c>
      <c r="Y279" s="11">
        <f>IF($V279="No","",ROUND((curve_Base+curve_Slope*D279)*IFERROR(VLOOKUP(E279,rarity_Mult,2,FALSE),1),2))</f>
      </c>
      <c r="Z279" s="11">
        <f>IF(OR(W279="",Y279=""),"",ROUND(W279-Y279,2))</f>
      </c>
      <c r="AA279" s="0">
        <f>IF(Z279="","",IF($V279="Partial","RIDER",IF(ABS(Z279)&lt;=Y279*tol_Pct,"OK",IF(Z279&gt;0,"OVER","UNDER"))))</f>
      </c>
      <c r="AB279" s="0" t="s">
        <v>34</v>
      </c>
      <c r="AC279" s="0">
        <f>IF(AND($V279&lt;&gt;"No",$E279="Common",NOT(ISNUMBER(SEARCH("Ideas",$F279)))),$W279,NA())</f>
      </c>
      <c r="AD279" s="0">
        <f>IF(AND($V279&lt;&gt;"No",$E279="Uncommon",NOT(ISNUMBER(SEARCH("Ideas",$F279)))),$W279,NA())</f>
      </c>
      <c r="AE279" s="0">
        <f>IF(AND($V279&lt;&gt;"No",$E279="Rare",NOT(ISNUMBER(SEARCH("Ideas",$F279)))),$W279,NA())</f>
      </c>
      <c r="AF279" s="0">
        <f>IF(AND($V279&lt;&gt;"No",$E279="Legendary",NOT(ISNUMBER(SEARCH("Ideas",$F279)))),$W279,NA())</f>
      </c>
      <c r="AG279" s="0">
        <f>IF(AND($V279&lt;&gt;"No",ISNUMBER(SEARCH("Knight",$C279)),NOT(ISNUMBER(SEARCH("Ideas",$F279)))),$X279,NA())</f>
      </c>
      <c r="AH279" s="0">
        <f>IF(AND($V279&lt;&gt;"No",ISNUMBER(SEARCH("Mage",$C279)),NOT(ISNUMBER(SEARCH("Ideas",$F279)))),$X279,NA())</f>
      </c>
      <c r="AI279" s="0">
        <f>IF(AND($V279&lt;&gt;"No",ISNUMBER(SEARCH("Rogue",$C279)),NOT(ISNUMBER(SEARCH("Ideas",$F279)))),$X279,NA())</f>
      </c>
      <c r="AJ279" s="0">
        <f>IF($V279&lt;&gt;"No",$Y279,NA())</f>
      </c>
      <c r="AK279" s="0">
        <f>IF(AND($V279&lt;&gt;"No",ISNUMBER(SEARCH("Ideas",$F279))),$W279,NA())</f>
      </c>
      <c r="AL279" s="0">
        <f>IF(AND($V279&lt;&gt;"No",ISNUMBER(SEARCH("Cleric",$C279)),NOT(ISNUMBER(SEARCH("Ideas",$F279)))),$X279,NA())</f>
      </c>
    </row>
    <row r="280">
      <c r="A280" s="0" t="s">
        <v>1258</v>
      </c>
      <c r="B280" s="0" t="s">
        <v>1257</v>
      </c>
      <c r="C280" s="0" t="s">
        <v>363</v>
      </c>
      <c r="D280" s="0">
        <v>0</v>
      </c>
      <c r="E280" s="0" t="s">
        <v>81</v>
      </c>
      <c r="F280" s="0" t="s">
        <v>1978</v>
      </c>
      <c r="G280" s="0">
        <v>1</v>
      </c>
      <c r="H280" s="0">
        <v>1</v>
      </c>
      <c r="I280" s="0">
        <v>3</v>
      </c>
      <c r="J280" s="0">
        <v>0</v>
      </c>
      <c r="K280" s="0">
        <v>0</v>
      </c>
      <c r="L280" s="0">
        <v>0</v>
      </c>
      <c r="M280" s="0">
        <v>0</v>
      </c>
      <c r="N280" s="0">
        <v>0</v>
      </c>
      <c r="O280" s="0">
        <v>0</v>
      </c>
      <c r="P280" s="0">
        <v>0</v>
      </c>
      <c r="Q280" s="0">
        <v>0</v>
      </c>
      <c r="R280" s="0">
        <v>0</v>
      </c>
      <c r="S280" s="0">
        <v>0</v>
      </c>
      <c r="T280" s="0" t="s">
        <v>34</v>
      </c>
      <c r="U280" s="0" t="s">
        <v>34</v>
      </c>
      <c r="V280" s="0" t="s">
        <v>882</v>
      </c>
      <c r="W280" s="11">
        <f>IF($V280="No","",ROUND((I280*w_Damage + N280*w_Poison + P280*w_Weaken*w_Horizon)*MIN(1+(G280-1)*w_OccEnemy,w_MaxEnemies) + (J280*w_Heal + K280*w_Shield + L280*w_Block + M280*w_Parry + O280*w_Strength*w_Horizon + S280*w_Combo)*MIN(1+(H280-1)*w_OccAlly,w_MaxAllies) + Q280*w_Draw + R280*w_Move,2))</f>
      </c>
      <c r="X280" s="11">
        <f>IF(W280="","",ROUND(W280/MAX(D280,1),2))</f>
      </c>
      <c r="Y280" s="11">
        <f>IF($V280="No","",ROUND((curve_Base+curve_Slope*D280)*IFERROR(VLOOKUP(E280,rarity_Mult,2,FALSE),1),2))</f>
      </c>
      <c r="Z280" s="11">
        <f>IF(OR(W280="",Y280=""),"",ROUND(W280-Y280,2))</f>
      </c>
      <c r="AA280" s="0">
        <f>IF(Z280="","",IF($V280="Partial","RIDER",IF(ABS(Z280)&lt;=Y280*tol_Pct,"OK",IF(Z280&gt;0,"OVER","UNDER"))))</f>
      </c>
      <c r="AB280" s="0" t="s">
        <v>34</v>
      </c>
      <c r="AC280" s="0">
        <f>IF(AND($V280&lt;&gt;"No",$E280="Common",NOT(ISNUMBER(SEARCH("Ideas",$F280)))),$W280,NA())</f>
      </c>
      <c r="AD280" s="0">
        <f>IF(AND($V280&lt;&gt;"No",$E280="Uncommon",NOT(ISNUMBER(SEARCH("Ideas",$F280)))),$W280,NA())</f>
      </c>
      <c r="AE280" s="0">
        <f>IF(AND($V280&lt;&gt;"No",$E280="Rare",NOT(ISNUMBER(SEARCH("Ideas",$F280)))),$W280,NA())</f>
      </c>
      <c r="AF280" s="0">
        <f>IF(AND($V280&lt;&gt;"No",$E280="Legendary",NOT(ISNUMBER(SEARCH("Ideas",$F280)))),$W280,NA())</f>
      </c>
      <c r="AG280" s="0">
        <f>IF(AND($V280&lt;&gt;"No",ISNUMBER(SEARCH("Knight",$C280)),NOT(ISNUMBER(SEARCH("Ideas",$F280)))),$X280,NA())</f>
      </c>
      <c r="AH280" s="0">
        <f>IF(AND($V280&lt;&gt;"No",ISNUMBER(SEARCH("Mage",$C280)),NOT(ISNUMBER(SEARCH("Ideas",$F280)))),$X280,NA())</f>
      </c>
      <c r="AI280" s="0">
        <f>IF(AND($V280&lt;&gt;"No",ISNUMBER(SEARCH("Rogue",$C280)),NOT(ISNUMBER(SEARCH("Ideas",$F280)))),$X280,NA())</f>
      </c>
      <c r="AJ280" s="0">
        <f>IF($V280&lt;&gt;"No",$Y280,NA())</f>
      </c>
      <c r="AK280" s="0">
        <f>IF(AND($V280&lt;&gt;"No",ISNUMBER(SEARCH("Ideas",$F280))),$W280,NA())</f>
      </c>
      <c r="AL280" s="0">
        <f>IF(AND($V280&lt;&gt;"No",ISNUMBER(SEARCH("Cleric",$C280)),NOT(ISNUMBER(SEARCH("Ideas",$F280)))),$X280,NA())</f>
      </c>
    </row>
    <row r="281">
      <c r="A281" s="0" t="s">
        <v>1261</v>
      </c>
      <c r="B281" s="0" t="s">
        <v>1259</v>
      </c>
      <c r="C281" s="0" t="s">
        <v>363</v>
      </c>
      <c r="D281" s="0">
        <v>2</v>
      </c>
      <c r="E281" s="0" t="s">
        <v>32</v>
      </c>
      <c r="F281" s="0" t="s">
        <v>1978</v>
      </c>
      <c r="G281" s="0">
        <v>9</v>
      </c>
      <c r="H281" s="0">
        <v>1</v>
      </c>
      <c r="I281" s="0">
        <v>4</v>
      </c>
      <c r="J281" s="0">
        <v>0</v>
      </c>
      <c r="K281" s="0">
        <v>0</v>
      </c>
      <c r="L281" s="0">
        <v>0</v>
      </c>
      <c r="M281" s="0">
        <v>0</v>
      </c>
      <c r="N281" s="0">
        <v>0</v>
      </c>
      <c r="O281" s="0">
        <v>0</v>
      </c>
      <c r="P281" s="0">
        <v>0</v>
      </c>
      <c r="Q281" s="0">
        <v>0</v>
      </c>
      <c r="R281" s="0">
        <v>0</v>
      </c>
      <c r="S281" s="0">
        <v>0</v>
      </c>
      <c r="T281" s="0" t="s">
        <v>34</v>
      </c>
      <c r="U281" s="0" t="s">
        <v>34</v>
      </c>
      <c r="V281" s="0" t="s">
        <v>882</v>
      </c>
      <c r="W281" s="11">
        <f>IF($V281="No","",ROUND((I281*w_Damage + N281*w_Poison + P281*w_Weaken*w_Horizon)*MIN(1+(G281-1)*w_OccEnemy,w_MaxEnemies) + (J281*w_Heal + K281*w_Shield + L281*w_Block + M281*w_Parry + O281*w_Strength*w_Horizon + S281*w_Combo)*MIN(1+(H281-1)*w_OccAlly,w_MaxAllies) + Q281*w_Draw + R281*w_Move,2))</f>
      </c>
      <c r="X281" s="11">
        <f>IF(W281="","",ROUND(W281/MAX(D281,1),2))</f>
      </c>
      <c r="Y281" s="11">
        <f>IF($V281="No","",ROUND((curve_Base+curve_Slope*D281)*IFERROR(VLOOKUP(E281,rarity_Mult,2,FALSE),1),2))</f>
      </c>
      <c r="Z281" s="11">
        <f>IF(OR(W281="",Y281=""),"",ROUND(W281-Y281,2))</f>
      </c>
      <c r="AA281" s="0">
        <f>IF(Z281="","",IF($V281="Partial","RIDER",IF(ABS(Z281)&lt;=Y281*tol_Pct,"OK",IF(Z281&gt;0,"OVER","UNDER"))))</f>
      </c>
      <c r="AB281" s="0" t="s">
        <v>34</v>
      </c>
      <c r="AC281" s="0">
        <f>IF(AND($V281&lt;&gt;"No",$E281="Common",NOT(ISNUMBER(SEARCH("Ideas",$F281)))),$W281,NA())</f>
      </c>
      <c r="AD281" s="0">
        <f>IF(AND($V281&lt;&gt;"No",$E281="Uncommon",NOT(ISNUMBER(SEARCH("Ideas",$F281)))),$W281,NA())</f>
      </c>
      <c r="AE281" s="0">
        <f>IF(AND($V281&lt;&gt;"No",$E281="Rare",NOT(ISNUMBER(SEARCH("Ideas",$F281)))),$W281,NA())</f>
      </c>
      <c r="AF281" s="0">
        <f>IF(AND($V281&lt;&gt;"No",$E281="Legendary",NOT(ISNUMBER(SEARCH("Ideas",$F281)))),$W281,NA())</f>
      </c>
      <c r="AG281" s="0">
        <f>IF(AND($V281&lt;&gt;"No",ISNUMBER(SEARCH("Knight",$C281)),NOT(ISNUMBER(SEARCH("Ideas",$F281)))),$X281,NA())</f>
      </c>
      <c r="AH281" s="0">
        <f>IF(AND($V281&lt;&gt;"No",ISNUMBER(SEARCH("Mage",$C281)),NOT(ISNUMBER(SEARCH("Ideas",$F281)))),$X281,NA())</f>
      </c>
      <c r="AI281" s="0">
        <f>IF(AND($V281&lt;&gt;"No",ISNUMBER(SEARCH("Rogue",$C281)),NOT(ISNUMBER(SEARCH("Ideas",$F281)))),$X281,NA())</f>
      </c>
      <c r="AJ281" s="0">
        <f>IF($V281&lt;&gt;"No",$Y281,NA())</f>
      </c>
      <c r="AK281" s="0">
        <f>IF(AND($V281&lt;&gt;"No",ISNUMBER(SEARCH("Ideas",$F281))),$W281,NA())</f>
      </c>
      <c r="AL281" s="0">
        <f>IF(AND($V281&lt;&gt;"No",ISNUMBER(SEARCH("Cleric",$C281)),NOT(ISNUMBER(SEARCH("Ideas",$F281)))),$X281,NA())</f>
      </c>
    </row>
    <row r="282">
      <c r="A282" s="0" t="s">
        <v>1262</v>
      </c>
      <c r="B282" s="0" t="s">
        <v>1262</v>
      </c>
      <c r="C282" s="0" t="s">
        <v>363</v>
      </c>
      <c r="D282" s="0">
        <v>0</v>
      </c>
      <c r="E282" s="0" t="s">
        <v>32</v>
      </c>
      <c r="F282" s="0" t="s">
        <v>1978</v>
      </c>
      <c r="G282" s="0">
        <v>1</v>
      </c>
      <c r="H282" s="0">
        <v>1</v>
      </c>
      <c r="I282" s="0">
        <v>0</v>
      </c>
      <c r="J282" s="0">
        <v>0</v>
      </c>
      <c r="K282" s="0">
        <v>0</v>
      </c>
      <c r="L282" s="0">
        <v>0</v>
      </c>
      <c r="M282" s="0">
        <v>0</v>
      </c>
      <c r="N282" s="0">
        <v>0</v>
      </c>
      <c r="O282" s="0">
        <v>0</v>
      </c>
      <c r="P282" s="0">
        <v>0</v>
      </c>
      <c r="Q282" s="0">
        <v>0</v>
      </c>
      <c r="R282" s="0">
        <v>1</v>
      </c>
      <c r="S282" s="0">
        <v>0</v>
      </c>
      <c r="T282" s="0" t="s">
        <v>34</v>
      </c>
      <c r="U282" s="0" t="s">
        <v>34</v>
      </c>
      <c r="V282" s="0" t="s">
        <v>882</v>
      </c>
      <c r="W282" s="11">
        <f>IF($V282="No","",ROUND((I282*w_Damage + N282*w_Poison + P282*w_Weaken*w_Horizon)*MIN(1+(G282-1)*w_OccEnemy,w_MaxEnemies) + (J282*w_Heal + K282*w_Shield + L282*w_Block + M282*w_Parry + O282*w_Strength*w_Horizon + S282*w_Combo)*MIN(1+(H282-1)*w_OccAlly,w_MaxAllies) + Q282*w_Draw + R282*w_Move,2))</f>
      </c>
      <c r="X282" s="11">
        <f>IF(W282="","",ROUND(W282/MAX(D282,1),2))</f>
      </c>
      <c r="Y282" s="11">
        <f>IF($V282="No","",ROUND((curve_Base+curve_Slope*D282)*IFERROR(VLOOKUP(E282,rarity_Mult,2,FALSE),1),2))</f>
      </c>
      <c r="Z282" s="11">
        <f>IF(OR(W282="",Y282=""),"",ROUND(W282-Y282,2))</f>
      </c>
      <c r="AA282" s="0">
        <f>IF(Z282="","",IF($V282="Partial","RIDER",IF(ABS(Z282)&lt;=Y282*tol_Pct,"OK",IF(Z282&gt;0,"OVER","UNDER"))))</f>
      </c>
      <c r="AB282" s="0" t="s">
        <v>34</v>
      </c>
      <c r="AC282" s="0">
        <f>IF(AND($V282&lt;&gt;"No",$E282="Common",NOT(ISNUMBER(SEARCH("Ideas",$F282)))),$W282,NA())</f>
      </c>
      <c r="AD282" s="0">
        <f>IF(AND($V282&lt;&gt;"No",$E282="Uncommon",NOT(ISNUMBER(SEARCH("Ideas",$F282)))),$W282,NA())</f>
      </c>
      <c r="AE282" s="0">
        <f>IF(AND($V282&lt;&gt;"No",$E282="Rare",NOT(ISNUMBER(SEARCH("Ideas",$F282)))),$W282,NA())</f>
      </c>
      <c r="AF282" s="0">
        <f>IF(AND($V282&lt;&gt;"No",$E282="Legendary",NOT(ISNUMBER(SEARCH("Ideas",$F282)))),$W282,NA())</f>
      </c>
      <c r="AG282" s="0">
        <f>IF(AND($V282&lt;&gt;"No",ISNUMBER(SEARCH("Knight",$C282)),NOT(ISNUMBER(SEARCH("Ideas",$F282)))),$X282,NA())</f>
      </c>
      <c r="AH282" s="0">
        <f>IF(AND($V282&lt;&gt;"No",ISNUMBER(SEARCH("Mage",$C282)),NOT(ISNUMBER(SEARCH("Ideas",$F282)))),$X282,NA())</f>
      </c>
      <c r="AI282" s="0">
        <f>IF(AND($V282&lt;&gt;"No",ISNUMBER(SEARCH("Rogue",$C282)),NOT(ISNUMBER(SEARCH("Ideas",$F282)))),$X282,NA())</f>
      </c>
      <c r="AJ282" s="0">
        <f>IF($V282&lt;&gt;"No",$Y282,NA())</f>
      </c>
      <c r="AK282" s="0">
        <f>IF(AND($V282&lt;&gt;"No",ISNUMBER(SEARCH("Ideas",$F282))),$W282,NA())</f>
      </c>
      <c r="AL282" s="0">
        <f>IF(AND($V282&lt;&gt;"No",ISNUMBER(SEARCH("Cleric",$C282)),NOT(ISNUMBER(SEARCH("Ideas",$F282)))),$X282,NA())</f>
      </c>
    </row>
    <row r="283">
      <c r="A283" s="0" t="s">
        <v>1264</v>
      </c>
      <c r="B283" s="0" t="s">
        <v>1264</v>
      </c>
      <c r="C283" s="0" t="s">
        <v>363</v>
      </c>
      <c r="D283" s="0">
        <v>1</v>
      </c>
      <c r="E283" s="0" t="s">
        <v>62</v>
      </c>
      <c r="F283" s="0" t="s">
        <v>1978</v>
      </c>
      <c r="G283" s="0">
        <v>1</v>
      </c>
      <c r="H283" s="0">
        <v>1</v>
      </c>
      <c r="I283" s="0">
        <v>0</v>
      </c>
      <c r="J283" s="0">
        <v>0</v>
      </c>
      <c r="K283" s="0">
        <v>0</v>
      </c>
      <c r="L283" s="0">
        <v>0</v>
      </c>
      <c r="M283" s="0">
        <v>0</v>
      </c>
      <c r="N283" s="0">
        <v>0</v>
      </c>
      <c r="O283" s="0">
        <v>0</v>
      </c>
      <c r="P283" s="0">
        <v>0</v>
      </c>
      <c r="Q283" s="0">
        <v>0</v>
      </c>
      <c r="R283" s="0">
        <v>1</v>
      </c>
      <c r="S283" s="0">
        <v>0</v>
      </c>
      <c r="T283" s="0" t="s">
        <v>34</v>
      </c>
      <c r="U283" s="0" t="s">
        <v>361</v>
      </c>
      <c r="V283" s="0" t="s">
        <v>1905</v>
      </c>
      <c r="W283" s="11">
        <f>IF($V283="No","",ROUND((I283*w_Damage + N283*w_Poison + P283*w_Weaken*w_Horizon)*MIN(1+(G283-1)*w_OccEnemy,w_MaxEnemies) + (J283*w_Heal + K283*w_Shield + L283*w_Block + M283*w_Parry + O283*w_Strength*w_Horizon + S283*w_Combo)*MIN(1+(H283-1)*w_OccAlly,w_MaxAllies) + Q283*w_Draw + R283*w_Move,2))</f>
      </c>
      <c r="X283" s="11">
        <f>IF(W283="","",ROUND(W283/MAX(D283,1),2))</f>
      </c>
      <c r="Y283" s="11">
        <f>IF($V283="No","",ROUND((curve_Base+curve_Slope*D283)*IFERROR(VLOOKUP(E283,rarity_Mult,2,FALSE),1),2))</f>
      </c>
      <c r="Z283" s="11">
        <f>IF(OR(W283="",Y283=""),"",ROUND(W283-Y283,2))</f>
      </c>
      <c r="AA283" s="0">
        <f>IF(Z283="","",IF($V283="Partial","RIDER",IF(ABS(Z283)&lt;=Y283*tol_Pct,"OK",IF(Z283&gt;0,"OVER","UNDER"))))</f>
      </c>
      <c r="AB283" s="0" t="s">
        <v>34</v>
      </c>
      <c r="AC283" s="0">
        <f>IF(AND($V283&lt;&gt;"No",$E283="Common",NOT(ISNUMBER(SEARCH("Ideas",$F283)))),$W283,NA())</f>
      </c>
      <c r="AD283" s="0">
        <f>IF(AND($V283&lt;&gt;"No",$E283="Uncommon",NOT(ISNUMBER(SEARCH("Ideas",$F283)))),$W283,NA())</f>
      </c>
      <c r="AE283" s="0">
        <f>IF(AND($V283&lt;&gt;"No",$E283="Rare",NOT(ISNUMBER(SEARCH("Ideas",$F283)))),$W283,NA())</f>
      </c>
      <c r="AF283" s="0">
        <f>IF(AND($V283&lt;&gt;"No",$E283="Legendary",NOT(ISNUMBER(SEARCH("Ideas",$F283)))),$W283,NA())</f>
      </c>
      <c r="AG283" s="0">
        <f>IF(AND($V283&lt;&gt;"No",ISNUMBER(SEARCH("Knight",$C283)),NOT(ISNUMBER(SEARCH("Ideas",$F283)))),$X283,NA())</f>
      </c>
      <c r="AH283" s="0">
        <f>IF(AND($V283&lt;&gt;"No",ISNUMBER(SEARCH("Mage",$C283)),NOT(ISNUMBER(SEARCH("Ideas",$F283)))),$X283,NA())</f>
      </c>
      <c r="AI283" s="0">
        <f>IF(AND($V283&lt;&gt;"No",ISNUMBER(SEARCH("Rogue",$C283)),NOT(ISNUMBER(SEARCH("Ideas",$F283)))),$X283,NA())</f>
      </c>
      <c r="AJ283" s="0">
        <f>IF($V283&lt;&gt;"No",$Y283,NA())</f>
      </c>
      <c r="AK283" s="0">
        <f>IF(AND($V283&lt;&gt;"No",ISNUMBER(SEARCH("Ideas",$F283))),$W283,NA())</f>
      </c>
      <c r="AL283" s="0">
        <f>IF(AND($V283&lt;&gt;"No",ISNUMBER(SEARCH("Cleric",$C283)),NOT(ISNUMBER(SEARCH("Ideas",$F283)))),$X283,NA())</f>
      </c>
    </row>
    <row r="284">
      <c r="A284" s="0" t="s">
        <v>1266</v>
      </c>
      <c r="B284" s="0" t="s">
        <v>1266</v>
      </c>
      <c r="C284" s="0" t="s">
        <v>363</v>
      </c>
      <c r="D284" s="0">
        <v>1</v>
      </c>
      <c r="E284" s="0" t="s">
        <v>81</v>
      </c>
      <c r="F284" s="0" t="s">
        <v>1978</v>
      </c>
      <c r="G284" s="0">
        <v>1</v>
      </c>
      <c r="H284" s="0">
        <v>1</v>
      </c>
      <c r="I284" s="0">
        <v>0</v>
      </c>
      <c r="J284" s="0">
        <v>0</v>
      </c>
      <c r="K284" s="0">
        <v>0</v>
      </c>
      <c r="L284" s="0">
        <v>0</v>
      </c>
      <c r="M284" s="0">
        <v>0</v>
      </c>
      <c r="N284" s="0">
        <v>0</v>
      </c>
      <c r="O284" s="0">
        <v>0</v>
      </c>
      <c r="P284" s="0">
        <v>0</v>
      </c>
      <c r="Q284" s="0">
        <v>1</v>
      </c>
      <c r="R284" s="0">
        <v>1</v>
      </c>
      <c r="S284" s="0">
        <v>0</v>
      </c>
      <c r="T284" s="0" t="s">
        <v>34</v>
      </c>
      <c r="U284" s="0" t="s">
        <v>34</v>
      </c>
      <c r="V284" s="0" t="s">
        <v>882</v>
      </c>
      <c r="W284" s="11">
        <f>IF($V284="No","",ROUND((I284*w_Damage + N284*w_Poison + P284*w_Weaken*w_Horizon)*MIN(1+(G284-1)*w_OccEnemy,w_MaxEnemies) + (J284*w_Heal + K284*w_Shield + L284*w_Block + M284*w_Parry + O284*w_Strength*w_Horizon + S284*w_Combo)*MIN(1+(H284-1)*w_OccAlly,w_MaxAllies) + Q284*w_Draw + R284*w_Move,2))</f>
      </c>
      <c r="X284" s="11">
        <f>IF(W284="","",ROUND(W284/MAX(D284,1),2))</f>
      </c>
      <c r="Y284" s="11">
        <f>IF($V284="No","",ROUND((curve_Base+curve_Slope*D284)*IFERROR(VLOOKUP(E284,rarity_Mult,2,FALSE),1),2))</f>
      </c>
      <c r="Z284" s="11">
        <f>IF(OR(W284="",Y284=""),"",ROUND(W284-Y284,2))</f>
      </c>
      <c r="AA284" s="0">
        <f>IF(Z284="","",IF($V284="Partial","RIDER",IF(ABS(Z284)&lt;=Y284*tol_Pct,"OK",IF(Z284&gt;0,"OVER","UNDER"))))</f>
      </c>
      <c r="AB284" s="0" t="s">
        <v>34</v>
      </c>
      <c r="AC284" s="0">
        <f>IF(AND($V284&lt;&gt;"No",$E284="Common",NOT(ISNUMBER(SEARCH("Ideas",$F284)))),$W284,NA())</f>
      </c>
      <c r="AD284" s="0">
        <f>IF(AND($V284&lt;&gt;"No",$E284="Uncommon",NOT(ISNUMBER(SEARCH("Ideas",$F284)))),$W284,NA())</f>
      </c>
      <c r="AE284" s="0">
        <f>IF(AND($V284&lt;&gt;"No",$E284="Rare",NOT(ISNUMBER(SEARCH("Ideas",$F284)))),$W284,NA())</f>
      </c>
      <c r="AF284" s="0">
        <f>IF(AND($V284&lt;&gt;"No",$E284="Legendary",NOT(ISNUMBER(SEARCH("Ideas",$F284)))),$W284,NA())</f>
      </c>
      <c r="AG284" s="0">
        <f>IF(AND($V284&lt;&gt;"No",ISNUMBER(SEARCH("Knight",$C284)),NOT(ISNUMBER(SEARCH("Ideas",$F284)))),$X284,NA())</f>
      </c>
      <c r="AH284" s="0">
        <f>IF(AND($V284&lt;&gt;"No",ISNUMBER(SEARCH("Mage",$C284)),NOT(ISNUMBER(SEARCH("Ideas",$F284)))),$X284,NA())</f>
      </c>
      <c r="AI284" s="0">
        <f>IF(AND($V284&lt;&gt;"No",ISNUMBER(SEARCH("Rogue",$C284)),NOT(ISNUMBER(SEARCH("Ideas",$F284)))),$X284,NA())</f>
      </c>
      <c r="AJ284" s="0">
        <f>IF($V284&lt;&gt;"No",$Y284,NA())</f>
      </c>
      <c r="AK284" s="0">
        <f>IF(AND($V284&lt;&gt;"No",ISNUMBER(SEARCH("Ideas",$F284))),$W284,NA())</f>
      </c>
      <c r="AL284" s="0">
        <f>IF(AND($V284&lt;&gt;"No",ISNUMBER(SEARCH("Cleric",$C284)),NOT(ISNUMBER(SEARCH("Ideas",$F284)))),$X284,NA())</f>
      </c>
    </row>
    <row r="285">
      <c r="A285" s="0" t="s">
        <v>1268</v>
      </c>
      <c r="B285" s="0" t="s">
        <v>1268</v>
      </c>
      <c r="C285" s="0" t="s">
        <v>363</v>
      </c>
      <c r="D285" s="0">
        <v>1</v>
      </c>
      <c r="E285" s="0" t="s">
        <v>32</v>
      </c>
      <c r="F285" s="0" t="s">
        <v>1978</v>
      </c>
      <c r="G285" s="0">
        <v>1</v>
      </c>
      <c r="H285" s="0">
        <v>1</v>
      </c>
      <c r="I285" s="0">
        <v>3</v>
      </c>
      <c r="J285" s="0">
        <v>0</v>
      </c>
      <c r="K285" s="0">
        <v>0</v>
      </c>
      <c r="L285" s="0">
        <v>0</v>
      </c>
      <c r="M285" s="0">
        <v>0</v>
      </c>
      <c r="N285" s="0">
        <v>0</v>
      </c>
      <c r="O285" s="0">
        <v>0</v>
      </c>
      <c r="P285" s="0">
        <v>0</v>
      </c>
      <c r="Q285" s="0">
        <v>0</v>
      </c>
      <c r="R285" s="0">
        <v>0</v>
      </c>
      <c r="S285" s="0">
        <v>0</v>
      </c>
      <c r="T285" s="0" t="s">
        <v>34</v>
      </c>
      <c r="U285" s="0" t="s">
        <v>1803</v>
      </c>
      <c r="V285" s="0" t="s">
        <v>1905</v>
      </c>
      <c r="W285" s="11">
        <f>IF($V285="No","",ROUND((I285*w_Damage + N285*w_Poison + P285*w_Weaken*w_Horizon)*MIN(1+(G285-1)*w_OccEnemy,w_MaxEnemies) + (J285*w_Heal + K285*w_Shield + L285*w_Block + M285*w_Parry + O285*w_Strength*w_Horizon + S285*w_Combo)*MIN(1+(H285-1)*w_OccAlly,w_MaxAllies) + Q285*w_Draw + R285*w_Move,2))</f>
      </c>
      <c r="X285" s="11">
        <f>IF(W285="","",ROUND(W285/MAX(D285,1),2))</f>
      </c>
      <c r="Y285" s="11">
        <f>IF($V285="No","",ROUND((curve_Base+curve_Slope*D285)*IFERROR(VLOOKUP(E285,rarity_Mult,2,FALSE),1),2))</f>
      </c>
      <c r="Z285" s="11">
        <f>IF(OR(W285="",Y285=""),"",ROUND(W285-Y285,2))</f>
      </c>
      <c r="AA285" s="0">
        <f>IF(Z285="","",IF($V285="Partial","RIDER",IF(ABS(Z285)&lt;=Y285*tol_Pct,"OK",IF(Z285&gt;0,"OVER","UNDER"))))</f>
      </c>
      <c r="AB285" s="0" t="s">
        <v>34</v>
      </c>
      <c r="AC285" s="0">
        <f>IF(AND($V285&lt;&gt;"No",$E285="Common",NOT(ISNUMBER(SEARCH("Ideas",$F285)))),$W285,NA())</f>
      </c>
      <c r="AD285" s="0">
        <f>IF(AND($V285&lt;&gt;"No",$E285="Uncommon",NOT(ISNUMBER(SEARCH("Ideas",$F285)))),$W285,NA())</f>
      </c>
      <c r="AE285" s="0">
        <f>IF(AND($V285&lt;&gt;"No",$E285="Rare",NOT(ISNUMBER(SEARCH("Ideas",$F285)))),$W285,NA())</f>
      </c>
      <c r="AF285" s="0">
        <f>IF(AND($V285&lt;&gt;"No",$E285="Legendary",NOT(ISNUMBER(SEARCH("Ideas",$F285)))),$W285,NA())</f>
      </c>
      <c r="AG285" s="0">
        <f>IF(AND($V285&lt;&gt;"No",ISNUMBER(SEARCH("Knight",$C285)),NOT(ISNUMBER(SEARCH("Ideas",$F285)))),$X285,NA())</f>
      </c>
      <c r="AH285" s="0">
        <f>IF(AND($V285&lt;&gt;"No",ISNUMBER(SEARCH("Mage",$C285)),NOT(ISNUMBER(SEARCH("Ideas",$F285)))),$X285,NA())</f>
      </c>
      <c r="AI285" s="0">
        <f>IF(AND($V285&lt;&gt;"No",ISNUMBER(SEARCH("Rogue",$C285)),NOT(ISNUMBER(SEARCH("Ideas",$F285)))),$X285,NA())</f>
      </c>
      <c r="AJ285" s="0">
        <f>IF($V285&lt;&gt;"No",$Y285,NA())</f>
      </c>
      <c r="AK285" s="0">
        <f>IF(AND($V285&lt;&gt;"No",ISNUMBER(SEARCH("Ideas",$F285))),$W285,NA())</f>
      </c>
      <c r="AL285" s="0">
        <f>IF(AND($V285&lt;&gt;"No",ISNUMBER(SEARCH("Cleric",$C285)),NOT(ISNUMBER(SEARCH("Ideas",$F285)))),$X285,NA())</f>
      </c>
    </row>
    <row r="286">
      <c r="A286" s="0" t="s">
        <v>1272</v>
      </c>
      <c r="B286" s="0" t="s">
        <v>1270</v>
      </c>
      <c r="C286" s="0" t="s">
        <v>363</v>
      </c>
      <c r="D286" s="0">
        <v>2</v>
      </c>
      <c r="E286" s="0" t="s">
        <v>62</v>
      </c>
      <c r="F286" s="0" t="s">
        <v>1978</v>
      </c>
      <c r="G286" s="0">
        <v>5</v>
      </c>
      <c r="H286" s="0">
        <v>1</v>
      </c>
      <c r="I286" s="0">
        <v>0</v>
      </c>
      <c r="J286" s="0">
        <v>0</v>
      </c>
      <c r="K286" s="0">
        <v>0</v>
      </c>
      <c r="L286" s="0">
        <v>0</v>
      </c>
      <c r="M286" s="0">
        <v>0</v>
      </c>
      <c r="N286" s="0">
        <v>0</v>
      </c>
      <c r="O286" s="0">
        <v>0</v>
      </c>
      <c r="P286" s="0">
        <v>2</v>
      </c>
      <c r="Q286" s="0">
        <v>0</v>
      </c>
      <c r="R286" s="0">
        <v>0</v>
      </c>
      <c r="S286" s="0">
        <v>0</v>
      </c>
      <c r="T286" s="0" t="s">
        <v>34</v>
      </c>
      <c r="U286" s="0" t="s">
        <v>361</v>
      </c>
      <c r="V286" s="0" t="s">
        <v>1905</v>
      </c>
      <c r="W286" s="11">
        <f>IF($V286="No","",ROUND((I286*w_Damage + N286*w_Poison + P286*w_Weaken*w_Horizon)*MIN(1+(G286-1)*w_OccEnemy,w_MaxEnemies) + (J286*w_Heal + K286*w_Shield + L286*w_Block + M286*w_Parry + O286*w_Strength*w_Horizon + S286*w_Combo)*MIN(1+(H286-1)*w_OccAlly,w_MaxAllies) + Q286*w_Draw + R286*w_Move,2))</f>
      </c>
      <c r="X286" s="11">
        <f>IF(W286="","",ROUND(W286/MAX(D286,1),2))</f>
      </c>
      <c r="Y286" s="11">
        <f>IF($V286="No","",ROUND((curve_Base+curve_Slope*D286)*IFERROR(VLOOKUP(E286,rarity_Mult,2,FALSE),1),2))</f>
      </c>
      <c r="Z286" s="11">
        <f>IF(OR(W286="",Y286=""),"",ROUND(W286-Y286,2))</f>
      </c>
      <c r="AA286" s="0">
        <f>IF(Z286="","",IF($V286="Partial","RIDER",IF(ABS(Z286)&lt;=Y286*tol_Pct,"OK",IF(Z286&gt;0,"OVER","UNDER"))))</f>
      </c>
      <c r="AB286" s="0" t="s">
        <v>34</v>
      </c>
      <c r="AC286" s="0">
        <f>IF(AND($V286&lt;&gt;"No",$E286="Common",NOT(ISNUMBER(SEARCH("Ideas",$F286)))),$W286,NA())</f>
      </c>
      <c r="AD286" s="0">
        <f>IF(AND($V286&lt;&gt;"No",$E286="Uncommon",NOT(ISNUMBER(SEARCH("Ideas",$F286)))),$W286,NA())</f>
      </c>
      <c r="AE286" s="0">
        <f>IF(AND($V286&lt;&gt;"No",$E286="Rare",NOT(ISNUMBER(SEARCH("Ideas",$F286)))),$W286,NA())</f>
      </c>
      <c r="AF286" s="0">
        <f>IF(AND($V286&lt;&gt;"No",$E286="Legendary",NOT(ISNUMBER(SEARCH("Ideas",$F286)))),$W286,NA())</f>
      </c>
      <c r="AG286" s="0">
        <f>IF(AND($V286&lt;&gt;"No",ISNUMBER(SEARCH("Knight",$C286)),NOT(ISNUMBER(SEARCH("Ideas",$F286)))),$X286,NA())</f>
      </c>
      <c r="AH286" s="0">
        <f>IF(AND($V286&lt;&gt;"No",ISNUMBER(SEARCH("Mage",$C286)),NOT(ISNUMBER(SEARCH("Ideas",$F286)))),$X286,NA())</f>
      </c>
      <c r="AI286" s="0">
        <f>IF(AND($V286&lt;&gt;"No",ISNUMBER(SEARCH("Rogue",$C286)),NOT(ISNUMBER(SEARCH("Ideas",$F286)))),$X286,NA())</f>
      </c>
      <c r="AJ286" s="0">
        <f>IF($V286&lt;&gt;"No",$Y286,NA())</f>
      </c>
      <c r="AK286" s="0">
        <f>IF(AND($V286&lt;&gt;"No",ISNUMBER(SEARCH("Ideas",$F286))),$W286,NA())</f>
      </c>
      <c r="AL286" s="0">
        <f>IF(AND($V286&lt;&gt;"No",ISNUMBER(SEARCH("Cleric",$C286)),NOT(ISNUMBER(SEARCH("Ideas",$F286)))),$X286,NA())</f>
      </c>
    </row>
    <row r="287">
      <c r="A287" s="0" t="s">
        <v>1298</v>
      </c>
      <c r="B287" s="0" t="s">
        <v>1295</v>
      </c>
      <c r="C287" s="0" t="s">
        <v>363</v>
      </c>
      <c r="D287" s="0">
        <v>2</v>
      </c>
      <c r="E287" s="0" t="s">
        <v>32</v>
      </c>
      <c r="F287" s="0" t="s">
        <v>1978</v>
      </c>
      <c r="G287" s="0">
        <v>1</v>
      </c>
      <c r="H287" s="0">
        <v>1</v>
      </c>
      <c r="I287" s="0">
        <v>0</v>
      </c>
      <c r="J287" s="0">
        <v>0</v>
      </c>
      <c r="K287" s="0">
        <v>0</v>
      </c>
      <c r="L287" s="0">
        <v>0</v>
      </c>
      <c r="M287" s="0">
        <v>0</v>
      </c>
      <c r="N287" s="0">
        <v>21</v>
      </c>
      <c r="O287" s="0">
        <v>0</v>
      </c>
      <c r="P287" s="0">
        <v>0</v>
      </c>
      <c r="Q287" s="0">
        <v>0</v>
      </c>
      <c r="R287" s="0">
        <v>0</v>
      </c>
      <c r="S287" s="0">
        <v>0</v>
      </c>
      <c r="T287" s="0" t="s">
        <v>34</v>
      </c>
      <c r="U287" s="0" t="s">
        <v>34</v>
      </c>
      <c r="V287" s="0" t="s">
        <v>882</v>
      </c>
      <c r="W287" s="11">
        <f>IF($V287="No","",ROUND((I287*w_Damage + N287*w_Poison + P287*w_Weaken*w_Horizon)*MIN(1+(G287-1)*w_OccEnemy,w_MaxEnemies) + (J287*w_Heal + K287*w_Shield + L287*w_Block + M287*w_Parry + O287*w_Strength*w_Horizon + S287*w_Combo)*MIN(1+(H287-1)*w_OccAlly,w_MaxAllies) + Q287*w_Draw + R287*w_Move,2))</f>
      </c>
      <c r="X287" s="11">
        <f>IF(W287="","",ROUND(W287/MAX(D287,1),2))</f>
      </c>
      <c r="Y287" s="11">
        <f>IF($V287="No","",ROUND((curve_Base+curve_Slope*D287)*IFERROR(VLOOKUP(E287,rarity_Mult,2,FALSE),1),2))</f>
      </c>
      <c r="Z287" s="11">
        <f>IF(OR(W287="",Y287=""),"",ROUND(W287-Y287,2))</f>
      </c>
      <c r="AA287" s="0">
        <f>IF(Z287="","",IF($V287="Partial","RIDER",IF(ABS(Z287)&lt;=Y287*tol_Pct,"OK",IF(Z287&gt;0,"OVER","UNDER"))))</f>
      </c>
      <c r="AB287" s="0" t="s">
        <v>34</v>
      </c>
      <c r="AC287" s="0">
        <f>IF(AND($V287&lt;&gt;"No",$E287="Common",NOT(ISNUMBER(SEARCH("Ideas",$F287)))),$W287,NA())</f>
      </c>
      <c r="AD287" s="0">
        <f>IF(AND($V287&lt;&gt;"No",$E287="Uncommon",NOT(ISNUMBER(SEARCH("Ideas",$F287)))),$W287,NA())</f>
      </c>
      <c r="AE287" s="0">
        <f>IF(AND($V287&lt;&gt;"No",$E287="Rare",NOT(ISNUMBER(SEARCH("Ideas",$F287)))),$W287,NA())</f>
      </c>
      <c r="AF287" s="0">
        <f>IF(AND($V287&lt;&gt;"No",$E287="Legendary",NOT(ISNUMBER(SEARCH("Ideas",$F287)))),$W287,NA())</f>
      </c>
      <c r="AG287" s="0">
        <f>IF(AND($V287&lt;&gt;"No",ISNUMBER(SEARCH("Knight",$C287)),NOT(ISNUMBER(SEARCH("Ideas",$F287)))),$X287,NA())</f>
      </c>
      <c r="AH287" s="0">
        <f>IF(AND($V287&lt;&gt;"No",ISNUMBER(SEARCH("Mage",$C287)),NOT(ISNUMBER(SEARCH("Ideas",$F287)))),$X287,NA())</f>
      </c>
      <c r="AI287" s="0">
        <f>IF(AND($V287&lt;&gt;"No",ISNUMBER(SEARCH("Rogue",$C287)),NOT(ISNUMBER(SEARCH("Ideas",$F287)))),$X287,NA())</f>
      </c>
      <c r="AJ287" s="0">
        <f>IF($V287&lt;&gt;"No",$Y287,NA())</f>
      </c>
      <c r="AK287" s="0">
        <f>IF(AND($V287&lt;&gt;"No",ISNUMBER(SEARCH("Ideas",$F287))),$W287,NA())</f>
      </c>
      <c r="AL287" s="0">
        <f>IF(AND($V287&lt;&gt;"No",ISNUMBER(SEARCH("Cleric",$C287)),NOT(ISNUMBER(SEARCH("Ideas",$F287)))),$X287,NA())</f>
      </c>
    </row>
    <row r="288">
      <c r="A288" s="0" t="s">
        <v>1301</v>
      </c>
      <c r="B288" s="0" t="s">
        <v>1299</v>
      </c>
      <c r="C288" s="0" t="s">
        <v>363</v>
      </c>
      <c r="D288" s="0">
        <v>2</v>
      </c>
      <c r="E288" s="0" t="s">
        <v>62</v>
      </c>
      <c r="F288" s="0" t="s">
        <v>1978</v>
      </c>
      <c r="G288" s="0">
        <v>1</v>
      </c>
      <c r="H288" s="0">
        <v>1</v>
      </c>
      <c r="I288" s="0">
        <v>0</v>
      </c>
      <c r="J288" s="0">
        <v>0</v>
      </c>
      <c r="K288" s="0">
        <v>0</v>
      </c>
      <c r="L288" s="0">
        <v>0</v>
      </c>
      <c r="M288" s="0">
        <v>0</v>
      </c>
      <c r="N288" s="0">
        <v>6</v>
      </c>
      <c r="O288" s="0">
        <v>0</v>
      </c>
      <c r="P288" s="0">
        <v>3</v>
      </c>
      <c r="Q288" s="0">
        <v>0</v>
      </c>
      <c r="R288" s="0">
        <v>0</v>
      </c>
      <c r="S288" s="0">
        <v>0</v>
      </c>
      <c r="T288" s="0" t="s">
        <v>34</v>
      </c>
      <c r="U288" s="0" t="s">
        <v>34</v>
      </c>
      <c r="V288" s="0" t="s">
        <v>882</v>
      </c>
      <c r="W288" s="11">
        <f>IF($V288="No","",ROUND((I288*w_Damage + N288*w_Poison + P288*w_Weaken*w_Horizon)*MIN(1+(G288-1)*w_OccEnemy,w_MaxEnemies) + (J288*w_Heal + K288*w_Shield + L288*w_Block + M288*w_Parry + O288*w_Strength*w_Horizon + S288*w_Combo)*MIN(1+(H288-1)*w_OccAlly,w_MaxAllies) + Q288*w_Draw + R288*w_Move,2))</f>
      </c>
      <c r="X288" s="11">
        <f>IF(W288="","",ROUND(W288/MAX(D288,1),2))</f>
      </c>
      <c r="Y288" s="11">
        <f>IF($V288="No","",ROUND((curve_Base+curve_Slope*D288)*IFERROR(VLOOKUP(E288,rarity_Mult,2,FALSE),1),2))</f>
      </c>
      <c r="Z288" s="11">
        <f>IF(OR(W288="",Y288=""),"",ROUND(W288-Y288,2))</f>
      </c>
      <c r="AA288" s="0">
        <f>IF(Z288="","",IF($V288="Partial","RIDER",IF(ABS(Z288)&lt;=Y288*tol_Pct,"OK",IF(Z288&gt;0,"OVER","UNDER"))))</f>
      </c>
      <c r="AB288" s="0" t="s">
        <v>34</v>
      </c>
      <c r="AC288" s="0">
        <f>IF(AND($V288&lt;&gt;"No",$E288="Common",NOT(ISNUMBER(SEARCH("Ideas",$F288)))),$W288,NA())</f>
      </c>
      <c r="AD288" s="0">
        <f>IF(AND($V288&lt;&gt;"No",$E288="Uncommon",NOT(ISNUMBER(SEARCH("Ideas",$F288)))),$W288,NA())</f>
      </c>
      <c r="AE288" s="0">
        <f>IF(AND($V288&lt;&gt;"No",$E288="Rare",NOT(ISNUMBER(SEARCH("Ideas",$F288)))),$W288,NA())</f>
      </c>
      <c r="AF288" s="0">
        <f>IF(AND($V288&lt;&gt;"No",$E288="Legendary",NOT(ISNUMBER(SEARCH("Ideas",$F288)))),$W288,NA())</f>
      </c>
      <c r="AG288" s="0">
        <f>IF(AND($V288&lt;&gt;"No",ISNUMBER(SEARCH("Knight",$C288)),NOT(ISNUMBER(SEARCH("Ideas",$F288)))),$X288,NA())</f>
      </c>
      <c r="AH288" s="0">
        <f>IF(AND($V288&lt;&gt;"No",ISNUMBER(SEARCH("Mage",$C288)),NOT(ISNUMBER(SEARCH("Ideas",$F288)))),$X288,NA())</f>
      </c>
      <c r="AI288" s="0">
        <f>IF(AND($V288&lt;&gt;"No",ISNUMBER(SEARCH("Rogue",$C288)),NOT(ISNUMBER(SEARCH("Ideas",$F288)))),$X288,NA())</f>
      </c>
      <c r="AJ288" s="0">
        <f>IF($V288&lt;&gt;"No",$Y288,NA())</f>
      </c>
      <c r="AK288" s="0">
        <f>IF(AND($V288&lt;&gt;"No",ISNUMBER(SEARCH("Ideas",$F288))),$W288,NA())</f>
      </c>
      <c r="AL288" s="0">
        <f>IF(AND($V288&lt;&gt;"No",ISNUMBER(SEARCH("Cleric",$C288)),NOT(ISNUMBER(SEARCH("Ideas",$F288)))),$X288,NA())</f>
      </c>
    </row>
    <row r="289">
      <c r="A289" s="0" t="s">
        <v>1302</v>
      </c>
      <c r="B289" s="0" t="s">
        <v>1302</v>
      </c>
      <c r="C289" s="0" t="s">
        <v>363</v>
      </c>
      <c r="D289" s="0">
        <v>2</v>
      </c>
      <c r="E289" s="0" t="s">
        <v>62</v>
      </c>
      <c r="F289" s="0" t="s">
        <v>1978</v>
      </c>
      <c r="G289" s="0">
        <v>1</v>
      </c>
      <c r="H289" s="0">
        <v>1</v>
      </c>
      <c r="I289" s="0">
        <v>5</v>
      </c>
      <c r="J289" s="0">
        <v>0</v>
      </c>
      <c r="K289" s="0">
        <v>0</v>
      </c>
      <c r="L289" s="0">
        <v>0</v>
      </c>
      <c r="M289" s="0">
        <v>0</v>
      </c>
      <c r="N289" s="0">
        <v>10</v>
      </c>
      <c r="O289" s="0">
        <v>0</v>
      </c>
      <c r="P289" s="0">
        <v>0</v>
      </c>
      <c r="Q289" s="0">
        <v>0</v>
      </c>
      <c r="R289" s="0">
        <v>0</v>
      </c>
      <c r="S289" s="0">
        <v>0</v>
      </c>
      <c r="T289" s="0" t="s">
        <v>34</v>
      </c>
      <c r="U289" s="0" t="s">
        <v>34</v>
      </c>
      <c r="V289" s="0" t="s">
        <v>882</v>
      </c>
      <c r="W289" s="11">
        <f>IF($V289="No","",ROUND((I289*w_Damage + N289*w_Poison + P289*w_Weaken*w_Horizon)*MIN(1+(G289-1)*w_OccEnemy,w_MaxEnemies) + (J289*w_Heal + K289*w_Shield + L289*w_Block + M289*w_Parry + O289*w_Strength*w_Horizon + S289*w_Combo)*MIN(1+(H289-1)*w_OccAlly,w_MaxAllies) + Q289*w_Draw + R289*w_Move,2))</f>
      </c>
      <c r="X289" s="11">
        <f>IF(W289="","",ROUND(W289/MAX(D289,1),2))</f>
      </c>
      <c r="Y289" s="11">
        <f>IF($V289="No","",ROUND((curve_Base+curve_Slope*D289)*IFERROR(VLOOKUP(E289,rarity_Mult,2,FALSE),1),2))</f>
      </c>
      <c r="Z289" s="11">
        <f>IF(OR(W289="",Y289=""),"",ROUND(W289-Y289,2))</f>
      </c>
      <c r="AA289" s="0">
        <f>IF(Z289="","",IF($V289="Partial","RIDER",IF(ABS(Z289)&lt;=Y289*tol_Pct,"OK",IF(Z289&gt;0,"OVER","UNDER"))))</f>
      </c>
      <c r="AB289" s="0" t="s">
        <v>34</v>
      </c>
      <c r="AC289" s="0">
        <f>IF(AND($V289&lt;&gt;"No",$E289="Common",NOT(ISNUMBER(SEARCH("Ideas",$F289)))),$W289,NA())</f>
      </c>
      <c r="AD289" s="0">
        <f>IF(AND($V289&lt;&gt;"No",$E289="Uncommon",NOT(ISNUMBER(SEARCH("Ideas",$F289)))),$W289,NA())</f>
      </c>
      <c r="AE289" s="0">
        <f>IF(AND($V289&lt;&gt;"No",$E289="Rare",NOT(ISNUMBER(SEARCH("Ideas",$F289)))),$W289,NA())</f>
      </c>
      <c r="AF289" s="0">
        <f>IF(AND($V289&lt;&gt;"No",$E289="Legendary",NOT(ISNUMBER(SEARCH("Ideas",$F289)))),$W289,NA())</f>
      </c>
      <c r="AG289" s="0">
        <f>IF(AND($V289&lt;&gt;"No",ISNUMBER(SEARCH("Knight",$C289)),NOT(ISNUMBER(SEARCH("Ideas",$F289)))),$X289,NA())</f>
      </c>
      <c r="AH289" s="0">
        <f>IF(AND($V289&lt;&gt;"No",ISNUMBER(SEARCH("Mage",$C289)),NOT(ISNUMBER(SEARCH("Ideas",$F289)))),$X289,NA())</f>
      </c>
      <c r="AI289" s="0">
        <f>IF(AND($V289&lt;&gt;"No",ISNUMBER(SEARCH("Rogue",$C289)),NOT(ISNUMBER(SEARCH("Ideas",$F289)))),$X289,NA())</f>
      </c>
      <c r="AJ289" s="0">
        <f>IF($V289&lt;&gt;"No",$Y289,NA())</f>
      </c>
      <c r="AK289" s="0">
        <f>IF(AND($V289&lt;&gt;"No",ISNUMBER(SEARCH("Ideas",$F289))),$W289,NA())</f>
      </c>
      <c r="AL289" s="0">
        <f>IF(AND($V289&lt;&gt;"No",ISNUMBER(SEARCH("Cleric",$C289)),NOT(ISNUMBER(SEARCH("Ideas",$F289)))),$X289,NA())</f>
      </c>
    </row>
    <row r="290">
      <c r="A290" s="0" t="s">
        <v>1306</v>
      </c>
      <c r="B290" s="0" t="s">
        <v>1304</v>
      </c>
      <c r="C290" s="0" t="s">
        <v>363</v>
      </c>
      <c r="D290" s="0">
        <v>2</v>
      </c>
      <c r="E290" s="0" t="s">
        <v>62</v>
      </c>
      <c r="F290" s="0" t="s">
        <v>1978</v>
      </c>
      <c r="G290" s="0">
        <v>1</v>
      </c>
      <c r="H290" s="0">
        <v>1</v>
      </c>
      <c r="I290" s="0">
        <v>3</v>
      </c>
      <c r="J290" s="0">
        <v>0</v>
      </c>
      <c r="K290" s="0">
        <v>0</v>
      </c>
      <c r="L290" s="0">
        <v>0</v>
      </c>
      <c r="M290" s="0">
        <v>0</v>
      </c>
      <c r="N290" s="0">
        <v>0</v>
      </c>
      <c r="O290" s="0">
        <v>0</v>
      </c>
      <c r="P290" s="0">
        <v>0</v>
      </c>
      <c r="Q290" s="0">
        <v>0</v>
      </c>
      <c r="R290" s="0">
        <v>0</v>
      </c>
      <c r="S290" s="0">
        <v>1</v>
      </c>
      <c r="T290" s="0" t="s">
        <v>34</v>
      </c>
      <c r="U290" s="0" t="s">
        <v>34</v>
      </c>
      <c r="V290" s="0" t="s">
        <v>882</v>
      </c>
      <c r="W290" s="11">
        <f>IF($V290="No","",ROUND((I290*w_Damage + N290*w_Poison + P290*w_Weaken*w_Horizon)*MIN(1+(G290-1)*w_OccEnemy,w_MaxEnemies) + (J290*w_Heal + K290*w_Shield + L290*w_Block + M290*w_Parry + O290*w_Strength*w_Horizon + S290*w_Combo)*MIN(1+(H290-1)*w_OccAlly,w_MaxAllies) + Q290*w_Draw + R290*w_Move,2))</f>
      </c>
      <c r="X290" s="11">
        <f>IF(W290="","",ROUND(W290/MAX(D290,1),2))</f>
      </c>
      <c r="Y290" s="11">
        <f>IF($V290="No","",ROUND((curve_Base+curve_Slope*D290)*IFERROR(VLOOKUP(E290,rarity_Mult,2,FALSE),1),2))</f>
      </c>
      <c r="Z290" s="11">
        <f>IF(OR(W290="",Y290=""),"",ROUND(W290-Y290,2))</f>
      </c>
      <c r="AA290" s="0">
        <f>IF(Z290="","",IF($V290="Partial","RIDER",IF(ABS(Z290)&lt;=Y290*tol_Pct,"OK",IF(Z290&gt;0,"OVER","UNDER"))))</f>
      </c>
      <c r="AB290" s="0" t="s">
        <v>34</v>
      </c>
      <c r="AC290" s="0">
        <f>IF(AND($V290&lt;&gt;"No",$E290="Common",NOT(ISNUMBER(SEARCH("Ideas",$F290)))),$W290,NA())</f>
      </c>
      <c r="AD290" s="0">
        <f>IF(AND($V290&lt;&gt;"No",$E290="Uncommon",NOT(ISNUMBER(SEARCH("Ideas",$F290)))),$W290,NA())</f>
      </c>
      <c r="AE290" s="0">
        <f>IF(AND($V290&lt;&gt;"No",$E290="Rare",NOT(ISNUMBER(SEARCH("Ideas",$F290)))),$W290,NA())</f>
      </c>
      <c r="AF290" s="0">
        <f>IF(AND($V290&lt;&gt;"No",$E290="Legendary",NOT(ISNUMBER(SEARCH("Ideas",$F290)))),$W290,NA())</f>
      </c>
      <c r="AG290" s="0">
        <f>IF(AND($V290&lt;&gt;"No",ISNUMBER(SEARCH("Knight",$C290)),NOT(ISNUMBER(SEARCH("Ideas",$F290)))),$X290,NA())</f>
      </c>
      <c r="AH290" s="0">
        <f>IF(AND($V290&lt;&gt;"No",ISNUMBER(SEARCH("Mage",$C290)),NOT(ISNUMBER(SEARCH("Ideas",$F290)))),$X290,NA())</f>
      </c>
      <c r="AI290" s="0">
        <f>IF(AND($V290&lt;&gt;"No",ISNUMBER(SEARCH("Rogue",$C290)),NOT(ISNUMBER(SEARCH("Ideas",$F290)))),$X290,NA())</f>
      </c>
      <c r="AJ290" s="0">
        <f>IF($V290&lt;&gt;"No",$Y290,NA())</f>
      </c>
      <c r="AK290" s="0">
        <f>IF(AND($V290&lt;&gt;"No",ISNUMBER(SEARCH("Ideas",$F290))),$W290,NA())</f>
      </c>
      <c r="AL290" s="0">
        <f>IF(AND($V290&lt;&gt;"No",ISNUMBER(SEARCH("Cleric",$C290)),NOT(ISNUMBER(SEARCH("Ideas",$F290)))),$X290,NA())</f>
      </c>
    </row>
    <row r="291">
      <c r="A291" s="0" t="s">
        <v>1307</v>
      </c>
      <c r="B291" s="0" t="s">
        <v>1307</v>
      </c>
      <c r="C291" s="0" t="s">
        <v>363</v>
      </c>
      <c r="D291" s="0">
        <v>1</v>
      </c>
      <c r="E291" s="0" t="s">
        <v>81</v>
      </c>
      <c r="F291" s="0" t="s">
        <v>1978</v>
      </c>
      <c r="G291" s="0">
        <v>1</v>
      </c>
      <c r="H291" s="0">
        <v>1</v>
      </c>
      <c r="I291" s="0">
        <v>0</v>
      </c>
      <c r="J291" s="0">
        <v>0</v>
      </c>
      <c r="K291" s="0">
        <v>0</v>
      </c>
      <c r="L291" s="0">
        <v>0</v>
      </c>
      <c r="M291" s="0">
        <v>0</v>
      </c>
      <c r="N291" s="0">
        <v>0</v>
      </c>
      <c r="O291" s="0">
        <v>2</v>
      </c>
      <c r="P291" s="0">
        <v>0</v>
      </c>
      <c r="Q291" s="0">
        <v>0</v>
      </c>
      <c r="R291" s="0">
        <v>0</v>
      </c>
      <c r="S291" s="0">
        <v>0</v>
      </c>
      <c r="T291" s="0" t="s">
        <v>34</v>
      </c>
      <c r="U291" s="0" t="s">
        <v>34</v>
      </c>
      <c r="V291" s="0" t="s">
        <v>882</v>
      </c>
      <c r="W291" s="11">
        <f>IF($V291="No","",ROUND((I291*w_Damage + N291*w_Poison + P291*w_Weaken*w_Horizon)*MIN(1+(G291-1)*w_OccEnemy,w_MaxEnemies) + (J291*w_Heal + K291*w_Shield + L291*w_Block + M291*w_Parry + O291*w_Strength*w_Horizon + S291*w_Combo)*MIN(1+(H291-1)*w_OccAlly,w_MaxAllies) + Q291*w_Draw + R291*w_Move,2))</f>
      </c>
      <c r="X291" s="11">
        <f>IF(W291="","",ROUND(W291/MAX(D291,1),2))</f>
      </c>
      <c r="Y291" s="11">
        <f>IF($V291="No","",ROUND((curve_Base+curve_Slope*D291)*IFERROR(VLOOKUP(E291,rarity_Mult,2,FALSE),1),2))</f>
      </c>
      <c r="Z291" s="11">
        <f>IF(OR(W291="",Y291=""),"",ROUND(W291-Y291,2))</f>
      </c>
      <c r="AA291" s="0">
        <f>IF(Z291="","",IF($V291="Partial","RIDER",IF(ABS(Z291)&lt;=Y291*tol_Pct,"OK",IF(Z291&gt;0,"OVER","UNDER"))))</f>
      </c>
      <c r="AB291" s="0" t="s">
        <v>34</v>
      </c>
      <c r="AC291" s="0">
        <f>IF(AND($V291&lt;&gt;"No",$E291="Common",NOT(ISNUMBER(SEARCH("Ideas",$F291)))),$W291,NA())</f>
      </c>
      <c r="AD291" s="0">
        <f>IF(AND($V291&lt;&gt;"No",$E291="Uncommon",NOT(ISNUMBER(SEARCH("Ideas",$F291)))),$W291,NA())</f>
      </c>
      <c r="AE291" s="0">
        <f>IF(AND($V291&lt;&gt;"No",$E291="Rare",NOT(ISNUMBER(SEARCH("Ideas",$F291)))),$W291,NA())</f>
      </c>
      <c r="AF291" s="0">
        <f>IF(AND($V291&lt;&gt;"No",$E291="Legendary",NOT(ISNUMBER(SEARCH("Ideas",$F291)))),$W291,NA())</f>
      </c>
      <c r="AG291" s="0">
        <f>IF(AND($V291&lt;&gt;"No",ISNUMBER(SEARCH("Knight",$C291)),NOT(ISNUMBER(SEARCH("Ideas",$F291)))),$X291,NA())</f>
      </c>
      <c r="AH291" s="0">
        <f>IF(AND($V291&lt;&gt;"No",ISNUMBER(SEARCH("Mage",$C291)),NOT(ISNUMBER(SEARCH("Ideas",$F291)))),$X291,NA())</f>
      </c>
      <c r="AI291" s="0">
        <f>IF(AND($V291&lt;&gt;"No",ISNUMBER(SEARCH("Rogue",$C291)),NOT(ISNUMBER(SEARCH("Ideas",$F291)))),$X291,NA())</f>
      </c>
      <c r="AJ291" s="0">
        <f>IF($V291&lt;&gt;"No",$Y291,NA())</f>
      </c>
      <c r="AK291" s="0">
        <f>IF(AND($V291&lt;&gt;"No",ISNUMBER(SEARCH("Ideas",$F291))),$W291,NA())</f>
      </c>
      <c r="AL291" s="0">
        <f>IF(AND($V291&lt;&gt;"No",ISNUMBER(SEARCH("Cleric",$C291)),NOT(ISNUMBER(SEARCH("Ideas",$F291)))),$X291,NA())</f>
      </c>
    </row>
    <row r="292">
      <c r="A292" s="0" t="s">
        <v>245</v>
      </c>
      <c r="B292" s="0" t="s">
        <v>245</v>
      </c>
      <c r="C292" s="0" t="s">
        <v>363</v>
      </c>
      <c r="D292" s="0">
        <v>1</v>
      </c>
      <c r="E292" s="0" t="s">
        <v>32</v>
      </c>
      <c r="F292" s="0" t="s">
        <v>1978</v>
      </c>
      <c r="G292" s="0">
        <v>1</v>
      </c>
      <c r="H292" s="0">
        <v>1</v>
      </c>
      <c r="I292" s="0">
        <v>0</v>
      </c>
      <c r="J292" s="0">
        <v>0</v>
      </c>
      <c r="K292" s="0">
        <v>0</v>
      </c>
      <c r="L292" s="0">
        <v>0</v>
      </c>
      <c r="M292" s="0">
        <v>0</v>
      </c>
      <c r="N292" s="0">
        <v>0</v>
      </c>
      <c r="O292" s="0">
        <v>0</v>
      </c>
      <c r="P292" s="0">
        <v>0</v>
      </c>
      <c r="Q292" s="0">
        <v>2</v>
      </c>
      <c r="R292" s="0">
        <v>0</v>
      </c>
      <c r="S292" s="0">
        <v>0</v>
      </c>
      <c r="T292" s="0" t="s">
        <v>34</v>
      </c>
      <c r="U292" s="0" t="s">
        <v>34</v>
      </c>
      <c r="V292" s="0" t="s">
        <v>882</v>
      </c>
      <c r="W292" s="11">
        <f>IF($V292="No","",ROUND((I292*w_Damage + N292*w_Poison + P292*w_Weaken*w_Horizon)*MIN(1+(G292-1)*w_OccEnemy,w_MaxEnemies) + (J292*w_Heal + K292*w_Shield + L292*w_Block + M292*w_Parry + O292*w_Strength*w_Horizon + S292*w_Combo)*MIN(1+(H292-1)*w_OccAlly,w_MaxAllies) + Q292*w_Draw + R292*w_Move,2))</f>
      </c>
      <c r="X292" s="11">
        <f>IF(W292="","",ROUND(W292/MAX(D292,1),2))</f>
      </c>
      <c r="Y292" s="11">
        <f>IF($V292="No","",ROUND((curve_Base+curve_Slope*D292)*IFERROR(VLOOKUP(E292,rarity_Mult,2,FALSE),1),2))</f>
      </c>
      <c r="Z292" s="11">
        <f>IF(OR(W292="",Y292=""),"",ROUND(W292-Y292,2))</f>
      </c>
      <c r="AA292" s="0">
        <f>IF(Z292="","",IF($V292="Partial","RIDER",IF(ABS(Z292)&lt;=Y292*tol_Pct,"OK",IF(Z292&gt;0,"OVER","UNDER"))))</f>
      </c>
      <c r="AB292" s="0" t="s">
        <v>34</v>
      </c>
      <c r="AC292" s="0">
        <f>IF(AND($V292&lt;&gt;"No",$E292="Common",NOT(ISNUMBER(SEARCH("Ideas",$F292)))),$W292,NA())</f>
      </c>
      <c r="AD292" s="0">
        <f>IF(AND($V292&lt;&gt;"No",$E292="Uncommon",NOT(ISNUMBER(SEARCH("Ideas",$F292)))),$W292,NA())</f>
      </c>
      <c r="AE292" s="0">
        <f>IF(AND($V292&lt;&gt;"No",$E292="Rare",NOT(ISNUMBER(SEARCH("Ideas",$F292)))),$W292,NA())</f>
      </c>
      <c r="AF292" s="0">
        <f>IF(AND($V292&lt;&gt;"No",$E292="Legendary",NOT(ISNUMBER(SEARCH("Ideas",$F292)))),$W292,NA())</f>
      </c>
      <c r="AG292" s="0">
        <f>IF(AND($V292&lt;&gt;"No",ISNUMBER(SEARCH("Knight",$C292)),NOT(ISNUMBER(SEARCH("Ideas",$F292)))),$X292,NA())</f>
      </c>
      <c r="AH292" s="0">
        <f>IF(AND($V292&lt;&gt;"No",ISNUMBER(SEARCH("Mage",$C292)),NOT(ISNUMBER(SEARCH("Ideas",$F292)))),$X292,NA())</f>
      </c>
      <c r="AI292" s="0">
        <f>IF(AND($V292&lt;&gt;"No",ISNUMBER(SEARCH("Rogue",$C292)),NOT(ISNUMBER(SEARCH("Ideas",$F292)))),$X292,NA())</f>
      </c>
      <c r="AJ292" s="0">
        <f>IF($V292&lt;&gt;"No",$Y292,NA())</f>
      </c>
      <c r="AK292" s="0">
        <f>IF(AND($V292&lt;&gt;"No",ISNUMBER(SEARCH("Ideas",$F292))),$W292,NA())</f>
      </c>
      <c r="AL292" s="0">
        <f>IF(AND($V292&lt;&gt;"No",ISNUMBER(SEARCH("Cleric",$C292)),NOT(ISNUMBER(SEARCH("Ideas",$F292)))),$X292,NA())</f>
      </c>
    </row>
    <row r="293">
      <c r="A293" s="0" t="s">
        <v>1313</v>
      </c>
      <c r="B293" s="0" t="s">
        <v>1310</v>
      </c>
      <c r="C293" s="0" t="s">
        <v>363</v>
      </c>
      <c r="D293" s="0">
        <v>1</v>
      </c>
      <c r="E293" s="0" t="s">
        <v>81</v>
      </c>
      <c r="F293" s="0" t="s">
        <v>1978</v>
      </c>
      <c r="G293" s="0">
        <v>1</v>
      </c>
      <c r="H293" s="0">
        <v>1</v>
      </c>
      <c r="I293" s="0">
        <v>0</v>
      </c>
      <c r="J293" s="0">
        <v>0</v>
      </c>
      <c r="K293" s="0">
        <v>0</v>
      </c>
      <c r="L293" s="0">
        <v>0</v>
      </c>
      <c r="M293" s="0">
        <v>0</v>
      </c>
      <c r="N293" s="0">
        <v>0</v>
      </c>
      <c r="O293" s="0">
        <v>0</v>
      </c>
      <c r="P293" s="0">
        <v>4</v>
      </c>
      <c r="Q293" s="0">
        <v>0</v>
      </c>
      <c r="R293" s="0">
        <v>0</v>
      </c>
      <c r="S293" s="0">
        <v>0</v>
      </c>
      <c r="T293" s="0" t="s">
        <v>34</v>
      </c>
      <c r="U293" s="0" t="s">
        <v>34</v>
      </c>
      <c r="V293" s="0" t="s">
        <v>882</v>
      </c>
      <c r="W293" s="11">
        <f>IF($V293="No","",ROUND((I293*w_Damage + N293*w_Poison + P293*w_Weaken*w_Horizon)*MIN(1+(G293-1)*w_OccEnemy,w_MaxEnemies) + (J293*w_Heal + K293*w_Shield + L293*w_Block + M293*w_Parry + O293*w_Strength*w_Horizon + S293*w_Combo)*MIN(1+(H293-1)*w_OccAlly,w_MaxAllies) + Q293*w_Draw + R293*w_Move,2))</f>
      </c>
      <c r="X293" s="11">
        <f>IF(W293="","",ROUND(W293/MAX(D293,1),2))</f>
      </c>
      <c r="Y293" s="11">
        <f>IF($V293="No","",ROUND((curve_Base+curve_Slope*D293)*IFERROR(VLOOKUP(E293,rarity_Mult,2,FALSE),1),2))</f>
      </c>
      <c r="Z293" s="11">
        <f>IF(OR(W293="",Y293=""),"",ROUND(W293-Y293,2))</f>
      </c>
      <c r="AA293" s="0">
        <f>IF(Z293="","",IF($V293="Partial","RIDER",IF(ABS(Z293)&lt;=Y293*tol_Pct,"OK",IF(Z293&gt;0,"OVER","UNDER"))))</f>
      </c>
      <c r="AB293" s="0" t="s">
        <v>34</v>
      </c>
      <c r="AC293" s="0">
        <f>IF(AND($V293&lt;&gt;"No",$E293="Common",NOT(ISNUMBER(SEARCH("Ideas",$F293)))),$W293,NA())</f>
      </c>
      <c r="AD293" s="0">
        <f>IF(AND($V293&lt;&gt;"No",$E293="Uncommon",NOT(ISNUMBER(SEARCH("Ideas",$F293)))),$W293,NA())</f>
      </c>
      <c r="AE293" s="0">
        <f>IF(AND($V293&lt;&gt;"No",$E293="Rare",NOT(ISNUMBER(SEARCH("Ideas",$F293)))),$W293,NA())</f>
      </c>
      <c r="AF293" s="0">
        <f>IF(AND($V293&lt;&gt;"No",$E293="Legendary",NOT(ISNUMBER(SEARCH("Ideas",$F293)))),$W293,NA())</f>
      </c>
      <c r="AG293" s="0">
        <f>IF(AND($V293&lt;&gt;"No",ISNUMBER(SEARCH("Knight",$C293)),NOT(ISNUMBER(SEARCH("Ideas",$F293)))),$X293,NA())</f>
      </c>
      <c r="AH293" s="0">
        <f>IF(AND($V293&lt;&gt;"No",ISNUMBER(SEARCH("Mage",$C293)),NOT(ISNUMBER(SEARCH("Ideas",$F293)))),$X293,NA())</f>
      </c>
      <c r="AI293" s="0">
        <f>IF(AND($V293&lt;&gt;"No",ISNUMBER(SEARCH("Rogue",$C293)),NOT(ISNUMBER(SEARCH("Ideas",$F293)))),$X293,NA())</f>
      </c>
      <c r="AJ293" s="0">
        <f>IF($V293&lt;&gt;"No",$Y293,NA())</f>
      </c>
      <c r="AK293" s="0">
        <f>IF(AND($V293&lt;&gt;"No",ISNUMBER(SEARCH("Ideas",$F293))),$W293,NA())</f>
      </c>
      <c r="AL293" s="0">
        <f>IF(AND($V293&lt;&gt;"No",ISNUMBER(SEARCH("Cleric",$C293)),NOT(ISNUMBER(SEARCH("Ideas",$F293)))),$X293,NA())</f>
      </c>
    </row>
    <row r="294">
      <c r="A294" s="0" t="s">
        <v>1316</v>
      </c>
      <c r="B294" s="0" t="s">
        <v>1314</v>
      </c>
      <c r="C294" s="0" t="s">
        <v>363</v>
      </c>
      <c r="D294" s="0">
        <v>3</v>
      </c>
      <c r="E294" s="0" t="s">
        <v>62</v>
      </c>
      <c r="F294" s="0" t="s">
        <v>1978</v>
      </c>
      <c r="G294" s="0">
        <v>13</v>
      </c>
      <c r="H294" s="0">
        <v>1</v>
      </c>
      <c r="I294" s="0">
        <v>0</v>
      </c>
      <c r="J294" s="0">
        <v>0</v>
      </c>
      <c r="K294" s="0">
        <v>0</v>
      </c>
      <c r="L294" s="0">
        <v>0</v>
      </c>
      <c r="M294" s="0">
        <v>0</v>
      </c>
      <c r="N294" s="0">
        <v>6</v>
      </c>
      <c r="O294" s="0">
        <v>0</v>
      </c>
      <c r="P294" s="0">
        <v>0</v>
      </c>
      <c r="Q294" s="0">
        <v>0</v>
      </c>
      <c r="R294" s="0">
        <v>0</v>
      </c>
      <c r="S294" s="0">
        <v>0</v>
      </c>
      <c r="T294" s="0" t="s">
        <v>34</v>
      </c>
      <c r="U294" s="0" t="s">
        <v>34</v>
      </c>
      <c r="V294" s="0" t="s">
        <v>882</v>
      </c>
      <c r="W294" s="11">
        <f>IF($V294="No","",ROUND((I294*w_Damage + N294*w_Poison + P294*w_Weaken*w_Horizon)*MIN(1+(G294-1)*w_OccEnemy,w_MaxEnemies) + (J294*w_Heal + K294*w_Shield + L294*w_Block + M294*w_Parry + O294*w_Strength*w_Horizon + S294*w_Combo)*MIN(1+(H294-1)*w_OccAlly,w_MaxAllies) + Q294*w_Draw + R294*w_Move,2))</f>
      </c>
      <c r="X294" s="11">
        <f>IF(W294="","",ROUND(W294/MAX(D294,1),2))</f>
      </c>
      <c r="Y294" s="11">
        <f>IF($V294="No","",ROUND((curve_Base+curve_Slope*D294)*IFERROR(VLOOKUP(E294,rarity_Mult,2,FALSE),1),2))</f>
      </c>
      <c r="Z294" s="11">
        <f>IF(OR(W294="",Y294=""),"",ROUND(W294-Y294,2))</f>
      </c>
      <c r="AA294" s="0">
        <f>IF(Z294="","",IF($V294="Partial","RIDER",IF(ABS(Z294)&lt;=Y294*tol_Pct,"OK",IF(Z294&gt;0,"OVER","UNDER"))))</f>
      </c>
      <c r="AB294" s="0" t="s">
        <v>34</v>
      </c>
      <c r="AC294" s="0">
        <f>IF(AND($V294&lt;&gt;"No",$E294="Common",NOT(ISNUMBER(SEARCH("Ideas",$F294)))),$W294,NA())</f>
      </c>
      <c r="AD294" s="0">
        <f>IF(AND($V294&lt;&gt;"No",$E294="Uncommon",NOT(ISNUMBER(SEARCH("Ideas",$F294)))),$W294,NA())</f>
      </c>
      <c r="AE294" s="0">
        <f>IF(AND($V294&lt;&gt;"No",$E294="Rare",NOT(ISNUMBER(SEARCH("Ideas",$F294)))),$W294,NA())</f>
      </c>
      <c r="AF294" s="0">
        <f>IF(AND($V294&lt;&gt;"No",$E294="Legendary",NOT(ISNUMBER(SEARCH("Ideas",$F294)))),$W294,NA())</f>
      </c>
      <c r="AG294" s="0">
        <f>IF(AND($V294&lt;&gt;"No",ISNUMBER(SEARCH("Knight",$C294)),NOT(ISNUMBER(SEARCH("Ideas",$F294)))),$X294,NA())</f>
      </c>
      <c r="AH294" s="0">
        <f>IF(AND($V294&lt;&gt;"No",ISNUMBER(SEARCH("Mage",$C294)),NOT(ISNUMBER(SEARCH("Ideas",$F294)))),$X294,NA())</f>
      </c>
      <c r="AI294" s="0">
        <f>IF(AND($V294&lt;&gt;"No",ISNUMBER(SEARCH("Rogue",$C294)),NOT(ISNUMBER(SEARCH("Ideas",$F294)))),$X294,NA())</f>
      </c>
      <c r="AJ294" s="0">
        <f>IF($V294&lt;&gt;"No",$Y294,NA())</f>
      </c>
      <c r="AK294" s="0">
        <f>IF(AND($V294&lt;&gt;"No",ISNUMBER(SEARCH("Ideas",$F294))),$W294,NA())</f>
      </c>
      <c r="AL294" s="0">
        <f>IF(AND($V294&lt;&gt;"No",ISNUMBER(SEARCH("Cleric",$C294)),NOT(ISNUMBER(SEARCH("Ideas",$F294)))),$X294,NA())</f>
      </c>
    </row>
    <row r="295">
      <c r="A295" s="0" t="s">
        <v>1318</v>
      </c>
      <c r="B295" s="0" t="s">
        <v>1317</v>
      </c>
      <c r="C295" s="0" t="s">
        <v>363</v>
      </c>
      <c r="D295" s="0">
        <v>2</v>
      </c>
      <c r="E295" s="0" t="s">
        <v>62</v>
      </c>
      <c r="F295" s="0" t="s">
        <v>1978</v>
      </c>
      <c r="G295" s="0">
        <v>1</v>
      </c>
      <c r="H295" s="0">
        <v>1</v>
      </c>
      <c r="I295" s="0">
        <v>0</v>
      </c>
      <c r="J295" s="0">
        <v>0</v>
      </c>
      <c r="K295" s="0">
        <v>0</v>
      </c>
      <c r="L295" s="0">
        <v>0</v>
      </c>
      <c r="M295" s="0">
        <v>0</v>
      </c>
      <c r="N295" s="0">
        <v>0</v>
      </c>
      <c r="O295" s="0">
        <v>0</v>
      </c>
      <c r="P295" s="0">
        <v>0</v>
      </c>
      <c r="Q295" s="0">
        <v>0</v>
      </c>
      <c r="R295" s="0">
        <v>0</v>
      </c>
      <c r="S295" s="0">
        <v>0</v>
      </c>
      <c r="T295" s="0" t="s">
        <v>34</v>
      </c>
      <c r="U295" s="0" t="s">
        <v>361</v>
      </c>
      <c r="V295" s="0" t="s">
        <v>1407</v>
      </c>
      <c r="W295" s="11">
        <f>IF($V295="No","",ROUND((I295*w_Damage + N295*w_Poison + P295*w_Weaken*w_Horizon)*MIN(1+(G295-1)*w_OccEnemy,w_MaxEnemies) + (J295*w_Heal + K295*w_Shield + L295*w_Block + M295*w_Parry + O295*w_Strength*w_Horizon + S295*w_Combo)*MIN(1+(H295-1)*w_OccAlly,w_MaxAllies) + Q295*w_Draw + R295*w_Move,2))</f>
      </c>
      <c r="X295" s="11">
        <f>IF(W295="","",ROUND(W295/MAX(D295,1),2))</f>
      </c>
      <c r="Y295" s="11">
        <f>IF($V295="No","",ROUND((curve_Base+curve_Slope*D295)*IFERROR(VLOOKUP(E295,rarity_Mult,2,FALSE),1),2))</f>
      </c>
      <c r="Z295" s="11">
        <f>IF(OR(W295="",Y295=""),"",ROUND(W295-Y295,2))</f>
      </c>
      <c r="AA295" s="0">
        <f>IF(Z295="","",IF($V295="Partial","RIDER",IF(ABS(Z295)&lt;=Y295*tol_Pct,"OK",IF(Z295&gt;0,"OVER","UNDER"))))</f>
      </c>
      <c r="AB295" s="0" t="s">
        <v>34</v>
      </c>
      <c r="AC295" s="0">
        <f>IF(AND($V295&lt;&gt;"No",$E295="Common",NOT(ISNUMBER(SEARCH("Ideas",$F295)))),$W295,NA())</f>
      </c>
      <c r="AD295" s="0">
        <f>IF(AND($V295&lt;&gt;"No",$E295="Uncommon",NOT(ISNUMBER(SEARCH("Ideas",$F295)))),$W295,NA())</f>
      </c>
      <c r="AE295" s="0">
        <f>IF(AND($V295&lt;&gt;"No",$E295="Rare",NOT(ISNUMBER(SEARCH("Ideas",$F295)))),$W295,NA())</f>
      </c>
      <c r="AF295" s="0">
        <f>IF(AND($V295&lt;&gt;"No",$E295="Legendary",NOT(ISNUMBER(SEARCH("Ideas",$F295)))),$W295,NA())</f>
      </c>
      <c r="AG295" s="0">
        <f>IF(AND($V295&lt;&gt;"No",ISNUMBER(SEARCH("Knight",$C295)),NOT(ISNUMBER(SEARCH("Ideas",$F295)))),$X295,NA())</f>
      </c>
      <c r="AH295" s="0">
        <f>IF(AND($V295&lt;&gt;"No",ISNUMBER(SEARCH("Mage",$C295)),NOT(ISNUMBER(SEARCH("Ideas",$F295)))),$X295,NA())</f>
      </c>
      <c r="AI295" s="0">
        <f>IF(AND($V295&lt;&gt;"No",ISNUMBER(SEARCH("Rogue",$C295)),NOT(ISNUMBER(SEARCH("Ideas",$F295)))),$X295,NA())</f>
      </c>
      <c r="AJ295" s="0">
        <f>IF($V295&lt;&gt;"No",$Y295,NA())</f>
      </c>
      <c r="AK295" s="0">
        <f>IF(AND($V295&lt;&gt;"No",ISNUMBER(SEARCH("Ideas",$F295))),$W295,NA())</f>
      </c>
      <c r="AL295" s="0">
        <f>IF(AND($V295&lt;&gt;"No",ISNUMBER(SEARCH("Cleric",$C295)),NOT(ISNUMBER(SEARCH("Ideas",$F295)))),$X295,NA())</f>
      </c>
    </row>
    <row r="296">
      <c r="A296" s="0" t="s">
        <v>1319</v>
      </c>
      <c r="B296" s="0" t="s">
        <v>1319</v>
      </c>
      <c r="C296" s="0" t="s">
        <v>363</v>
      </c>
      <c r="D296" s="0">
        <v>0</v>
      </c>
      <c r="E296" s="0" t="s">
        <v>62</v>
      </c>
      <c r="F296" s="0" t="s">
        <v>1978</v>
      </c>
      <c r="G296" s="0">
        <v>1</v>
      </c>
      <c r="H296" s="0">
        <v>1</v>
      </c>
      <c r="I296" s="0">
        <v>0</v>
      </c>
      <c r="J296" s="0">
        <v>0</v>
      </c>
      <c r="K296" s="0">
        <v>0</v>
      </c>
      <c r="L296" s="0">
        <v>0</v>
      </c>
      <c r="M296" s="0">
        <v>0</v>
      </c>
      <c r="N296" s="0">
        <v>0</v>
      </c>
      <c r="O296" s="0">
        <v>0</v>
      </c>
      <c r="P296" s="0">
        <v>0</v>
      </c>
      <c r="Q296" s="0">
        <v>1</v>
      </c>
      <c r="R296" s="0">
        <v>0</v>
      </c>
      <c r="S296" s="0">
        <v>0</v>
      </c>
      <c r="T296" s="0" t="s">
        <v>34</v>
      </c>
      <c r="U296" s="0" t="s">
        <v>34</v>
      </c>
      <c r="V296" s="0" t="s">
        <v>882</v>
      </c>
      <c r="W296" s="11">
        <f>IF($V296="No","",ROUND((I296*w_Damage + N296*w_Poison + P296*w_Weaken*w_Horizon)*MIN(1+(G296-1)*w_OccEnemy,w_MaxEnemies) + (J296*w_Heal + K296*w_Shield + L296*w_Block + M296*w_Parry + O296*w_Strength*w_Horizon + S296*w_Combo)*MIN(1+(H296-1)*w_OccAlly,w_MaxAllies) + Q296*w_Draw + R296*w_Move,2))</f>
      </c>
      <c r="X296" s="11">
        <f>IF(W296="","",ROUND(W296/MAX(D296,1),2))</f>
      </c>
      <c r="Y296" s="11">
        <f>IF($V296="No","",ROUND((curve_Base+curve_Slope*D296)*IFERROR(VLOOKUP(E296,rarity_Mult,2,FALSE),1),2))</f>
      </c>
      <c r="Z296" s="11">
        <f>IF(OR(W296="",Y296=""),"",ROUND(W296-Y296,2))</f>
      </c>
      <c r="AA296" s="0">
        <f>IF(Z296="","",IF($V296="Partial","RIDER",IF(ABS(Z296)&lt;=Y296*tol_Pct,"OK",IF(Z296&gt;0,"OVER","UNDER"))))</f>
      </c>
      <c r="AB296" s="0" t="s">
        <v>34</v>
      </c>
      <c r="AC296" s="0">
        <f>IF(AND($V296&lt;&gt;"No",$E296="Common",NOT(ISNUMBER(SEARCH("Ideas",$F296)))),$W296,NA())</f>
      </c>
      <c r="AD296" s="0">
        <f>IF(AND($V296&lt;&gt;"No",$E296="Uncommon",NOT(ISNUMBER(SEARCH("Ideas",$F296)))),$W296,NA())</f>
      </c>
      <c r="AE296" s="0">
        <f>IF(AND($V296&lt;&gt;"No",$E296="Rare",NOT(ISNUMBER(SEARCH("Ideas",$F296)))),$W296,NA())</f>
      </c>
      <c r="AF296" s="0">
        <f>IF(AND($V296&lt;&gt;"No",$E296="Legendary",NOT(ISNUMBER(SEARCH("Ideas",$F296)))),$W296,NA())</f>
      </c>
      <c r="AG296" s="0">
        <f>IF(AND($V296&lt;&gt;"No",ISNUMBER(SEARCH("Knight",$C296)),NOT(ISNUMBER(SEARCH("Ideas",$F296)))),$X296,NA())</f>
      </c>
      <c r="AH296" s="0">
        <f>IF(AND($V296&lt;&gt;"No",ISNUMBER(SEARCH("Mage",$C296)),NOT(ISNUMBER(SEARCH("Ideas",$F296)))),$X296,NA())</f>
      </c>
      <c r="AI296" s="0">
        <f>IF(AND($V296&lt;&gt;"No",ISNUMBER(SEARCH("Rogue",$C296)),NOT(ISNUMBER(SEARCH("Ideas",$F296)))),$X296,NA())</f>
      </c>
      <c r="AJ296" s="0">
        <f>IF($V296&lt;&gt;"No",$Y296,NA())</f>
      </c>
      <c r="AK296" s="0">
        <f>IF(AND($V296&lt;&gt;"No",ISNUMBER(SEARCH("Ideas",$F296))),$W296,NA())</f>
      </c>
      <c r="AL296" s="0">
        <f>IF(AND($V296&lt;&gt;"No",ISNUMBER(SEARCH("Cleric",$C296)),NOT(ISNUMBER(SEARCH("Ideas",$F296)))),$X296,NA())</f>
      </c>
    </row>
    <row r="297">
      <c r="A297" s="0" t="s">
        <v>1340</v>
      </c>
      <c r="B297" s="0" t="s">
        <v>1340</v>
      </c>
      <c r="C297" s="0" t="s">
        <v>363</v>
      </c>
      <c r="D297" s="0">
        <v>0</v>
      </c>
      <c r="E297" s="0" t="s">
        <v>81</v>
      </c>
      <c r="F297" s="0" t="s">
        <v>1978</v>
      </c>
      <c r="G297" s="0">
        <v>1</v>
      </c>
      <c r="H297" s="0">
        <v>1</v>
      </c>
      <c r="I297" s="0">
        <v>4</v>
      </c>
      <c r="J297" s="0">
        <v>0</v>
      </c>
      <c r="K297" s="0">
        <v>0</v>
      </c>
      <c r="L297" s="0">
        <v>0</v>
      </c>
      <c r="M297" s="0">
        <v>0</v>
      </c>
      <c r="N297" s="0">
        <v>0</v>
      </c>
      <c r="O297" s="0">
        <v>0</v>
      </c>
      <c r="P297" s="0">
        <v>0</v>
      </c>
      <c r="Q297" s="0">
        <v>0</v>
      </c>
      <c r="R297" s="0">
        <v>0</v>
      </c>
      <c r="S297" s="0">
        <v>0</v>
      </c>
      <c r="T297" s="0" t="s">
        <v>34</v>
      </c>
      <c r="U297" s="0" t="s">
        <v>34</v>
      </c>
      <c r="V297" s="0" t="s">
        <v>882</v>
      </c>
      <c r="W297" s="11">
        <f>IF($V297="No","",ROUND((I297*w_Damage + N297*w_Poison + P297*w_Weaken*w_Horizon)*MIN(1+(G297-1)*w_OccEnemy,w_MaxEnemies) + (J297*w_Heal + K297*w_Shield + L297*w_Block + M297*w_Parry + O297*w_Strength*w_Horizon + S297*w_Combo)*MIN(1+(H297-1)*w_OccAlly,w_MaxAllies) + Q297*w_Draw + R297*w_Move,2))</f>
      </c>
      <c r="X297" s="11">
        <f>IF(W297="","",ROUND(W297/MAX(D297,1),2))</f>
      </c>
      <c r="Y297" s="11">
        <f>IF($V297="No","",ROUND((curve_Base+curve_Slope*D297)*IFERROR(VLOOKUP(E297,rarity_Mult,2,FALSE),1),2))</f>
      </c>
      <c r="Z297" s="11">
        <f>IF(OR(W297="",Y297=""),"",ROUND(W297-Y297,2))</f>
      </c>
      <c r="AA297" s="0">
        <f>IF(Z297="","",IF($V297="Partial","RIDER",IF(ABS(Z297)&lt;=Y297*tol_Pct,"OK",IF(Z297&gt;0,"OVER","UNDER"))))</f>
      </c>
      <c r="AB297" s="0" t="s">
        <v>34</v>
      </c>
      <c r="AC297" s="0">
        <f>IF(AND($V297&lt;&gt;"No",$E297="Common",NOT(ISNUMBER(SEARCH("Ideas",$F297)))),$W297,NA())</f>
      </c>
      <c r="AD297" s="0">
        <f>IF(AND($V297&lt;&gt;"No",$E297="Uncommon",NOT(ISNUMBER(SEARCH("Ideas",$F297)))),$W297,NA())</f>
      </c>
      <c r="AE297" s="0">
        <f>IF(AND($V297&lt;&gt;"No",$E297="Rare",NOT(ISNUMBER(SEARCH("Ideas",$F297)))),$W297,NA())</f>
      </c>
      <c r="AF297" s="0">
        <f>IF(AND($V297&lt;&gt;"No",$E297="Legendary",NOT(ISNUMBER(SEARCH("Ideas",$F297)))),$W297,NA())</f>
      </c>
      <c r="AG297" s="0">
        <f>IF(AND($V297&lt;&gt;"No",ISNUMBER(SEARCH("Knight",$C297)),NOT(ISNUMBER(SEARCH("Ideas",$F297)))),$X297,NA())</f>
      </c>
      <c r="AH297" s="0">
        <f>IF(AND($V297&lt;&gt;"No",ISNUMBER(SEARCH("Mage",$C297)),NOT(ISNUMBER(SEARCH("Ideas",$F297)))),$X297,NA())</f>
      </c>
      <c r="AI297" s="0">
        <f>IF(AND($V297&lt;&gt;"No",ISNUMBER(SEARCH("Rogue",$C297)),NOT(ISNUMBER(SEARCH("Ideas",$F297)))),$X297,NA())</f>
      </c>
      <c r="AJ297" s="0">
        <f>IF($V297&lt;&gt;"No",$Y297,NA())</f>
      </c>
      <c r="AK297" s="0">
        <f>IF(AND($V297&lt;&gt;"No",ISNUMBER(SEARCH("Ideas",$F297))),$W297,NA())</f>
      </c>
      <c r="AL297" s="0">
        <f>IF(AND($V297&lt;&gt;"No",ISNUMBER(SEARCH("Cleric",$C297)),NOT(ISNUMBER(SEARCH("Ideas",$F297)))),$X297,NA())</f>
      </c>
    </row>
    <row r="298">
      <c r="A298" s="0" t="s">
        <v>1364</v>
      </c>
      <c r="B298" s="0" t="s">
        <v>1362</v>
      </c>
      <c r="C298" s="0" t="s">
        <v>363</v>
      </c>
      <c r="D298" s="0">
        <v>3</v>
      </c>
      <c r="E298" s="0" t="s">
        <v>985</v>
      </c>
      <c r="F298" s="0" t="s">
        <v>1978</v>
      </c>
      <c r="G298" s="0">
        <v>13</v>
      </c>
      <c r="H298" s="0">
        <v>1</v>
      </c>
      <c r="I298" s="0">
        <v>8</v>
      </c>
      <c r="J298" s="0">
        <v>0</v>
      </c>
      <c r="K298" s="0">
        <v>0</v>
      </c>
      <c r="L298" s="0">
        <v>0</v>
      </c>
      <c r="M298" s="0">
        <v>0</v>
      </c>
      <c r="N298" s="0">
        <v>6</v>
      </c>
      <c r="O298" s="0">
        <v>0</v>
      </c>
      <c r="P298" s="0">
        <v>0</v>
      </c>
      <c r="Q298" s="0">
        <v>0</v>
      </c>
      <c r="R298" s="0">
        <v>0</v>
      </c>
      <c r="S298" s="0">
        <v>0</v>
      </c>
      <c r="T298" s="0" t="s">
        <v>34</v>
      </c>
      <c r="U298" s="0" t="s">
        <v>34</v>
      </c>
      <c r="V298" s="0" t="s">
        <v>882</v>
      </c>
      <c r="W298" s="11">
        <f>IF($V298="No","",ROUND((I298*w_Damage + N298*w_Poison + P298*w_Weaken*w_Horizon)*MIN(1+(G298-1)*w_OccEnemy,w_MaxEnemies) + (J298*w_Heal + K298*w_Shield + L298*w_Block + M298*w_Parry + O298*w_Strength*w_Horizon + S298*w_Combo)*MIN(1+(H298-1)*w_OccAlly,w_MaxAllies) + Q298*w_Draw + R298*w_Move,2))</f>
      </c>
      <c r="X298" s="11">
        <f>IF(W298="","",ROUND(W298/MAX(D298,1),2))</f>
      </c>
      <c r="Y298" s="11">
        <f>IF($V298="No","",ROUND((curve_Base+curve_Slope*D298)*IFERROR(VLOOKUP(E298,rarity_Mult,2,FALSE),1),2))</f>
      </c>
      <c r="Z298" s="11">
        <f>IF(OR(W298="",Y298=""),"",ROUND(W298-Y298,2))</f>
      </c>
      <c r="AA298" s="0">
        <f>IF(Z298="","",IF($V298="Partial","RIDER",IF(ABS(Z298)&lt;=Y298*tol_Pct,"OK",IF(Z298&gt;0,"OVER","UNDER"))))</f>
      </c>
      <c r="AB298" s="0" t="s">
        <v>34</v>
      </c>
      <c r="AC298" s="0">
        <f>IF(AND($V298&lt;&gt;"No",$E298="Common",NOT(ISNUMBER(SEARCH("Ideas",$F298)))),$W298,NA())</f>
      </c>
      <c r="AD298" s="0">
        <f>IF(AND($V298&lt;&gt;"No",$E298="Uncommon",NOT(ISNUMBER(SEARCH("Ideas",$F298)))),$W298,NA())</f>
      </c>
      <c r="AE298" s="0">
        <f>IF(AND($V298&lt;&gt;"No",$E298="Rare",NOT(ISNUMBER(SEARCH("Ideas",$F298)))),$W298,NA())</f>
      </c>
      <c r="AF298" s="0">
        <f>IF(AND($V298&lt;&gt;"No",$E298="Legendary",NOT(ISNUMBER(SEARCH("Ideas",$F298)))),$W298,NA())</f>
      </c>
      <c r="AG298" s="0">
        <f>IF(AND($V298&lt;&gt;"No",ISNUMBER(SEARCH("Knight",$C298)),NOT(ISNUMBER(SEARCH("Ideas",$F298)))),$X298,NA())</f>
      </c>
      <c r="AH298" s="0">
        <f>IF(AND($V298&lt;&gt;"No",ISNUMBER(SEARCH("Mage",$C298)),NOT(ISNUMBER(SEARCH("Ideas",$F298)))),$X298,NA())</f>
      </c>
      <c r="AI298" s="0">
        <f>IF(AND($V298&lt;&gt;"No",ISNUMBER(SEARCH("Rogue",$C298)),NOT(ISNUMBER(SEARCH("Ideas",$F298)))),$X298,NA())</f>
      </c>
      <c r="AJ298" s="0">
        <f>IF($V298&lt;&gt;"No",$Y298,NA())</f>
      </c>
      <c r="AK298" s="0">
        <f>IF(AND($V298&lt;&gt;"No",ISNUMBER(SEARCH("Ideas",$F298))),$W298,NA())</f>
      </c>
      <c r="AL298" s="0">
        <f>IF(AND($V298&lt;&gt;"No",ISNUMBER(SEARCH("Cleric",$C298)),NOT(ISNUMBER(SEARCH("Ideas",$F298)))),$X298,NA())</f>
      </c>
    </row>
    <row r="299">
      <c r="A299" s="0" t="s">
        <v>1367</v>
      </c>
      <c r="B299" s="0" t="s">
        <v>1365</v>
      </c>
      <c r="C299" s="0" t="s">
        <v>363</v>
      </c>
      <c r="D299" s="0">
        <v>3</v>
      </c>
      <c r="E299" s="0" t="s">
        <v>62</v>
      </c>
      <c r="F299" s="0" t="s">
        <v>1978</v>
      </c>
      <c r="G299" s="0">
        <v>1</v>
      </c>
      <c r="H299" s="0">
        <v>1</v>
      </c>
      <c r="I299" s="0">
        <v>6</v>
      </c>
      <c r="J299" s="0">
        <v>0</v>
      </c>
      <c r="K299" s="0">
        <v>0</v>
      </c>
      <c r="L299" s="0">
        <v>0</v>
      </c>
      <c r="M299" s="0">
        <v>0</v>
      </c>
      <c r="N299" s="0">
        <v>21</v>
      </c>
      <c r="O299" s="0">
        <v>0</v>
      </c>
      <c r="P299" s="0">
        <v>0</v>
      </c>
      <c r="Q299" s="0">
        <v>0</v>
      </c>
      <c r="R299" s="0">
        <v>0</v>
      </c>
      <c r="S299" s="0">
        <v>0</v>
      </c>
      <c r="T299" s="0" t="s">
        <v>34</v>
      </c>
      <c r="U299" s="0" t="s">
        <v>34</v>
      </c>
      <c r="V299" s="0" t="s">
        <v>882</v>
      </c>
      <c r="W299" s="11">
        <f>IF($V299="No","",ROUND((I299*w_Damage + N299*w_Poison + P299*w_Weaken*w_Horizon)*MIN(1+(G299-1)*w_OccEnemy,w_MaxEnemies) + (J299*w_Heal + K299*w_Shield + L299*w_Block + M299*w_Parry + O299*w_Strength*w_Horizon + S299*w_Combo)*MIN(1+(H299-1)*w_OccAlly,w_MaxAllies) + Q299*w_Draw + R299*w_Move,2))</f>
      </c>
      <c r="X299" s="11">
        <f>IF(W299="","",ROUND(W299/MAX(D299,1),2))</f>
      </c>
      <c r="Y299" s="11">
        <f>IF($V299="No","",ROUND((curve_Base+curve_Slope*D299)*IFERROR(VLOOKUP(E299,rarity_Mult,2,FALSE),1),2))</f>
      </c>
      <c r="Z299" s="11">
        <f>IF(OR(W299="",Y299=""),"",ROUND(W299-Y299,2))</f>
      </c>
      <c r="AA299" s="0">
        <f>IF(Z299="","",IF($V299="Partial","RIDER",IF(ABS(Z299)&lt;=Y299*tol_Pct,"OK",IF(Z299&gt;0,"OVER","UNDER"))))</f>
      </c>
      <c r="AB299" s="0" t="s">
        <v>34</v>
      </c>
      <c r="AC299" s="0">
        <f>IF(AND($V299&lt;&gt;"No",$E299="Common",NOT(ISNUMBER(SEARCH("Ideas",$F299)))),$W299,NA())</f>
      </c>
      <c r="AD299" s="0">
        <f>IF(AND($V299&lt;&gt;"No",$E299="Uncommon",NOT(ISNUMBER(SEARCH("Ideas",$F299)))),$W299,NA())</f>
      </c>
      <c r="AE299" s="0">
        <f>IF(AND($V299&lt;&gt;"No",$E299="Rare",NOT(ISNUMBER(SEARCH("Ideas",$F299)))),$W299,NA())</f>
      </c>
      <c r="AF299" s="0">
        <f>IF(AND($V299&lt;&gt;"No",$E299="Legendary",NOT(ISNUMBER(SEARCH("Ideas",$F299)))),$W299,NA())</f>
      </c>
      <c r="AG299" s="0">
        <f>IF(AND($V299&lt;&gt;"No",ISNUMBER(SEARCH("Knight",$C299)),NOT(ISNUMBER(SEARCH("Ideas",$F299)))),$X299,NA())</f>
      </c>
      <c r="AH299" s="0">
        <f>IF(AND($V299&lt;&gt;"No",ISNUMBER(SEARCH("Mage",$C299)),NOT(ISNUMBER(SEARCH("Ideas",$F299)))),$X299,NA())</f>
      </c>
      <c r="AI299" s="0">
        <f>IF(AND($V299&lt;&gt;"No",ISNUMBER(SEARCH("Rogue",$C299)),NOT(ISNUMBER(SEARCH("Ideas",$F299)))),$X299,NA())</f>
      </c>
      <c r="AJ299" s="0">
        <f>IF($V299&lt;&gt;"No",$Y299,NA())</f>
      </c>
      <c r="AK299" s="0">
        <f>IF(AND($V299&lt;&gt;"No",ISNUMBER(SEARCH("Ideas",$F299))),$W299,NA())</f>
      </c>
      <c r="AL299" s="0">
        <f>IF(AND($V299&lt;&gt;"No",ISNUMBER(SEARCH("Cleric",$C299)),NOT(ISNUMBER(SEARCH("Ideas",$F299)))),$X299,NA())</f>
      </c>
    </row>
    <row r="300">
      <c r="A300" s="0" t="s">
        <v>1371</v>
      </c>
      <c r="B300" s="0" t="s">
        <v>1368</v>
      </c>
      <c r="C300" s="0" t="s">
        <v>363</v>
      </c>
      <c r="D300" s="0">
        <v>3</v>
      </c>
      <c r="E300" s="0" t="s">
        <v>985</v>
      </c>
      <c r="F300" s="0" t="s">
        <v>1978</v>
      </c>
      <c r="G300" s="0">
        <v>1</v>
      </c>
      <c r="H300" s="0">
        <v>1</v>
      </c>
      <c r="I300" s="0">
        <v>0</v>
      </c>
      <c r="J300" s="0">
        <v>0</v>
      </c>
      <c r="K300" s="0">
        <v>0</v>
      </c>
      <c r="L300" s="0">
        <v>0</v>
      </c>
      <c r="M300" s="0">
        <v>0</v>
      </c>
      <c r="N300" s="0">
        <v>0</v>
      </c>
      <c r="O300" s="0">
        <v>0</v>
      </c>
      <c r="P300" s="0">
        <v>0</v>
      </c>
      <c r="Q300" s="0">
        <v>2</v>
      </c>
      <c r="R300" s="0">
        <v>1</v>
      </c>
      <c r="S300" s="0">
        <v>0</v>
      </c>
      <c r="T300" s="0" t="s">
        <v>34</v>
      </c>
      <c r="U300" s="0" t="s">
        <v>361</v>
      </c>
      <c r="V300" s="0" t="s">
        <v>1905</v>
      </c>
      <c r="W300" s="11">
        <f>IF($V300="No","",ROUND((I300*w_Damage + N300*w_Poison + P300*w_Weaken*w_Horizon)*MIN(1+(G300-1)*w_OccEnemy,w_MaxEnemies) + (J300*w_Heal + K300*w_Shield + L300*w_Block + M300*w_Parry + O300*w_Strength*w_Horizon + S300*w_Combo)*MIN(1+(H300-1)*w_OccAlly,w_MaxAllies) + Q300*w_Draw + R300*w_Move,2))</f>
      </c>
      <c r="X300" s="11">
        <f>IF(W300="","",ROUND(W300/MAX(D300,1),2))</f>
      </c>
      <c r="Y300" s="11">
        <f>IF($V300="No","",ROUND((curve_Base+curve_Slope*D300)*IFERROR(VLOOKUP(E300,rarity_Mult,2,FALSE),1),2))</f>
      </c>
      <c r="Z300" s="11">
        <f>IF(OR(W300="",Y300=""),"",ROUND(W300-Y300,2))</f>
      </c>
      <c r="AA300" s="0">
        <f>IF(Z300="","",IF($V300="Partial","RIDER",IF(ABS(Z300)&lt;=Y300*tol_Pct,"OK",IF(Z300&gt;0,"OVER","UNDER"))))</f>
      </c>
      <c r="AB300" s="0" t="s">
        <v>34</v>
      </c>
      <c r="AC300" s="0">
        <f>IF(AND($V300&lt;&gt;"No",$E300="Common",NOT(ISNUMBER(SEARCH("Ideas",$F300)))),$W300,NA())</f>
      </c>
      <c r="AD300" s="0">
        <f>IF(AND($V300&lt;&gt;"No",$E300="Uncommon",NOT(ISNUMBER(SEARCH("Ideas",$F300)))),$W300,NA())</f>
      </c>
      <c r="AE300" s="0">
        <f>IF(AND($V300&lt;&gt;"No",$E300="Rare",NOT(ISNUMBER(SEARCH("Ideas",$F300)))),$W300,NA())</f>
      </c>
      <c r="AF300" s="0">
        <f>IF(AND($V300&lt;&gt;"No",$E300="Legendary",NOT(ISNUMBER(SEARCH("Ideas",$F300)))),$W300,NA())</f>
      </c>
      <c r="AG300" s="0">
        <f>IF(AND($V300&lt;&gt;"No",ISNUMBER(SEARCH("Knight",$C300)),NOT(ISNUMBER(SEARCH("Ideas",$F300)))),$X300,NA())</f>
      </c>
      <c r="AH300" s="0">
        <f>IF(AND($V300&lt;&gt;"No",ISNUMBER(SEARCH("Mage",$C300)),NOT(ISNUMBER(SEARCH("Ideas",$F300)))),$X300,NA())</f>
      </c>
      <c r="AI300" s="0">
        <f>IF(AND($V300&lt;&gt;"No",ISNUMBER(SEARCH("Rogue",$C300)),NOT(ISNUMBER(SEARCH("Ideas",$F300)))),$X300,NA())</f>
      </c>
      <c r="AJ300" s="0">
        <f>IF($V300&lt;&gt;"No",$Y300,NA())</f>
      </c>
      <c r="AK300" s="0">
        <f>IF(AND($V300&lt;&gt;"No",ISNUMBER(SEARCH("Ideas",$F300))),$W300,NA())</f>
      </c>
      <c r="AL300" s="0">
        <f>IF(AND($V300&lt;&gt;"No",ISNUMBER(SEARCH("Cleric",$C300)),NOT(ISNUMBER(SEARCH("Ideas",$F300)))),$X300,NA())</f>
      </c>
    </row>
    <row r="301">
      <c r="A301" s="0" t="s">
        <v>1379</v>
      </c>
      <c r="B301" s="0" t="s">
        <v>1376</v>
      </c>
      <c r="C301" s="0" t="s">
        <v>363</v>
      </c>
      <c r="D301" s="0">
        <v>3</v>
      </c>
      <c r="E301" s="0" t="s">
        <v>985</v>
      </c>
      <c r="F301" s="0" t="s">
        <v>1978</v>
      </c>
      <c r="G301" s="0">
        <v>1</v>
      </c>
      <c r="H301" s="0">
        <v>1</v>
      </c>
      <c r="I301" s="0">
        <v>20</v>
      </c>
      <c r="J301" s="0">
        <v>0</v>
      </c>
      <c r="K301" s="0">
        <v>0</v>
      </c>
      <c r="L301" s="0">
        <v>0</v>
      </c>
      <c r="M301" s="0">
        <v>0</v>
      </c>
      <c r="N301" s="0">
        <v>15</v>
      </c>
      <c r="O301" s="0">
        <v>0</v>
      </c>
      <c r="P301" s="0">
        <v>0</v>
      </c>
      <c r="Q301" s="0">
        <v>0</v>
      </c>
      <c r="R301" s="0">
        <v>0</v>
      </c>
      <c r="S301" s="0">
        <v>0</v>
      </c>
      <c r="T301" s="0" t="s">
        <v>34</v>
      </c>
      <c r="U301" s="0" t="s">
        <v>34</v>
      </c>
      <c r="V301" s="0" t="s">
        <v>882</v>
      </c>
      <c r="W301" s="11">
        <f>IF($V301="No","",ROUND((I301*w_Damage + N301*w_Poison + P301*w_Weaken*w_Horizon)*MIN(1+(G301-1)*w_OccEnemy,w_MaxEnemies) + (J301*w_Heal + K301*w_Shield + L301*w_Block + M301*w_Parry + O301*w_Strength*w_Horizon + S301*w_Combo)*MIN(1+(H301-1)*w_OccAlly,w_MaxAllies) + Q301*w_Draw + R301*w_Move,2))</f>
      </c>
      <c r="X301" s="11">
        <f>IF(W301="","",ROUND(W301/MAX(D301,1),2))</f>
      </c>
      <c r="Y301" s="11">
        <f>IF($V301="No","",ROUND((curve_Base+curve_Slope*D301)*IFERROR(VLOOKUP(E301,rarity_Mult,2,FALSE),1),2))</f>
      </c>
      <c r="Z301" s="11">
        <f>IF(OR(W301="",Y301=""),"",ROUND(W301-Y301,2))</f>
      </c>
      <c r="AA301" s="0">
        <f>IF(Z301="","",IF($V301="Partial","RIDER",IF(ABS(Z301)&lt;=Y301*tol_Pct,"OK",IF(Z301&gt;0,"OVER","UNDER"))))</f>
      </c>
      <c r="AB301" s="0" t="s">
        <v>34</v>
      </c>
      <c r="AC301" s="0">
        <f>IF(AND($V301&lt;&gt;"No",$E301="Common",NOT(ISNUMBER(SEARCH("Ideas",$F301)))),$W301,NA())</f>
      </c>
      <c r="AD301" s="0">
        <f>IF(AND($V301&lt;&gt;"No",$E301="Uncommon",NOT(ISNUMBER(SEARCH("Ideas",$F301)))),$W301,NA())</f>
      </c>
      <c r="AE301" s="0">
        <f>IF(AND($V301&lt;&gt;"No",$E301="Rare",NOT(ISNUMBER(SEARCH("Ideas",$F301)))),$W301,NA())</f>
      </c>
      <c r="AF301" s="0">
        <f>IF(AND($V301&lt;&gt;"No",$E301="Legendary",NOT(ISNUMBER(SEARCH("Ideas",$F301)))),$W301,NA())</f>
      </c>
      <c r="AG301" s="0">
        <f>IF(AND($V301&lt;&gt;"No",ISNUMBER(SEARCH("Knight",$C301)),NOT(ISNUMBER(SEARCH("Ideas",$F301)))),$X301,NA())</f>
      </c>
      <c r="AH301" s="0">
        <f>IF(AND($V301&lt;&gt;"No",ISNUMBER(SEARCH("Mage",$C301)),NOT(ISNUMBER(SEARCH("Ideas",$F301)))),$X301,NA())</f>
      </c>
      <c r="AI301" s="0">
        <f>IF(AND($V301&lt;&gt;"No",ISNUMBER(SEARCH("Rogue",$C301)),NOT(ISNUMBER(SEARCH("Ideas",$F301)))),$X301,NA())</f>
      </c>
      <c r="AJ301" s="0">
        <f>IF($V301&lt;&gt;"No",$Y301,NA())</f>
      </c>
      <c r="AK301" s="0">
        <f>IF(AND($V301&lt;&gt;"No",ISNUMBER(SEARCH("Ideas",$F301))),$W301,NA())</f>
      </c>
      <c r="AL301" s="0">
        <f>IF(AND($V301&lt;&gt;"No",ISNUMBER(SEARCH("Cleric",$C301)),NOT(ISNUMBER(SEARCH("Ideas",$F301)))),$X301,NA())</f>
      </c>
    </row>
    <row r="302">
      <c r="A302" s="0" t="s">
        <v>1382</v>
      </c>
      <c r="B302" s="0" t="s">
        <v>1380</v>
      </c>
      <c r="C302" s="0" t="s">
        <v>363</v>
      </c>
      <c r="D302" s="0">
        <v>3</v>
      </c>
      <c r="E302" s="0" t="s">
        <v>62</v>
      </c>
      <c r="F302" s="0" t="s">
        <v>1978</v>
      </c>
      <c r="G302" s="0">
        <v>9</v>
      </c>
      <c r="H302" s="0">
        <v>1</v>
      </c>
      <c r="I302" s="0">
        <v>7</v>
      </c>
      <c r="J302" s="0">
        <v>0</v>
      </c>
      <c r="K302" s="0">
        <v>0</v>
      </c>
      <c r="L302" s="0">
        <v>0</v>
      </c>
      <c r="M302" s="0">
        <v>0</v>
      </c>
      <c r="N302" s="0">
        <v>0</v>
      </c>
      <c r="O302" s="0">
        <v>0</v>
      </c>
      <c r="P302" s="0">
        <v>0</v>
      </c>
      <c r="Q302" s="0">
        <v>0</v>
      </c>
      <c r="R302" s="0">
        <v>0</v>
      </c>
      <c r="S302" s="0">
        <v>0</v>
      </c>
      <c r="T302" s="0" t="s">
        <v>34</v>
      </c>
      <c r="U302" s="0" t="s">
        <v>34</v>
      </c>
      <c r="V302" s="0" t="s">
        <v>882</v>
      </c>
      <c r="W302" s="11">
        <f>IF($V302="No","",ROUND((I302*w_Damage + N302*w_Poison + P302*w_Weaken*w_Horizon)*MIN(1+(G302-1)*w_OccEnemy,w_MaxEnemies) + (J302*w_Heal + K302*w_Shield + L302*w_Block + M302*w_Parry + O302*w_Strength*w_Horizon + S302*w_Combo)*MIN(1+(H302-1)*w_OccAlly,w_MaxAllies) + Q302*w_Draw + R302*w_Move,2))</f>
      </c>
      <c r="X302" s="11">
        <f>IF(W302="","",ROUND(W302/MAX(D302,1),2))</f>
      </c>
      <c r="Y302" s="11">
        <f>IF($V302="No","",ROUND((curve_Base+curve_Slope*D302)*IFERROR(VLOOKUP(E302,rarity_Mult,2,FALSE),1),2))</f>
      </c>
      <c r="Z302" s="11">
        <f>IF(OR(W302="",Y302=""),"",ROUND(W302-Y302,2))</f>
      </c>
      <c r="AA302" s="0">
        <f>IF(Z302="","",IF($V302="Partial","RIDER",IF(ABS(Z302)&lt;=Y302*tol_Pct,"OK",IF(Z302&gt;0,"OVER","UNDER"))))</f>
      </c>
      <c r="AB302" s="0" t="s">
        <v>34</v>
      </c>
      <c r="AC302" s="0">
        <f>IF(AND($V302&lt;&gt;"No",$E302="Common",NOT(ISNUMBER(SEARCH("Ideas",$F302)))),$W302,NA())</f>
      </c>
      <c r="AD302" s="0">
        <f>IF(AND($V302&lt;&gt;"No",$E302="Uncommon",NOT(ISNUMBER(SEARCH("Ideas",$F302)))),$W302,NA())</f>
      </c>
      <c r="AE302" s="0">
        <f>IF(AND($V302&lt;&gt;"No",$E302="Rare",NOT(ISNUMBER(SEARCH("Ideas",$F302)))),$W302,NA())</f>
      </c>
      <c r="AF302" s="0">
        <f>IF(AND($V302&lt;&gt;"No",$E302="Legendary",NOT(ISNUMBER(SEARCH("Ideas",$F302)))),$W302,NA())</f>
      </c>
      <c r="AG302" s="0">
        <f>IF(AND($V302&lt;&gt;"No",ISNUMBER(SEARCH("Knight",$C302)),NOT(ISNUMBER(SEARCH("Ideas",$F302)))),$X302,NA())</f>
      </c>
      <c r="AH302" s="0">
        <f>IF(AND($V302&lt;&gt;"No",ISNUMBER(SEARCH("Mage",$C302)),NOT(ISNUMBER(SEARCH("Ideas",$F302)))),$X302,NA())</f>
      </c>
      <c r="AI302" s="0">
        <f>IF(AND($V302&lt;&gt;"No",ISNUMBER(SEARCH("Rogue",$C302)),NOT(ISNUMBER(SEARCH("Ideas",$F302)))),$X302,NA())</f>
      </c>
      <c r="AJ302" s="0">
        <f>IF($V302&lt;&gt;"No",$Y302,NA())</f>
      </c>
      <c r="AK302" s="0">
        <f>IF(AND($V302&lt;&gt;"No",ISNUMBER(SEARCH("Ideas",$F302))),$W302,NA())</f>
      </c>
      <c r="AL302" s="0">
        <f>IF(AND($V302&lt;&gt;"No",ISNUMBER(SEARCH("Cleric",$C302)),NOT(ISNUMBER(SEARCH("Ideas",$F302)))),$X302,NA())</f>
      </c>
    </row>
    <row r="303">
      <c r="A303" s="0" t="s">
        <v>1385</v>
      </c>
      <c r="B303" s="0" t="s">
        <v>1383</v>
      </c>
      <c r="C303" s="0" t="s">
        <v>363</v>
      </c>
      <c r="D303" s="0">
        <v>3</v>
      </c>
      <c r="E303" s="0" t="s">
        <v>985</v>
      </c>
      <c r="F303" s="0" t="s">
        <v>1978</v>
      </c>
      <c r="G303" s="0">
        <v>1</v>
      </c>
      <c r="H303" s="0">
        <v>1</v>
      </c>
      <c r="I303" s="0">
        <v>0</v>
      </c>
      <c r="J303" s="0">
        <v>0</v>
      </c>
      <c r="K303" s="0">
        <v>0</v>
      </c>
      <c r="L303" s="0">
        <v>0</v>
      </c>
      <c r="M303" s="0">
        <v>0</v>
      </c>
      <c r="N303" s="0">
        <v>0</v>
      </c>
      <c r="O303" s="0">
        <v>3</v>
      </c>
      <c r="P303" s="0">
        <v>0</v>
      </c>
      <c r="Q303" s="0">
        <v>2</v>
      </c>
      <c r="R303" s="0">
        <v>0</v>
      </c>
      <c r="S303" s="0">
        <v>0</v>
      </c>
      <c r="T303" s="0" t="s">
        <v>34</v>
      </c>
      <c r="U303" s="0" t="s">
        <v>361</v>
      </c>
      <c r="V303" s="0" t="s">
        <v>1905</v>
      </c>
      <c r="W303" s="11">
        <f>IF($V303="No","",ROUND((I303*w_Damage + N303*w_Poison + P303*w_Weaken*w_Horizon)*MIN(1+(G303-1)*w_OccEnemy,w_MaxEnemies) + (J303*w_Heal + K303*w_Shield + L303*w_Block + M303*w_Parry + O303*w_Strength*w_Horizon + S303*w_Combo)*MIN(1+(H303-1)*w_OccAlly,w_MaxAllies) + Q303*w_Draw + R303*w_Move,2))</f>
      </c>
      <c r="X303" s="11">
        <f>IF(W303="","",ROUND(W303/MAX(D303,1),2))</f>
      </c>
      <c r="Y303" s="11">
        <f>IF($V303="No","",ROUND((curve_Base+curve_Slope*D303)*IFERROR(VLOOKUP(E303,rarity_Mult,2,FALSE),1),2))</f>
      </c>
      <c r="Z303" s="11">
        <f>IF(OR(W303="",Y303=""),"",ROUND(W303-Y303,2))</f>
      </c>
      <c r="AA303" s="0">
        <f>IF(Z303="","",IF($V303="Partial","RIDER",IF(ABS(Z303)&lt;=Y303*tol_Pct,"OK",IF(Z303&gt;0,"OVER","UNDER"))))</f>
      </c>
      <c r="AB303" s="0" t="s">
        <v>34</v>
      </c>
      <c r="AC303" s="0">
        <f>IF(AND($V303&lt;&gt;"No",$E303="Common",NOT(ISNUMBER(SEARCH("Ideas",$F303)))),$W303,NA())</f>
      </c>
      <c r="AD303" s="0">
        <f>IF(AND($V303&lt;&gt;"No",$E303="Uncommon",NOT(ISNUMBER(SEARCH("Ideas",$F303)))),$W303,NA())</f>
      </c>
      <c r="AE303" s="0">
        <f>IF(AND($V303&lt;&gt;"No",$E303="Rare",NOT(ISNUMBER(SEARCH("Ideas",$F303)))),$W303,NA())</f>
      </c>
      <c r="AF303" s="0">
        <f>IF(AND($V303&lt;&gt;"No",$E303="Legendary",NOT(ISNUMBER(SEARCH("Ideas",$F303)))),$W303,NA())</f>
      </c>
      <c r="AG303" s="0">
        <f>IF(AND($V303&lt;&gt;"No",ISNUMBER(SEARCH("Knight",$C303)),NOT(ISNUMBER(SEARCH("Ideas",$F303)))),$X303,NA())</f>
      </c>
      <c r="AH303" s="0">
        <f>IF(AND($V303&lt;&gt;"No",ISNUMBER(SEARCH("Mage",$C303)),NOT(ISNUMBER(SEARCH("Ideas",$F303)))),$X303,NA())</f>
      </c>
      <c r="AI303" s="0">
        <f>IF(AND($V303&lt;&gt;"No",ISNUMBER(SEARCH("Rogue",$C303)),NOT(ISNUMBER(SEARCH("Ideas",$F303)))),$X303,NA())</f>
      </c>
      <c r="AJ303" s="0">
        <f>IF($V303&lt;&gt;"No",$Y303,NA())</f>
      </c>
      <c r="AK303" s="0">
        <f>IF(AND($V303&lt;&gt;"No",ISNUMBER(SEARCH("Ideas",$F303))),$W303,NA())</f>
      </c>
      <c r="AL303" s="0">
        <f>IF(AND($V303&lt;&gt;"No",ISNUMBER(SEARCH("Cleric",$C303)),NOT(ISNUMBER(SEARCH("Ideas",$F303)))),$X303,NA())</f>
      </c>
    </row>
    <row r="304">
      <c r="A304" s="0" t="s">
        <v>1389</v>
      </c>
      <c r="B304" s="0" t="s">
        <v>1386</v>
      </c>
      <c r="C304" s="0" t="s">
        <v>363</v>
      </c>
      <c r="D304" s="0">
        <v>3</v>
      </c>
      <c r="E304" s="0" t="s">
        <v>62</v>
      </c>
      <c r="F304" s="0" t="s">
        <v>1978</v>
      </c>
      <c r="G304" s="0">
        <v>1</v>
      </c>
      <c r="H304" s="0">
        <v>1</v>
      </c>
      <c r="I304" s="0">
        <v>0</v>
      </c>
      <c r="J304" s="0">
        <v>0</v>
      </c>
      <c r="K304" s="0">
        <v>0</v>
      </c>
      <c r="L304" s="0">
        <v>0</v>
      </c>
      <c r="M304" s="0">
        <v>0</v>
      </c>
      <c r="N304" s="0">
        <v>55</v>
      </c>
      <c r="O304" s="0">
        <v>0</v>
      </c>
      <c r="P304" s="0">
        <v>0</v>
      </c>
      <c r="Q304" s="0">
        <v>0</v>
      </c>
      <c r="R304" s="0">
        <v>0</v>
      </c>
      <c r="S304" s="0">
        <v>0</v>
      </c>
      <c r="T304" s="0" t="s">
        <v>34</v>
      </c>
      <c r="U304" s="0" t="s">
        <v>34</v>
      </c>
      <c r="V304" s="0" t="s">
        <v>882</v>
      </c>
      <c r="W304" s="11">
        <f>IF($V304="No","",ROUND((I304*w_Damage + N304*w_Poison + P304*w_Weaken*w_Horizon)*MIN(1+(G304-1)*w_OccEnemy,w_MaxEnemies) + (J304*w_Heal + K304*w_Shield + L304*w_Block + M304*w_Parry + O304*w_Strength*w_Horizon + S304*w_Combo)*MIN(1+(H304-1)*w_OccAlly,w_MaxAllies) + Q304*w_Draw + R304*w_Move,2))</f>
      </c>
      <c r="X304" s="11">
        <f>IF(W304="","",ROUND(W304/MAX(D304,1),2))</f>
      </c>
      <c r="Y304" s="11">
        <f>IF($V304="No","",ROUND((curve_Base+curve_Slope*D304)*IFERROR(VLOOKUP(E304,rarity_Mult,2,FALSE),1),2))</f>
      </c>
      <c r="Z304" s="11">
        <f>IF(OR(W304="",Y304=""),"",ROUND(W304-Y304,2))</f>
      </c>
      <c r="AA304" s="0">
        <f>IF(Z304="","",IF($V304="Partial","RIDER",IF(ABS(Z304)&lt;=Y304*tol_Pct,"OK",IF(Z304&gt;0,"OVER","UNDER"))))</f>
      </c>
      <c r="AB304" s="0" t="s">
        <v>34</v>
      </c>
      <c r="AC304" s="0">
        <f>IF(AND($V304&lt;&gt;"No",$E304="Common",NOT(ISNUMBER(SEARCH("Ideas",$F304)))),$W304,NA())</f>
      </c>
      <c r="AD304" s="0">
        <f>IF(AND($V304&lt;&gt;"No",$E304="Uncommon",NOT(ISNUMBER(SEARCH("Ideas",$F304)))),$W304,NA())</f>
      </c>
      <c r="AE304" s="0">
        <f>IF(AND($V304&lt;&gt;"No",$E304="Rare",NOT(ISNUMBER(SEARCH("Ideas",$F304)))),$W304,NA())</f>
      </c>
      <c r="AF304" s="0">
        <f>IF(AND($V304&lt;&gt;"No",$E304="Legendary",NOT(ISNUMBER(SEARCH("Ideas",$F304)))),$W304,NA())</f>
      </c>
      <c r="AG304" s="0">
        <f>IF(AND($V304&lt;&gt;"No",ISNUMBER(SEARCH("Knight",$C304)),NOT(ISNUMBER(SEARCH("Ideas",$F304)))),$X304,NA())</f>
      </c>
      <c r="AH304" s="0">
        <f>IF(AND($V304&lt;&gt;"No",ISNUMBER(SEARCH("Mage",$C304)),NOT(ISNUMBER(SEARCH("Ideas",$F304)))),$X304,NA())</f>
      </c>
      <c r="AI304" s="0">
        <f>IF(AND($V304&lt;&gt;"No",ISNUMBER(SEARCH("Rogue",$C304)),NOT(ISNUMBER(SEARCH("Ideas",$F304)))),$X304,NA())</f>
      </c>
      <c r="AJ304" s="0">
        <f>IF($V304&lt;&gt;"No",$Y304,NA())</f>
      </c>
      <c r="AK304" s="0">
        <f>IF(AND($V304&lt;&gt;"No",ISNUMBER(SEARCH("Ideas",$F304))),$W304,NA())</f>
      </c>
      <c r="AL304" s="0">
        <f>IF(AND($V304&lt;&gt;"No",ISNUMBER(SEARCH("Cleric",$C304)),NOT(ISNUMBER(SEARCH("Ideas",$F304)))),$X304,NA())</f>
      </c>
    </row>
    <row r="305">
      <c r="A305" s="0" t="s">
        <v>1391</v>
      </c>
      <c r="B305" s="0" t="s">
        <v>1391</v>
      </c>
      <c r="C305" s="0" t="s">
        <v>363</v>
      </c>
      <c r="D305" s="0">
        <v>2</v>
      </c>
      <c r="E305" s="0" t="s">
        <v>62</v>
      </c>
      <c r="F305" s="0" t="s">
        <v>1978</v>
      </c>
      <c r="G305" s="0">
        <v>1</v>
      </c>
      <c r="H305" s="0">
        <v>1</v>
      </c>
      <c r="I305" s="0">
        <v>12</v>
      </c>
      <c r="J305" s="0">
        <v>0</v>
      </c>
      <c r="K305" s="0">
        <v>0</v>
      </c>
      <c r="L305" s="0">
        <v>0</v>
      </c>
      <c r="M305" s="0">
        <v>0</v>
      </c>
      <c r="N305" s="0">
        <v>0</v>
      </c>
      <c r="O305" s="0">
        <v>0</v>
      </c>
      <c r="P305" s="0">
        <v>3</v>
      </c>
      <c r="Q305" s="0">
        <v>0</v>
      </c>
      <c r="R305" s="0">
        <v>0</v>
      </c>
      <c r="S305" s="0">
        <v>0</v>
      </c>
      <c r="T305" s="0" t="s">
        <v>34</v>
      </c>
      <c r="U305" s="0" t="s">
        <v>34</v>
      </c>
      <c r="V305" s="0" t="s">
        <v>882</v>
      </c>
      <c r="W305" s="11">
        <f>IF($V305="No","",ROUND((I305*w_Damage + N305*w_Poison + P305*w_Weaken*w_Horizon)*MIN(1+(G305-1)*w_OccEnemy,w_MaxEnemies) + (J305*w_Heal + K305*w_Shield + L305*w_Block + M305*w_Parry + O305*w_Strength*w_Horizon + S305*w_Combo)*MIN(1+(H305-1)*w_OccAlly,w_MaxAllies) + Q305*w_Draw + R305*w_Move,2))</f>
      </c>
      <c r="X305" s="11">
        <f>IF(W305="","",ROUND(W305/MAX(D305,1),2))</f>
      </c>
      <c r="Y305" s="11">
        <f>IF($V305="No","",ROUND((curve_Base+curve_Slope*D305)*IFERROR(VLOOKUP(E305,rarity_Mult,2,FALSE),1),2))</f>
      </c>
      <c r="Z305" s="11">
        <f>IF(OR(W305="",Y305=""),"",ROUND(W305-Y305,2))</f>
      </c>
      <c r="AA305" s="0">
        <f>IF(Z305="","",IF($V305="Partial","RIDER",IF(ABS(Z305)&lt;=Y305*tol_Pct,"OK",IF(Z305&gt;0,"OVER","UNDER"))))</f>
      </c>
      <c r="AB305" s="0" t="s">
        <v>34</v>
      </c>
      <c r="AC305" s="0">
        <f>IF(AND($V305&lt;&gt;"No",$E305="Common",NOT(ISNUMBER(SEARCH("Ideas",$F305)))),$W305,NA())</f>
      </c>
      <c r="AD305" s="0">
        <f>IF(AND($V305&lt;&gt;"No",$E305="Uncommon",NOT(ISNUMBER(SEARCH("Ideas",$F305)))),$W305,NA())</f>
      </c>
      <c r="AE305" s="0">
        <f>IF(AND($V305&lt;&gt;"No",$E305="Rare",NOT(ISNUMBER(SEARCH("Ideas",$F305)))),$W305,NA())</f>
      </c>
      <c r="AF305" s="0">
        <f>IF(AND($V305&lt;&gt;"No",$E305="Legendary",NOT(ISNUMBER(SEARCH("Ideas",$F305)))),$W305,NA())</f>
      </c>
      <c r="AG305" s="0">
        <f>IF(AND($V305&lt;&gt;"No",ISNUMBER(SEARCH("Knight",$C305)),NOT(ISNUMBER(SEARCH("Ideas",$F305)))),$X305,NA())</f>
      </c>
      <c r="AH305" s="0">
        <f>IF(AND($V305&lt;&gt;"No",ISNUMBER(SEARCH("Mage",$C305)),NOT(ISNUMBER(SEARCH("Ideas",$F305)))),$X305,NA())</f>
      </c>
      <c r="AI305" s="0">
        <f>IF(AND($V305&lt;&gt;"No",ISNUMBER(SEARCH("Rogue",$C305)),NOT(ISNUMBER(SEARCH("Ideas",$F305)))),$X305,NA())</f>
      </c>
      <c r="AJ305" s="0">
        <f>IF($V305&lt;&gt;"No",$Y305,NA())</f>
      </c>
      <c r="AK305" s="0">
        <f>IF(AND($V305&lt;&gt;"No",ISNUMBER(SEARCH("Ideas",$F305))),$W305,NA())</f>
      </c>
      <c r="AL305" s="0">
        <f>IF(AND($V305&lt;&gt;"No",ISNUMBER(SEARCH("Cleric",$C305)),NOT(ISNUMBER(SEARCH("Ideas",$F305)))),$X305,NA())</f>
      </c>
    </row>
    <row r="306">
      <c r="A306" s="0" t="s">
        <v>1396</v>
      </c>
      <c r="B306" s="0" t="s">
        <v>1393</v>
      </c>
      <c r="C306" s="0" t="s">
        <v>363</v>
      </c>
      <c r="D306" s="0">
        <v>3</v>
      </c>
      <c r="E306" s="0" t="s">
        <v>985</v>
      </c>
      <c r="F306" s="0" t="s">
        <v>1978</v>
      </c>
      <c r="G306" s="0">
        <v>1</v>
      </c>
      <c r="H306" s="0">
        <v>1</v>
      </c>
      <c r="I306" s="0">
        <v>15</v>
      </c>
      <c r="J306" s="0">
        <v>0</v>
      </c>
      <c r="K306" s="0">
        <v>0</v>
      </c>
      <c r="L306" s="0">
        <v>0</v>
      </c>
      <c r="M306" s="0">
        <v>0</v>
      </c>
      <c r="N306" s="0">
        <v>0</v>
      </c>
      <c r="O306" s="0">
        <v>0</v>
      </c>
      <c r="P306" s="0">
        <v>0</v>
      </c>
      <c r="Q306" s="0">
        <v>3</v>
      </c>
      <c r="R306" s="0">
        <v>0</v>
      </c>
      <c r="S306" s="0">
        <v>0</v>
      </c>
      <c r="T306" s="0" t="s">
        <v>34</v>
      </c>
      <c r="U306" s="0" t="s">
        <v>34</v>
      </c>
      <c r="V306" s="0" t="s">
        <v>882</v>
      </c>
      <c r="W306" s="11">
        <f>IF($V306="No","",ROUND((I306*w_Damage + N306*w_Poison + P306*w_Weaken*w_Horizon)*MIN(1+(G306-1)*w_OccEnemy,w_MaxEnemies) + (J306*w_Heal + K306*w_Shield + L306*w_Block + M306*w_Parry + O306*w_Strength*w_Horizon + S306*w_Combo)*MIN(1+(H306-1)*w_OccAlly,w_MaxAllies) + Q306*w_Draw + R306*w_Move,2))</f>
      </c>
      <c r="X306" s="11">
        <f>IF(W306="","",ROUND(W306/MAX(D306,1),2))</f>
      </c>
      <c r="Y306" s="11">
        <f>IF($V306="No","",ROUND((curve_Base+curve_Slope*D306)*IFERROR(VLOOKUP(E306,rarity_Mult,2,FALSE),1),2))</f>
      </c>
      <c r="Z306" s="11">
        <f>IF(OR(W306="",Y306=""),"",ROUND(W306-Y306,2))</f>
      </c>
      <c r="AA306" s="0">
        <f>IF(Z306="","",IF($V306="Partial","RIDER",IF(ABS(Z306)&lt;=Y306*tol_Pct,"OK",IF(Z306&gt;0,"OVER","UNDER"))))</f>
      </c>
      <c r="AB306" s="0" t="s">
        <v>34</v>
      </c>
      <c r="AC306" s="0">
        <f>IF(AND($V306&lt;&gt;"No",$E306="Common",NOT(ISNUMBER(SEARCH("Ideas",$F306)))),$W306,NA())</f>
      </c>
      <c r="AD306" s="0">
        <f>IF(AND($V306&lt;&gt;"No",$E306="Uncommon",NOT(ISNUMBER(SEARCH("Ideas",$F306)))),$W306,NA())</f>
      </c>
      <c r="AE306" s="0">
        <f>IF(AND($V306&lt;&gt;"No",$E306="Rare",NOT(ISNUMBER(SEARCH("Ideas",$F306)))),$W306,NA())</f>
      </c>
      <c r="AF306" s="0">
        <f>IF(AND($V306&lt;&gt;"No",$E306="Legendary",NOT(ISNUMBER(SEARCH("Ideas",$F306)))),$W306,NA())</f>
      </c>
      <c r="AG306" s="0">
        <f>IF(AND($V306&lt;&gt;"No",ISNUMBER(SEARCH("Knight",$C306)),NOT(ISNUMBER(SEARCH("Ideas",$F306)))),$X306,NA())</f>
      </c>
      <c r="AH306" s="0">
        <f>IF(AND($V306&lt;&gt;"No",ISNUMBER(SEARCH("Mage",$C306)),NOT(ISNUMBER(SEARCH("Ideas",$F306)))),$X306,NA())</f>
      </c>
      <c r="AI306" s="0">
        <f>IF(AND($V306&lt;&gt;"No",ISNUMBER(SEARCH("Rogue",$C306)),NOT(ISNUMBER(SEARCH("Ideas",$F306)))),$X306,NA())</f>
      </c>
      <c r="AJ306" s="0">
        <f>IF($V306&lt;&gt;"No",$Y306,NA())</f>
      </c>
      <c r="AK306" s="0">
        <f>IF(AND($V306&lt;&gt;"No",ISNUMBER(SEARCH("Ideas",$F306))),$W306,NA())</f>
      </c>
      <c r="AL306" s="0">
        <f>IF(AND($V306&lt;&gt;"No",ISNUMBER(SEARCH("Cleric",$C306)),NOT(ISNUMBER(SEARCH("Ideas",$F306)))),$X306,NA())</f>
      </c>
    </row>
  </sheetData>
  <autoFilter ref="A1:AL306"/>
  <conditionalFormatting sqref="AA2:AA306">
    <cfRule priority="1" type="cellIs" operator="equal" dxfId="2">
      <formula>"OVER"</formula>
    </cfRule>
    <cfRule priority="2" type="cellIs" operator="equal" dxfId="3">
      <formula>"UNDER"</formula>
    </cfRule>
    <cfRule priority="3" type="cellIs" operator="equal" dxfId="4">
      <formula>"OK"</formula>
    </cfRule>
    <cfRule priority="4" type="cellIs" operator="equal" dxfId="5">
      <formula>"RIDER"</formula>
    </cfRule>
  </conditionalFormatting>
  <conditionalFormatting sqref="AB2:AB306">
    <cfRule priority="5" type="containsText" operator="containsText" text="blank" dxfId="6">
      <formula>NOT(ISERROR(SEARCH("blank",AB2)))</formula>
    </cfRule>
    <cfRule priority="6" type="containsText" operator="containsText" text="no effects" dxfId="7">
      <formula>NOT(ISERROR(SEARCH("no effects",AB2)))</formula>
    </cfRule>
  </conditionalFormatting>
  <hyperlinks>
    <hyperlink ref="U44" r:id="rId1"/>
  </hyperlinks>
  <headerFooter/>
</worksheet>
</file>

<file path=xl/worksheets/sheet14.xml><?xml version="1.0" encoding="utf-8"?>
<worksheet xmlns:r="http://schemas.openxmlformats.org/officeDocument/2006/relationships" xmlns="http://schemas.openxmlformats.org/spreadsheetml/2006/main">
  <dimension ref="A1:C100"/>
  <sheetViews>
    <sheetView workbookViewId="0" tabSelected="0"/>
  </sheetViews>
  <sheetFormatPr defaultRowHeight="15"/>
  <cols>
    <col min="1" max="1" width="16" customWidth="1"/>
    <col min="2" max="2" width="11" customWidth="1"/>
    <col min="3" max="3" width="82" customWidth="1" style="8"/>
  </cols>
  <sheetData>
    <row r="1">
      <c r="A1" s="7" t="s">
        <v>1979</v>
      </c>
      <c r="B1" s="7" t="s">
        <v>1980</v>
      </c>
      <c r="C1" s="9" t="s">
        <v>1981</v>
      </c>
    </row>
    <row r="2">
      <c r="A2" s="0" t="s">
        <v>1982</v>
      </c>
      <c r="B2" s="11">
        <v>1</v>
      </c>
      <c r="C2" s="8" t="s">
        <v>1983</v>
      </c>
    </row>
    <row r="3">
      <c r="A3" s="0" t="s">
        <v>1984</v>
      </c>
      <c r="B3" s="11">
        <v>0.8</v>
      </c>
      <c r="C3" s="8" t="s">
        <v>1985</v>
      </c>
    </row>
    <row r="4">
      <c r="A4" s="0" t="s">
        <v>1986</v>
      </c>
      <c r="B4" s="11">
        <v>0.7</v>
      </c>
      <c r="C4" s="8" t="s">
        <v>1987</v>
      </c>
    </row>
    <row r="5">
      <c r="A5" s="0" t="s">
        <v>1988</v>
      </c>
      <c r="B5" s="11">
        <v>0.9</v>
      </c>
      <c r="C5" s="8" t="s">
        <v>1989</v>
      </c>
    </row>
    <row r="6">
      <c r="A6" s="0" t="s">
        <v>1990</v>
      </c>
      <c r="B6" s="11">
        <v>5</v>
      </c>
      <c r="C6" s="8" t="s">
        <v>1991</v>
      </c>
    </row>
    <row r="7">
      <c r="A7" s="0" t="s">
        <v>1992</v>
      </c>
      <c r="B7" s="11">
        <v>1.2</v>
      </c>
      <c r="C7" s="8" t="s">
        <v>1993</v>
      </c>
    </row>
    <row r="8">
      <c r="A8" s="0" t="s">
        <v>1994</v>
      </c>
      <c r="B8" s="11">
        <v>1</v>
      </c>
      <c r="C8" s="8" t="s">
        <v>1995</v>
      </c>
    </row>
    <row r="9">
      <c r="A9" s="0" t="s">
        <v>1996</v>
      </c>
      <c r="B9" s="11">
        <v>1</v>
      </c>
      <c r="C9" s="8" t="s">
        <v>1997</v>
      </c>
    </row>
    <row r="10">
      <c r="A10" s="0" t="s">
        <v>1998</v>
      </c>
      <c r="B10" s="11">
        <v>3</v>
      </c>
      <c r="C10" s="8" t="s">
        <v>1999</v>
      </c>
    </row>
    <row r="11">
      <c r="A11" s="0" t="s">
        <v>2000</v>
      </c>
      <c r="B11" s="11">
        <v>3</v>
      </c>
      <c r="C11" s="8" t="s">
        <v>2001</v>
      </c>
    </row>
    <row r="12">
      <c r="A12" s="0" t="s">
        <v>2002</v>
      </c>
      <c r="B12" s="11">
        <v>6</v>
      </c>
      <c r="C12" s="8" t="s">
        <v>2003</v>
      </c>
    </row>
    <row r="13">
      <c r="A13" s="0" t="s">
        <v>2004</v>
      </c>
      <c r="B13" s="11">
        <v>0.5</v>
      </c>
      <c r="C13" s="8" t="s">
        <v>2005</v>
      </c>
    </row>
    <row r="14">
      <c r="A14" s="0" t="s">
        <v>2006</v>
      </c>
      <c r="B14" s="11">
        <v>0.25</v>
      </c>
      <c r="C14" s="8" t="s">
        <v>2007</v>
      </c>
    </row>
    <row r="15">
      <c r="A15" s="0" t="s">
        <v>2008</v>
      </c>
      <c r="B15" s="11">
        <v>4</v>
      </c>
      <c r="C15" s="8" t="s">
        <v>2009</v>
      </c>
    </row>
    <row r="16">
      <c r="A16" s="0" t="s">
        <v>2010</v>
      </c>
      <c r="B16" s="11">
        <v>3</v>
      </c>
      <c r="C16" s="8" t="s">
        <v>2011</v>
      </c>
    </row>
    <row r="17">
      <c r="A17" s="0" t="s">
        <v>2012</v>
      </c>
      <c r="B17" s="11">
        <v>3</v>
      </c>
      <c r="C17" s="8" t="s">
        <v>2013</v>
      </c>
    </row>
    <row r="18">
      <c r="A18" s="0" t="s">
        <v>2014</v>
      </c>
      <c r="B18" s="11">
        <v>2</v>
      </c>
      <c r="C18" s="8" t="s">
        <v>2015</v>
      </c>
    </row>
    <row r="19">
      <c r="A19" s="0" t="s">
        <v>2016</v>
      </c>
      <c r="B19" s="11">
        <v>6</v>
      </c>
      <c r="C19" s="8" t="s">
        <v>2017</v>
      </c>
    </row>
    <row r="20">
      <c r="A20" s="0" t="s">
        <v>2018</v>
      </c>
      <c r="B20" s="11">
        <v>0.25</v>
      </c>
      <c r="C20" s="8" t="s">
        <v>2019</v>
      </c>
    </row>
    <row r="21">
      <c r="A21" s="0" t="s">
        <v>2020</v>
      </c>
      <c r="B21" s="11">
        <v>64</v>
      </c>
      <c r="C21" s="8" t="s">
        <v>2021</v>
      </c>
    </row>
    <row r="22">
      <c r="B22" s="11"/>
    </row>
    <row r="23">
      <c r="A23" s="7" t="s">
        <v>2022</v>
      </c>
      <c r="B23" s="11"/>
    </row>
    <row r="24">
      <c r="A24" s="7" t="s">
        <v>2</v>
      </c>
      <c r="B24" s="12" t="s">
        <v>2023</v>
      </c>
    </row>
    <row r="25">
      <c r="A25" s="0" t="s">
        <v>81</v>
      </c>
      <c r="B25" s="11">
        <v>1</v>
      </c>
    </row>
    <row r="26">
      <c r="A26" s="0" t="s">
        <v>32</v>
      </c>
      <c r="B26" s="11">
        <v>1.15</v>
      </c>
    </row>
    <row r="27">
      <c r="A27" s="0" t="s">
        <v>62</v>
      </c>
      <c r="B27" s="11">
        <v>1.35</v>
      </c>
    </row>
    <row r="28">
      <c r="A28" s="0" t="s">
        <v>985</v>
      </c>
      <c r="B28" s="11">
        <v>1.6</v>
      </c>
    </row>
    <row r="29">
      <c r="A29" s="0" t="s">
        <v>174</v>
      </c>
      <c r="B29" s="11">
        <v>1</v>
      </c>
    </row>
    <row r="30">
      <c r="B30" s="11"/>
    </row>
    <row r="31">
      <c r="A31" s="13" t="s">
        <v>2024</v>
      </c>
      <c r="B31" s="11"/>
    </row>
    <row r="32">
      <c r="A32" s="13" t="s">
        <v>2025</v>
      </c>
      <c r="B32" s="11"/>
    </row>
    <row r="33">
      <c r="B33" s="11"/>
    </row>
    <row r="34">
      <c r="B34" s="11"/>
    </row>
    <row r="35">
      <c r="B35" s="11"/>
    </row>
    <row r="36">
      <c r="B36" s="11"/>
    </row>
    <row r="37">
      <c r="B37" s="11"/>
    </row>
    <row r="38">
      <c r="B38" s="11"/>
    </row>
    <row r="39">
      <c r="B39" s="11"/>
    </row>
    <row r="40">
      <c r="B40" s="11"/>
    </row>
    <row r="41">
      <c r="B41" s="11"/>
    </row>
    <row r="42">
      <c r="B42" s="11"/>
    </row>
    <row r="43">
      <c r="B43" s="11"/>
    </row>
    <row r="44">
      <c r="B44" s="11"/>
    </row>
    <row r="45">
      <c r="B45" s="11"/>
    </row>
    <row r="46">
      <c r="B46" s="11"/>
    </row>
    <row r="47">
      <c r="B47" s="11"/>
    </row>
    <row r="48">
      <c r="B48" s="11"/>
    </row>
    <row r="49">
      <c r="B49" s="11"/>
    </row>
    <row r="50">
      <c r="B50" s="11"/>
    </row>
    <row r="51">
      <c r="B51" s="11"/>
    </row>
    <row r="52">
      <c r="B52" s="11"/>
    </row>
    <row r="53">
      <c r="B53" s="11"/>
    </row>
    <row r="54">
      <c r="B54" s="11"/>
    </row>
    <row r="55">
      <c r="B55" s="11"/>
    </row>
    <row r="56">
      <c r="B56" s="11"/>
    </row>
    <row r="57">
      <c r="B57" s="11"/>
    </row>
    <row r="58">
      <c r="B58" s="11"/>
    </row>
    <row r="59">
      <c r="B59" s="11"/>
    </row>
    <row r="60">
      <c r="B60" s="11"/>
    </row>
    <row r="61">
      <c r="B61" s="11"/>
    </row>
    <row r="62">
      <c r="B62" s="11"/>
    </row>
    <row r="63">
      <c r="B63" s="11"/>
    </row>
    <row r="64">
      <c r="B64" s="11"/>
    </row>
    <row r="65">
      <c r="B65" s="11"/>
    </row>
    <row r="66">
      <c r="B66" s="11"/>
    </row>
    <row r="67">
      <c r="B67" s="11"/>
    </row>
    <row r="68">
      <c r="B68" s="11"/>
    </row>
    <row r="69">
      <c r="B69" s="11"/>
    </row>
    <row r="70">
      <c r="B70" s="11"/>
    </row>
    <row r="71">
      <c r="B71" s="11"/>
    </row>
    <row r="72">
      <c r="B72" s="11"/>
    </row>
    <row r="73">
      <c r="B73" s="11"/>
    </row>
    <row r="74">
      <c r="B74" s="11"/>
    </row>
    <row r="75">
      <c r="B75" s="11"/>
    </row>
    <row r="76">
      <c r="B76" s="11"/>
    </row>
    <row r="77">
      <c r="B77" s="11"/>
    </row>
    <row r="78">
      <c r="B78" s="11"/>
    </row>
    <row r="79">
      <c r="B79" s="11"/>
    </row>
    <row r="80">
      <c r="B80" s="11"/>
    </row>
    <row r="81">
      <c r="B81" s="11"/>
    </row>
    <row r="82">
      <c r="B82" s="11"/>
    </row>
    <row r="83">
      <c r="B83" s="11"/>
    </row>
    <row r="84">
      <c r="B84" s="11"/>
    </row>
    <row r="85">
      <c r="B85" s="11"/>
    </row>
    <row r="86">
      <c r="B86" s="11"/>
    </row>
    <row r="87">
      <c r="B87" s="11"/>
    </row>
    <row r="88">
      <c r="B88" s="11"/>
    </row>
    <row r="89">
      <c r="B89" s="11"/>
    </row>
    <row r="90">
      <c r="B90" s="11"/>
    </row>
    <row r="91">
      <c r="B91" s="11"/>
    </row>
    <row r="92">
      <c r="B92" s="11"/>
    </row>
    <row r="93">
      <c r="B93" s="11"/>
    </row>
    <row r="94">
      <c r="B94" s="11"/>
    </row>
    <row r="95">
      <c r="B95" s="11"/>
    </row>
    <row r="96">
      <c r="B96" s="11"/>
    </row>
    <row r="97">
      <c r="B97" s="11"/>
    </row>
    <row r="98">
      <c r="B98" s="11"/>
    </row>
    <row r="99">
      <c r="B99" s="11"/>
    </row>
    <row r="100">
      <c r="B100" s="11"/>
    </row>
  </sheetData>
  <headerFooter/>
</worksheet>
</file>

<file path=xl/worksheets/sheet15.xml><?xml version="1.0" encoding="utf-8"?>
<worksheet xmlns:r="http://schemas.openxmlformats.org/officeDocument/2006/relationships" xmlns="http://schemas.openxmlformats.org/spreadsheetml/2006/main">
  <dimension ref="A1:N122"/>
  <sheetViews>
    <sheetView workbookViewId="0" tabSelected="0"/>
  </sheetViews>
  <sheetFormatPr defaultRowHeight="15"/>
  <cols>
    <col min="1" max="1" width="20" customWidth="1"/>
    <col min="2" max="2" width="20" customWidth="1"/>
    <col min="3" max="3" width="20" customWidth="1"/>
    <col min="4" max="4" width="20" customWidth="1"/>
    <col min="5" max="5" width="20" customWidth="1"/>
    <col min="6" max="6" width="20" customWidth="1"/>
    <col min="7" max="7" width="20" customWidth="1"/>
    <col min="8" max="8" width="20" customWidth="1"/>
    <col min="9" max="9" width="20" customWidth="1"/>
    <col min="10" max="10" width="20" customWidth="1"/>
    <col min="11" max="11" width="20" customWidth="1"/>
    <col min="12" max="12" width="20" customWidth="1"/>
    <col min="13" max="13" width="20" customWidth="1"/>
  </cols>
  <sheetData>
    <row r="1">
      <c r="A1" s="7" t="s">
        <v>11</v>
      </c>
      <c r="B1" s="7" t="s">
        <v>2</v>
      </c>
      <c r="C1" s="7" t="s">
        <v>2026</v>
      </c>
      <c r="D1" s="7" t="s">
        <v>2027</v>
      </c>
      <c r="E1" s="7" t="s">
        <v>2028</v>
      </c>
      <c r="F1" s="7" t="s">
        <v>877</v>
      </c>
      <c r="G1" s="7" t="s">
        <v>880</v>
      </c>
      <c r="H1" s="7" t="s">
        <v>2029</v>
      </c>
      <c r="I1" s="7" t="s">
        <v>1868</v>
      </c>
      <c r="J1" s="7" t="s">
        <v>2030</v>
      </c>
      <c r="K1" s="7" t="s">
        <v>12</v>
      </c>
      <c r="L1" s="7" t="s">
        <v>2031</v>
      </c>
      <c r="M1" s="7" t="s">
        <v>2032</v>
      </c>
      <c r="N1" s="13" t="s">
        <v>2033</v>
      </c>
    </row>
    <row r="2">
      <c r="A2" s="0" t="s">
        <v>393</v>
      </c>
      <c r="B2" s="0" t="s">
        <v>81</v>
      </c>
      <c r="C2" s="0" t="s">
        <v>280</v>
      </c>
      <c r="D2" s="0" t="s">
        <v>102</v>
      </c>
      <c r="E2" s="0" t="s">
        <v>42</v>
      </c>
      <c r="F2" s="0" t="s">
        <v>882</v>
      </c>
      <c r="G2" s="0" t="s">
        <v>884</v>
      </c>
      <c r="H2" s="0" t="s">
        <v>139</v>
      </c>
      <c r="I2" s="0" t="s">
        <v>659</v>
      </c>
      <c r="J2" s="0" t="s">
        <v>33</v>
      </c>
      <c r="K2" s="0" t="s">
        <v>669</v>
      </c>
      <c r="L2" s="0" t="s">
        <v>2034</v>
      </c>
      <c r="M2" s="0" t="s">
        <v>59</v>
      </c>
    </row>
    <row r="3">
      <c r="A3" s="0" t="s">
        <v>49</v>
      </c>
      <c r="B3" s="0" t="s">
        <v>32</v>
      </c>
      <c r="C3" s="0" t="s">
        <v>101</v>
      </c>
      <c r="D3" s="0" t="s">
        <v>40</v>
      </c>
      <c r="E3" s="0" t="s">
        <v>43</v>
      </c>
      <c r="F3" s="0" t="s">
        <v>915</v>
      </c>
      <c r="G3" s="0" t="s">
        <v>889</v>
      </c>
      <c r="H3" s="0" t="s">
        <v>39</v>
      </c>
      <c r="I3" s="0" t="s">
        <v>1871</v>
      </c>
      <c r="J3" s="0" t="s">
        <v>367</v>
      </c>
      <c r="K3" s="0" t="s">
        <v>674</v>
      </c>
      <c r="L3" s="0" t="s">
        <v>2035</v>
      </c>
      <c r="M3" s="0" t="s">
        <v>164</v>
      </c>
    </row>
    <row r="4">
      <c r="A4" s="0" t="s">
        <v>257</v>
      </c>
      <c r="B4" s="0" t="s">
        <v>62</v>
      </c>
      <c r="C4" s="0" t="s">
        <v>143</v>
      </c>
      <c r="F4" s="0" t="s">
        <v>926</v>
      </c>
      <c r="G4" s="0" t="s">
        <v>910</v>
      </c>
      <c r="H4" s="0" t="s">
        <v>281</v>
      </c>
      <c r="I4" s="0" t="s">
        <v>1874</v>
      </c>
      <c r="J4" s="0" t="s">
        <v>907</v>
      </c>
      <c r="K4" s="0" t="s">
        <v>38</v>
      </c>
      <c r="L4" s="0" t="s">
        <v>2036</v>
      </c>
      <c r="M4" s="0" t="s">
        <v>55</v>
      </c>
    </row>
    <row r="5">
      <c r="A5" s="0" t="s">
        <v>363</v>
      </c>
      <c r="B5" s="0" t="s">
        <v>985</v>
      </c>
      <c r="C5" s="0" t="s">
        <v>36</v>
      </c>
      <c r="F5" s="0" t="s">
        <v>999</v>
      </c>
      <c r="H5" s="0" t="s">
        <v>798</v>
      </c>
      <c r="J5" s="0" t="s">
        <v>1480</v>
      </c>
      <c r="K5" s="0" t="s">
        <v>124</v>
      </c>
      <c r="L5" s="0" t="s">
        <v>459</v>
      </c>
      <c r="M5" s="0" t="s">
        <v>50</v>
      </c>
    </row>
    <row r="6">
      <c r="A6" s="0" t="s">
        <v>446</v>
      </c>
      <c r="B6" s="0" t="s">
        <v>174</v>
      </c>
      <c r="F6" s="0" t="s">
        <v>936</v>
      </c>
      <c r="H6" s="0" t="s">
        <v>350</v>
      </c>
      <c r="J6" s="0" t="s">
        <v>780</v>
      </c>
      <c r="K6" s="0" t="s">
        <v>687</v>
      </c>
      <c r="L6" s="0" t="s">
        <v>67</v>
      </c>
      <c r="M6" s="0" t="s">
        <v>510</v>
      </c>
    </row>
    <row r="7">
      <c r="A7" s="0" t="s">
        <v>2037</v>
      </c>
      <c r="H7" s="0" t="s">
        <v>199</v>
      </c>
      <c r="J7" s="0" t="s">
        <v>189</v>
      </c>
      <c r="K7" s="0" t="s">
        <v>258</v>
      </c>
    </row>
    <row r="8">
      <c r="A8" s="0" t="s">
        <v>37</v>
      </c>
      <c r="H8" s="0" t="s">
        <v>454</v>
      </c>
      <c r="J8" s="0" t="s">
        <v>185</v>
      </c>
      <c r="K8" s="0" t="s">
        <v>693</v>
      </c>
    </row>
    <row r="9">
      <c r="A9" s="0" t="s">
        <v>2038</v>
      </c>
      <c r="J9" s="0" t="s">
        <v>801</v>
      </c>
      <c r="K9" s="0" t="s">
        <v>705</v>
      </c>
    </row>
    <row r="10">
      <c r="A10" s="0" t="s">
        <v>2039</v>
      </c>
      <c r="J10" s="0" t="s">
        <v>272</v>
      </c>
      <c r="K10" s="0" t="s">
        <v>718</v>
      </c>
    </row>
    <row r="11">
      <c r="A11" s="0" t="s">
        <v>2040</v>
      </c>
      <c r="J11" s="0" t="s">
        <v>193</v>
      </c>
      <c r="K11" s="0" t="s">
        <v>732</v>
      </c>
    </row>
    <row r="12">
      <c r="A12" s="0" t="s">
        <v>2041</v>
      </c>
      <c r="J12" s="0" t="s">
        <v>136</v>
      </c>
      <c r="K12" s="0" t="s">
        <v>748</v>
      </c>
    </row>
    <row r="13">
      <c r="A13" s="0" t="s">
        <v>2042</v>
      </c>
      <c r="J13" s="0" t="s">
        <v>161</v>
      </c>
      <c r="K13" s="0" t="s">
        <v>760</v>
      </c>
    </row>
    <row r="14">
      <c r="J14" s="0" t="s">
        <v>152</v>
      </c>
      <c r="K14" s="0" t="s">
        <v>763</v>
      </c>
    </row>
    <row r="15">
      <c r="J15" s="0" t="s">
        <v>167</v>
      </c>
      <c r="K15" s="0" t="s">
        <v>767</v>
      </c>
    </row>
    <row r="16">
      <c r="J16" s="0" t="s">
        <v>147</v>
      </c>
      <c r="K16" s="0" t="s">
        <v>133</v>
      </c>
    </row>
    <row r="17">
      <c r="J17" s="0" t="s">
        <v>361</v>
      </c>
      <c r="K17" s="0" t="s">
        <v>777</v>
      </c>
    </row>
    <row r="18">
      <c r="J18" s="0" t="s">
        <v>127</v>
      </c>
      <c r="K18" s="0" t="s">
        <v>783</v>
      </c>
    </row>
    <row r="19">
      <c r="J19" s="0" t="s">
        <v>967</v>
      </c>
      <c r="K19" s="0" t="s">
        <v>138</v>
      </c>
    </row>
    <row r="20">
      <c r="J20" s="0" t="s">
        <v>47</v>
      </c>
      <c r="K20" s="0" t="s">
        <v>792</v>
      </c>
    </row>
    <row r="21">
      <c r="J21" s="0" t="s">
        <v>265</v>
      </c>
      <c r="K21" s="0" t="s">
        <v>281</v>
      </c>
    </row>
    <row r="22">
      <c r="J22" s="0" t="s">
        <v>489</v>
      </c>
      <c r="K22" s="0" t="s">
        <v>797</v>
      </c>
    </row>
    <row r="23">
      <c r="J23" s="0" t="s">
        <v>560</v>
      </c>
      <c r="K23" s="0" t="s">
        <v>803</v>
      </c>
    </row>
    <row r="24">
      <c r="J24" s="0" t="s">
        <v>273</v>
      </c>
      <c r="K24" s="0" t="s">
        <v>808</v>
      </c>
    </row>
    <row r="25">
      <c r="J25" s="0" t="s">
        <v>477</v>
      </c>
      <c r="K25" s="0" t="s">
        <v>285</v>
      </c>
    </row>
    <row r="26">
      <c r="J26" s="0" t="s">
        <v>131</v>
      </c>
      <c r="K26" s="0" t="s">
        <v>812</v>
      </c>
    </row>
    <row r="27">
      <c r="J27" s="0" t="s">
        <v>529</v>
      </c>
      <c r="K27" s="0" t="s">
        <v>816</v>
      </c>
    </row>
    <row r="28">
      <c r="J28" s="0" t="s">
        <v>485</v>
      </c>
      <c r="K28" s="0" t="s">
        <v>844</v>
      </c>
    </row>
    <row r="29">
      <c r="J29" s="0" t="s">
        <v>1526</v>
      </c>
      <c r="K29" s="0" t="s">
        <v>857</v>
      </c>
    </row>
    <row r="30">
      <c r="J30" s="0" t="s">
        <v>469</v>
      </c>
      <c r="K30" s="0" t="s">
        <v>862</v>
      </c>
    </row>
    <row r="31">
      <c r="J31" s="0" t="s">
        <v>375</v>
      </c>
      <c r="K31" s="0" t="s">
        <v>866</v>
      </c>
    </row>
    <row r="32">
      <c r="J32" s="0" t="s">
        <v>278</v>
      </c>
      <c r="K32" s="0" t="s">
        <v>871</v>
      </c>
    </row>
    <row r="33">
      <c r="J33" s="0" t="s">
        <v>73</v>
      </c>
      <c r="K33" s="0" t="s">
        <v>199</v>
      </c>
    </row>
    <row r="34">
      <c r="J34" s="0" t="s">
        <v>824</v>
      </c>
      <c r="K34" s="0" t="s">
        <v>249</v>
      </c>
    </row>
    <row r="35">
      <c r="J35" s="0" t="s">
        <v>798</v>
      </c>
      <c r="K35" s="0" t="s">
        <v>875</v>
      </c>
    </row>
    <row r="36">
      <c r="J36" s="0" t="s">
        <v>786</v>
      </c>
    </row>
    <row r="37">
      <c r="J37" s="0" t="s">
        <v>391</v>
      </c>
    </row>
    <row r="38">
      <c r="J38" s="0" t="s">
        <v>400</v>
      </c>
    </row>
    <row r="39">
      <c r="J39" s="0" t="s">
        <v>379</v>
      </c>
    </row>
    <row r="40">
      <c r="J40" s="0" t="s">
        <v>513</v>
      </c>
    </row>
    <row r="41">
      <c r="J41" s="0" t="s">
        <v>262</v>
      </c>
    </row>
    <row r="42">
      <c r="J42" s="0" t="s">
        <v>830</v>
      </c>
    </row>
    <row r="43">
      <c r="J43" s="0" t="s">
        <v>449</v>
      </c>
    </row>
    <row r="44">
      <c r="J44" s="0" t="s">
        <v>108</v>
      </c>
    </row>
    <row r="45">
      <c r="J45" s="0" t="s">
        <v>115</v>
      </c>
    </row>
    <row r="46">
      <c r="J46" s="0" t="s">
        <v>162</v>
      </c>
    </row>
    <row r="47">
      <c r="J47" s="0" t="s">
        <v>153</v>
      </c>
    </row>
    <row r="48">
      <c r="J48" s="0" t="s">
        <v>97</v>
      </c>
    </row>
    <row r="49">
      <c r="J49" s="0" t="s">
        <v>53</v>
      </c>
    </row>
    <row r="50">
      <c r="J50" s="0" t="s">
        <v>82</v>
      </c>
    </row>
    <row r="51">
      <c r="J51" s="0" t="s">
        <v>46</v>
      </c>
    </row>
    <row r="52">
      <c r="J52" s="0" t="s">
        <v>462</v>
      </c>
    </row>
    <row r="53">
      <c r="J53" s="0" t="s">
        <v>371</v>
      </c>
    </row>
    <row r="54">
      <c r="J54" s="0" t="s">
        <v>1451</v>
      </c>
    </row>
    <row r="55">
      <c r="J55" s="0" t="s">
        <v>122</v>
      </c>
    </row>
    <row r="56">
      <c r="J56" s="0" t="s">
        <v>564</v>
      </c>
    </row>
    <row r="57">
      <c r="J57" s="0" t="s">
        <v>210</v>
      </c>
    </row>
    <row r="58">
      <c r="J58" s="0" t="s">
        <v>568</v>
      </c>
    </row>
    <row r="59">
      <c r="J59" s="0" t="s">
        <v>729</v>
      </c>
    </row>
    <row r="60">
      <c r="J60" s="0" t="s">
        <v>572</v>
      </c>
    </row>
    <row r="61">
      <c r="J61" s="0" t="s">
        <v>304</v>
      </c>
    </row>
    <row r="62">
      <c r="J62" s="0" t="s">
        <v>197</v>
      </c>
    </row>
    <row r="63">
      <c r="J63" s="0" t="s">
        <v>576</v>
      </c>
    </row>
    <row r="64">
      <c r="J64" s="0" t="s">
        <v>596</v>
      </c>
    </row>
    <row r="65">
      <c r="J65" s="0" t="s">
        <v>600</v>
      </c>
    </row>
    <row r="66">
      <c r="J66" s="0" t="s">
        <v>300</v>
      </c>
    </row>
    <row r="67">
      <c r="J67" s="0" t="s">
        <v>604</v>
      </c>
    </row>
    <row r="68">
      <c r="J68" s="0" t="s">
        <v>308</v>
      </c>
    </row>
    <row r="69">
      <c r="J69" s="0" t="s">
        <v>408</v>
      </c>
    </row>
    <row r="70">
      <c r="J70" s="0" t="s">
        <v>312</v>
      </c>
    </row>
    <row r="71">
      <c r="J71" s="0" t="s">
        <v>404</v>
      </c>
    </row>
    <row r="72">
      <c r="J72" s="0" t="s">
        <v>344</v>
      </c>
    </row>
    <row r="73">
      <c r="J73" s="0" t="s">
        <v>580</v>
      </c>
    </row>
    <row r="74">
      <c r="J74" s="0" t="s">
        <v>316</v>
      </c>
    </row>
    <row r="75">
      <c r="J75" s="0" t="s">
        <v>412</v>
      </c>
    </row>
    <row r="76">
      <c r="J76" s="0" t="s">
        <v>320</v>
      </c>
    </row>
    <row r="77">
      <c r="J77" s="0" t="s">
        <v>214</v>
      </c>
    </row>
    <row r="78">
      <c r="J78" s="0" t="s">
        <v>416</v>
      </c>
    </row>
    <row r="79">
      <c r="J79" s="0" t="s">
        <v>715</v>
      </c>
    </row>
    <row r="80">
      <c r="J80" s="0" t="s">
        <v>608</v>
      </c>
    </row>
    <row r="81">
      <c r="J81" s="0" t="s">
        <v>703</v>
      </c>
    </row>
    <row r="82">
      <c r="J82" s="0" t="s">
        <v>324</v>
      </c>
    </row>
    <row r="83">
      <c r="J83" s="0" t="s">
        <v>420</v>
      </c>
    </row>
    <row r="84">
      <c r="J84" s="0" t="s">
        <v>690</v>
      </c>
    </row>
    <row r="85">
      <c r="J85" s="0" t="s">
        <v>218</v>
      </c>
    </row>
    <row r="86">
      <c r="J86" s="0" t="s">
        <v>222</v>
      </c>
    </row>
    <row r="87">
      <c r="J87" s="0" t="s">
        <v>770</v>
      </c>
    </row>
    <row r="88">
      <c r="J88" s="0" t="s">
        <v>226</v>
      </c>
    </row>
    <row r="89">
      <c r="J89" s="0" t="s">
        <v>584</v>
      </c>
    </row>
    <row r="90">
      <c r="J90" s="0" t="s">
        <v>612</v>
      </c>
    </row>
    <row r="91">
      <c r="J91" s="0" t="s">
        <v>424</v>
      </c>
    </row>
    <row r="92">
      <c r="J92" s="0" t="s">
        <v>328</v>
      </c>
    </row>
    <row r="93">
      <c r="J93" s="0" t="s">
        <v>616</v>
      </c>
    </row>
    <row r="94">
      <c r="J94" s="0" t="s">
        <v>332</v>
      </c>
    </row>
    <row r="95">
      <c r="J95" s="0" t="s">
        <v>336</v>
      </c>
    </row>
    <row r="96">
      <c r="J96" s="0" t="s">
        <v>620</v>
      </c>
    </row>
    <row r="97">
      <c r="J97" s="0" t="s">
        <v>340</v>
      </c>
    </row>
    <row r="98">
      <c r="J98" s="0" t="s">
        <v>636</v>
      </c>
    </row>
    <row r="99">
      <c r="J99" s="0" t="s">
        <v>672</v>
      </c>
    </row>
    <row r="100">
      <c r="J100" s="0" t="s">
        <v>646</v>
      </c>
    </row>
    <row r="101">
      <c r="J101" s="0" t="s">
        <v>745</v>
      </c>
    </row>
    <row r="102">
      <c r="J102" s="0" t="s">
        <v>428</v>
      </c>
    </row>
    <row r="103">
      <c r="J103" s="0" t="s">
        <v>588</v>
      </c>
    </row>
    <row r="104">
      <c r="J104" s="0" t="s">
        <v>202</v>
      </c>
    </row>
    <row r="105">
      <c r="J105" s="0" t="s">
        <v>230</v>
      </c>
    </row>
    <row r="106">
      <c r="J106" s="0" t="s">
        <v>234</v>
      </c>
    </row>
    <row r="107">
      <c r="J107" s="0" t="s">
        <v>238</v>
      </c>
    </row>
    <row r="108">
      <c r="J108" s="0" t="s">
        <v>432</v>
      </c>
    </row>
    <row r="109">
      <c r="J109" s="0" t="s">
        <v>441</v>
      </c>
    </row>
    <row r="110">
      <c r="J110" s="0" t="s">
        <v>436</v>
      </c>
    </row>
    <row r="111">
      <c r="J111" s="0" t="s">
        <v>592</v>
      </c>
    </row>
    <row r="112">
      <c r="J112" s="0" t="s">
        <v>242</v>
      </c>
    </row>
    <row r="113">
      <c r="J113" s="0" t="s">
        <v>624</v>
      </c>
    </row>
    <row r="114">
      <c r="J114" s="0" t="s">
        <v>628</v>
      </c>
    </row>
    <row r="115">
      <c r="J115" s="0" t="s">
        <v>632</v>
      </c>
    </row>
    <row r="116">
      <c r="J116" s="0" t="s">
        <v>206</v>
      </c>
    </row>
    <row r="117">
      <c r="J117" s="0" t="s">
        <v>63</v>
      </c>
    </row>
    <row r="118">
      <c r="J118" s="0" t="s">
        <v>1457</v>
      </c>
    </row>
    <row r="119">
      <c r="J119" s="0" t="s">
        <v>178</v>
      </c>
    </row>
    <row r="120">
      <c r="J120" s="0" t="s">
        <v>1464</v>
      </c>
    </row>
    <row r="121">
      <c r="J121" s="0" t="s">
        <v>255</v>
      </c>
    </row>
    <row r="122">
      <c r="J122" s="0" t="s">
        <v>384</v>
      </c>
    </row>
  </sheetData>
  <headerFooter/>
</worksheet>
</file>

<file path=xl/worksheets/sheet16.xml><?xml version="1.0" encoding="utf-8"?>
<worksheet xmlns:r="http://schemas.openxmlformats.org/officeDocument/2006/relationships" xmlns="http://schemas.openxmlformats.org/spreadsheetml/2006/main">
  <dimension ref="A1:B53"/>
  <sheetViews>
    <sheetView workbookViewId="0" tabSelected="0"/>
  </sheetViews>
  <sheetFormatPr defaultRowHeight="15"/>
  <cols>
    <col min="1" max="1" width="30" customWidth="1"/>
    <col min="2" max="2" width="120" customWidth="1" style="8"/>
  </cols>
  <sheetData>
    <row r="1">
      <c r="A1" s="14" t="s">
        <v>2043</v>
      </c>
    </row>
    <row r="2">
      <c r="A2" s="0" t="s">
        <v>34</v>
      </c>
    </row>
    <row r="3">
      <c r="A3" s="0" t="s">
        <v>2044</v>
      </c>
    </row>
    <row r="4">
      <c r="A4" s="0" t="s">
        <v>2045</v>
      </c>
    </row>
    <row r="5">
      <c r="A5" s="0" t="s">
        <v>34</v>
      </c>
    </row>
    <row r="6">
      <c r="A6" s="15" t="s">
        <v>2046</v>
      </c>
    </row>
    <row r="7">
      <c r="A7" s="7" t="s">
        <v>2047</v>
      </c>
      <c r="B7" s="8" t="s">
        <v>2048</v>
      </c>
    </row>
    <row r="8">
      <c r="A8" s="7" t="s">
        <v>2049</v>
      </c>
      <c r="B8" s="8" t="s">
        <v>2050</v>
      </c>
    </row>
    <row r="9">
      <c r="A9" s="7" t="s">
        <v>2051</v>
      </c>
      <c r="B9" s="8" t="s">
        <v>2052</v>
      </c>
    </row>
    <row r="10">
      <c r="A10" s="7" t="s">
        <v>2053</v>
      </c>
      <c r="B10" s="8" t="s">
        <v>2054</v>
      </c>
    </row>
    <row r="11">
      <c r="A11" s="7" t="s">
        <v>2055</v>
      </c>
      <c r="B11" s="8" t="s">
        <v>2056</v>
      </c>
    </row>
    <row r="12">
      <c r="A12" s="7" t="s">
        <v>2057</v>
      </c>
      <c r="B12" s="8" t="s">
        <v>2058</v>
      </c>
    </row>
    <row r="13">
      <c r="A13" s="7" t="s">
        <v>2059</v>
      </c>
      <c r="B13" s="8" t="s">
        <v>2060</v>
      </c>
    </row>
    <row r="14">
      <c r="A14" s="7" t="s">
        <v>2061</v>
      </c>
      <c r="B14" s="8" t="s">
        <v>2062</v>
      </c>
    </row>
    <row r="15">
      <c r="A15" s="7" t="s">
        <v>2063</v>
      </c>
      <c r="B15" s="8" t="s">
        <v>2064</v>
      </c>
    </row>
    <row r="16">
      <c r="A16" s="0" t="s">
        <v>34</v>
      </c>
    </row>
    <row r="17">
      <c r="A17" s="15" t="s">
        <v>2065</v>
      </c>
    </row>
    <row r="18">
      <c r="A18" s="7" t="s">
        <v>2066</v>
      </c>
      <c r="B18" s="8" t="s">
        <v>2067</v>
      </c>
    </row>
    <row r="19">
      <c r="A19" s="7" t="s">
        <v>2068</v>
      </c>
      <c r="B19" s="8" t="s">
        <v>2069</v>
      </c>
    </row>
    <row r="20">
      <c r="A20" s="7" t="s">
        <v>2070</v>
      </c>
      <c r="B20" s="8" t="s">
        <v>2071</v>
      </c>
    </row>
    <row r="21">
      <c r="A21" s="7" t="s">
        <v>2072</v>
      </c>
      <c r="B21" s="8" t="s">
        <v>2073</v>
      </c>
    </row>
    <row r="22">
      <c r="A22" s="7" t="s">
        <v>2074</v>
      </c>
      <c r="B22" s="8" t="s">
        <v>2075</v>
      </c>
    </row>
    <row r="23">
      <c r="A23" s="7" t="s">
        <v>2076</v>
      </c>
      <c r="B23" s="8" t="s">
        <v>2077</v>
      </c>
    </row>
    <row r="24">
      <c r="A24" s="0" t="s">
        <v>34</v>
      </c>
    </row>
    <row r="25">
      <c r="A25" s="15" t="s">
        <v>2078</v>
      </c>
    </row>
    <row r="26">
      <c r="A26" s="7" t="s">
        <v>2079</v>
      </c>
      <c r="B26" s="8" t="s">
        <v>2080</v>
      </c>
    </row>
    <row r="27">
      <c r="A27" s="7" t="s">
        <v>2081</v>
      </c>
      <c r="B27" s="8" t="s">
        <v>2082</v>
      </c>
    </row>
    <row r="28">
      <c r="A28" s="7" t="s">
        <v>2083</v>
      </c>
      <c r="B28" s="8" t="s">
        <v>2084</v>
      </c>
    </row>
    <row r="29">
      <c r="A29" s="0" t="s">
        <v>34</v>
      </c>
    </row>
    <row r="30">
      <c r="A30" s="15" t="s">
        <v>2085</v>
      </c>
    </row>
    <row r="31">
      <c r="A31" s="7" t="s">
        <v>10</v>
      </c>
      <c r="B31" s="8" t="s">
        <v>2086</v>
      </c>
    </row>
    <row r="32">
      <c r="A32" s="7" t="s">
        <v>0</v>
      </c>
      <c r="B32" s="8" t="s">
        <v>2087</v>
      </c>
    </row>
    <row r="33">
      <c r="A33" s="7" t="s">
        <v>11</v>
      </c>
      <c r="B33" s="8" t="s">
        <v>2088</v>
      </c>
    </row>
    <row r="34">
      <c r="A34" s="7" t="s">
        <v>1</v>
      </c>
      <c r="B34" s="8" t="s">
        <v>2089</v>
      </c>
    </row>
    <row r="35">
      <c r="A35" s="7" t="s">
        <v>2</v>
      </c>
      <c r="B35" s="8" t="s">
        <v>2090</v>
      </c>
    </row>
    <row r="36">
      <c r="A36" s="7" t="s">
        <v>2091</v>
      </c>
      <c r="B36" s="8" t="s">
        <v>2092</v>
      </c>
    </row>
    <row r="37">
      <c r="A37" s="7" t="s">
        <v>2093</v>
      </c>
      <c r="B37" s="8" t="s">
        <v>2094</v>
      </c>
    </row>
    <row r="38">
      <c r="A38" s="7" t="s">
        <v>26</v>
      </c>
      <c r="B38" s="8" t="s">
        <v>2095</v>
      </c>
    </row>
    <row r="39">
      <c r="A39" s="7" t="s">
        <v>2096</v>
      </c>
      <c r="B39" s="8" t="s">
        <v>2097</v>
      </c>
    </row>
    <row r="40">
      <c r="A40" s="7" t="s">
        <v>23</v>
      </c>
      <c r="B40" s="8" t="s">
        <v>2098</v>
      </c>
    </row>
    <row r="41">
      <c r="A41" s="7" t="s">
        <v>28</v>
      </c>
      <c r="B41" s="8" t="s">
        <v>2099</v>
      </c>
    </row>
    <row r="42">
      <c r="A42" s="7" t="s">
        <v>877</v>
      </c>
      <c r="B42" s="8" t="s">
        <v>2100</v>
      </c>
    </row>
    <row r="43">
      <c r="A43" s="7" t="s">
        <v>1888</v>
      </c>
      <c r="B43" s="8" t="s">
        <v>2101</v>
      </c>
    </row>
    <row r="44">
      <c r="A44" s="0" t="s">
        <v>34</v>
      </c>
    </row>
    <row r="45">
      <c r="A45" s="15" t="s">
        <v>2102</v>
      </c>
    </row>
    <row r="46">
      <c r="A46" s="7" t="s">
        <v>2103</v>
      </c>
      <c r="B46" s="8" t="s">
        <v>2104</v>
      </c>
    </row>
    <row r="47">
      <c r="A47" s="7" t="s">
        <v>2105</v>
      </c>
      <c r="B47" s="8" t="s">
        <v>2106</v>
      </c>
    </row>
    <row r="48">
      <c r="A48" s="7" t="s">
        <v>2107</v>
      </c>
      <c r="B48" s="8" t="s">
        <v>2108</v>
      </c>
    </row>
    <row r="49">
      <c r="A49" s="0" t="s">
        <v>34</v>
      </c>
    </row>
    <row r="50">
      <c r="A50" s="15" t="s">
        <v>2109</v>
      </c>
    </row>
    <row r="51">
      <c r="A51" s="7" t="s">
        <v>2110</v>
      </c>
      <c r="B51" s="8" t="s">
        <v>2111</v>
      </c>
    </row>
    <row r="52">
      <c r="A52" s="7" t="s">
        <v>2112</v>
      </c>
      <c r="B52" s="8" t="s">
        <v>2113</v>
      </c>
    </row>
    <row r="53">
      <c r="A53" s="7" t="s">
        <v>2114</v>
      </c>
      <c r="B53" s="8" t="s">
        <v>2115</v>
      </c>
    </row>
  </sheetData>
  <headerFooter/>
</worksheet>
</file>

<file path=xl/worksheets/sheet17.xml><?xml version="1.0" encoding="utf-8"?>
<worksheet xmlns:r="http://schemas.openxmlformats.org/officeDocument/2006/relationships" xmlns="http://schemas.openxmlformats.org/spreadsheetml/2006/main">
  <dimension ref="A1:J14"/>
  <sheetViews>
    <sheetView workbookViewId="0" tabSelected="0"/>
  </sheetViews>
  <sheetFormatPr defaultRowHeight="15"/>
  <sheetData>
    <row r="1">
      <c r="A1" s="7" t="s">
        <v>1</v>
      </c>
      <c r="B1" s="7" t="s">
        <v>49</v>
      </c>
      <c r="C1" s="7" t="s">
        <v>257</v>
      </c>
      <c r="D1" s="7" t="s">
        <v>363</v>
      </c>
      <c r="E1" s="7" t="s">
        <v>446</v>
      </c>
      <c r="F1" s="7" t="s">
        <v>2030</v>
      </c>
      <c r="G1" s="7" t="s">
        <v>49</v>
      </c>
      <c r="H1" s="7" t="s">
        <v>257</v>
      </c>
      <c r="I1" s="7" t="s">
        <v>363</v>
      </c>
      <c r="J1" s="7" t="s">
        <v>446</v>
      </c>
    </row>
    <row r="2">
      <c r="A2" s="0">
        <v>0</v>
      </c>
      <c r="B2" s="0">
        <f>COUNTIFS(Balance!$D$2:$D$306,$A2,Balance!$C$2:$C$306,"*Knight*",Balance!$F$2:$F$306,"&lt;&gt;*Ideas*")</f>
      </c>
      <c r="C2" s="0">
        <f>COUNTIFS(Balance!$D$2:$D$306,$A2,Balance!$C$2:$C$306,"*Mage*",Balance!$F$2:$F$306,"&lt;&gt;*Ideas*")</f>
      </c>
      <c r="D2" s="0">
        <f>COUNTIFS(Balance!$D$2:$D$306,$A2,Balance!$C$2:$C$306,"*Rogue*",Balance!$F$2:$F$306,"&lt;&gt;*Ideas*")</f>
      </c>
      <c r="E2" s="0">
        <f>COUNTIFS(Balance!$D$2:$D$306,$A2,Balance!$C$2:$C$306,"*Cleric*",Balance!$F$2:$F$306,"&lt;&gt;*Ideas*")</f>
      </c>
      <c r="F2" s="0" t="s">
        <v>1484</v>
      </c>
      <c r="G2" s="0">
        <f>COUNTIFS(Balance!$I$2:$I$306,"&gt;0",Balance!$C$2:$C$306,"*Knight*",Balance!$F$2:$F$306,"&lt;&gt;*Ideas*")</f>
      </c>
      <c r="H2" s="0">
        <f>COUNTIFS(Balance!$I$2:$I$306,"&gt;0",Balance!$C$2:$C$306,"*Mage*",Balance!$F$2:$F$306,"&lt;&gt;*Ideas*")</f>
      </c>
      <c r="I2" s="0">
        <f>COUNTIFS(Balance!$I$2:$I$306,"&gt;0",Balance!$C$2:$C$306,"*Rogue*",Balance!$F$2:$F$306,"&lt;&gt;*Ideas*")</f>
      </c>
      <c r="J2" s="0">
        <f>COUNTIFS(Balance!$I$2:$I$306,"&gt;0",Balance!$C$2:$C$306,"*Cleric*",Balance!$F$2:$F$306,"&lt;&gt;*Ideas*")</f>
      </c>
    </row>
    <row r="3">
      <c r="A3" s="0">
        <v>1</v>
      </c>
      <c r="B3" s="0">
        <f>COUNTIFS(Balance!$D$2:$D$306,$A3,Balance!$C$2:$C$306,"*Knight*",Balance!$F$2:$F$306,"&lt;&gt;*Ideas*")</f>
      </c>
      <c r="C3" s="0">
        <f>COUNTIFS(Balance!$D$2:$D$306,$A3,Balance!$C$2:$C$306,"*Mage*",Balance!$F$2:$F$306,"&lt;&gt;*Ideas*")</f>
      </c>
      <c r="D3" s="0">
        <f>COUNTIFS(Balance!$D$2:$D$306,$A3,Balance!$C$2:$C$306,"*Rogue*",Balance!$F$2:$F$306,"&lt;&gt;*Ideas*")</f>
      </c>
      <c r="E3" s="0">
        <f>COUNTIFS(Balance!$D$2:$D$306,$A3,Balance!$C$2:$C$306,"*Cleric*",Balance!$F$2:$F$306,"&lt;&gt;*Ideas*")</f>
      </c>
      <c r="F3" s="0" t="s">
        <v>133</v>
      </c>
      <c r="G3" s="0">
        <f>COUNTIFS(Balance!$J$2:$J$306,"&gt;0",Balance!$C$2:$C$306,"*Knight*",Balance!$F$2:$F$306,"&lt;&gt;*Ideas*")</f>
      </c>
      <c r="H3" s="0">
        <f>COUNTIFS(Balance!$J$2:$J$306,"&gt;0",Balance!$C$2:$C$306,"*Mage*",Balance!$F$2:$F$306,"&lt;&gt;*Ideas*")</f>
      </c>
      <c r="I3" s="0">
        <f>COUNTIFS(Balance!$J$2:$J$306,"&gt;0",Balance!$C$2:$C$306,"*Rogue*",Balance!$F$2:$F$306,"&lt;&gt;*Ideas*")</f>
      </c>
      <c r="J3" s="0">
        <f>COUNTIFS(Balance!$J$2:$J$306,"&gt;0",Balance!$C$2:$C$306,"*Cleric*",Balance!$F$2:$F$306,"&lt;&gt;*Ideas*")</f>
      </c>
    </row>
    <row r="4">
      <c r="A4" s="0">
        <v>2</v>
      </c>
      <c r="B4" s="0">
        <f>COUNTIFS(Balance!$D$2:$D$306,$A4,Balance!$C$2:$C$306,"*Knight*",Balance!$F$2:$F$306,"&lt;&gt;*Ideas*")</f>
      </c>
      <c r="C4" s="0">
        <f>COUNTIFS(Balance!$D$2:$D$306,$A4,Balance!$C$2:$C$306,"*Mage*",Balance!$F$2:$F$306,"&lt;&gt;*Ideas*")</f>
      </c>
      <c r="D4" s="0">
        <f>COUNTIFS(Balance!$D$2:$D$306,$A4,Balance!$C$2:$C$306,"*Rogue*",Balance!$F$2:$F$306,"&lt;&gt;*Ideas*")</f>
      </c>
      <c r="E4" s="0">
        <f>COUNTIFS(Balance!$D$2:$D$306,$A4,Balance!$C$2:$C$306,"*Cleric*",Balance!$F$2:$F$306,"&lt;&gt;*Ideas*")</f>
      </c>
      <c r="F4" s="0" t="s">
        <v>80</v>
      </c>
      <c r="G4" s="0">
        <f>COUNTIFS(Balance!$K$2:$K$306,"&gt;0",Balance!$C$2:$C$306,"*Knight*",Balance!$F$2:$F$306,"&lt;&gt;*Ideas*")</f>
      </c>
      <c r="H4" s="0">
        <f>COUNTIFS(Balance!$K$2:$K$306,"&gt;0",Balance!$C$2:$C$306,"*Mage*",Balance!$F$2:$F$306,"&lt;&gt;*Ideas*")</f>
      </c>
      <c r="I4" s="0">
        <f>COUNTIFS(Balance!$K$2:$K$306,"&gt;0",Balance!$C$2:$C$306,"*Rogue*",Balance!$F$2:$F$306,"&lt;&gt;*Ideas*")</f>
      </c>
      <c r="J4" s="0">
        <f>COUNTIFS(Balance!$K$2:$K$306,"&gt;0",Balance!$C$2:$C$306,"*Cleric*",Balance!$F$2:$F$306,"&lt;&gt;*Ideas*")</f>
      </c>
    </row>
    <row r="5">
      <c r="A5" s="0">
        <v>3</v>
      </c>
      <c r="B5" s="0">
        <f>COUNTIFS(Balance!$D$2:$D$306,$A5,Balance!$C$2:$C$306,"*Knight*",Balance!$F$2:$F$306,"&lt;&gt;*Ideas*")</f>
      </c>
      <c r="C5" s="0">
        <f>COUNTIFS(Balance!$D$2:$D$306,$A5,Balance!$C$2:$C$306,"*Mage*",Balance!$F$2:$F$306,"&lt;&gt;*Ideas*")</f>
      </c>
      <c r="D5" s="0">
        <f>COUNTIFS(Balance!$D$2:$D$306,$A5,Balance!$C$2:$C$306,"*Rogue*",Balance!$F$2:$F$306,"&lt;&gt;*Ideas*")</f>
      </c>
      <c r="E5" s="0">
        <f>COUNTIFS(Balance!$D$2:$D$306,$A5,Balance!$C$2:$C$306,"*Cleric*",Balance!$F$2:$F$306,"&lt;&gt;*Ideas*")</f>
      </c>
      <c r="F5" s="0" t="s">
        <v>31</v>
      </c>
      <c r="G5" s="0">
        <f>COUNTIFS(Balance!$L$2:$L$306,"&gt;0",Balance!$C$2:$C$306,"*Knight*",Balance!$F$2:$F$306,"&lt;&gt;*Ideas*")</f>
      </c>
      <c r="H5" s="0">
        <f>COUNTIFS(Balance!$L$2:$L$306,"&gt;0",Balance!$C$2:$C$306,"*Mage*",Balance!$F$2:$F$306,"&lt;&gt;*Ideas*")</f>
      </c>
      <c r="I5" s="0">
        <f>COUNTIFS(Balance!$L$2:$L$306,"&gt;0",Balance!$C$2:$C$306,"*Rogue*",Balance!$F$2:$F$306,"&lt;&gt;*Ideas*")</f>
      </c>
      <c r="J5" s="0">
        <f>COUNTIFS(Balance!$L$2:$L$306,"&gt;0",Balance!$C$2:$C$306,"*Cleric*",Balance!$F$2:$F$306,"&lt;&gt;*Ideas*")</f>
      </c>
    </row>
    <row r="6">
      <c r="A6" s="0">
        <v>4</v>
      </c>
      <c r="B6" s="0">
        <f>COUNTIFS(Balance!$D$2:$D$306,$A6,Balance!$C$2:$C$306,"*Knight*",Balance!$F$2:$F$306,"&lt;&gt;*Ideas*")</f>
      </c>
      <c r="C6" s="0">
        <f>COUNTIFS(Balance!$D$2:$D$306,$A6,Balance!$C$2:$C$306,"*Mage*",Balance!$F$2:$F$306,"&lt;&gt;*Ideas*")</f>
      </c>
      <c r="D6" s="0">
        <f>COUNTIFS(Balance!$D$2:$D$306,$A6,Balance!$C$2:$C$306,"*Rogue*",Balance!$F$2:$F$306,"&lt;&gt;*Ideas*")</f>
      </c>
      <c r="E6" s="0">
        <f>COUNTIFS(Balance!$D$2:$D$306,$A6,Balance!$C$2:$C$306,"*Cleric*",Balance!$F$2:$F$306,"&lt;&gt;*Ideas*")</f>
      </c>
      <c r="F6" s="0" t="s">
        <v>72</v>
      </c>
      <c r="G6" s="0">
        <f>COUNTIFS(Balance!$M$2:$M$306,"&gt;0",Balance!$C$2:$C$306,"*Knight*",Balance!$F$2:$F$306,"&lt;&gt;*Ideas*")</f>
      </c>
      <c r="H6" s="0">
        <f>COUNTIFS(Balance!$M$2:$M$306,"&gt;0",Balance!$C$2:$C$306,"*Mage*",Balance!$F$2:$F$306,"&lt;&gt;*Ideas*")</f>
      </c>
      <c r="I6" s="0">
        <f>COUNTIFS(Balance!$M$2:$M$306,"&gt;0",Balance!$C$2:$C$306,"*Rogue*",Balance!$F$2:$F$306,"&lt;&gt;*Ideas*")</f>
      </c>
      <c r="J6" s="0">
        <f>COUNTIFS(Balance!$M$2:$M$306,"&gt;0",Balance!$C$2:$C$306,"*Cleric*",Balance!$F$2:$F$306,"&lt;&gt;*Ideas*")</f>
      </c>
    </row>
    <row r="7">
      <c r="A7" s="0">
        <v>5</v>
      </c>
      <c r="B7" s="0">
        <f>COUNTIFS(Balance!$D$2:$D$306,$A7,Balance!$C$2:$C$306,"*Knight*",Balance!$F$2:$F$306,"&lt;&gt;*Ideas*")</f>
      </c>
      <c r="C7" s="0">
        <f>COUNTIFS(Balance!$D$2:$D$306,$A7,Balance!$C$2:$C$306,"*Mage*",Balance!$F$2:$F$306,"&lt;&gt;*Ideas*")</f>
      </c>
      <c r="D7" s="0">
        <f>COUNTIFS(Balance!$D$2:$D$306,$A7,Balance!$C$2:$C$306,"*Rogue*",Balance!$F$2:$F$306,"&lt;&gt;*Ideas*")</f>
      </c>
      <c r="E7" s="0">
        <f>COUNTIFS(Balance!$D$2:$D$306,$A7,Balance!$C$2:$C$306,"*Cleric*",Balance!$F$2:$F$306,"&lt;&gt;*Ideas*")</f>
      </c>
      <c r="F7" s="0" t="s">
        <v>798</v>
      </c>
      <c r="G7" s="0">
        <f>COUNTIFS(Balance!$N$2:$N$306,"&gt;0",Balance!$C$2:$C$306,"*Knight*",Balance!$F$2:$F$306,"&lt;&gt;*Ideas*")</f>
      </c>
      <c r="H7" s="0">
        <f>COUNTIFS(Balance!$N$2:$N$306,"&gt;0",Balance!$C$2:$C$306,"*Mage*",Balance!$F$2:$F$306,"&lt;&gt;*Ideas*")</f>
      </c>
      <c r="I7" s="0">
        <f>COUNTIFS(Balance!$N$2:$N$306,"&gt;0",Balance!$C$2:$C$306,"*Rogue*",Balance!$F$2:$F$306,"&lt;&gt;*Ideas*")</f>
      </c>
      <c r="J7" s="0">
        <f>COUNTIFS(Balance!$N$2:$N$306,"&gt;0",Balance!$C$2:$C$306,"*Cleric*",Balance!$F$2:$F$306,"&lt;&gt;*Ideas*")</f>
      </c>
    </row>
    <row r="8">
      <c r="F8" s="0" t="s">
        <v>126</v>
      </c>
      <c r="G8" s="0">
        <f>COUNTIFS(Balance!$O$2:$O$306,"&gt;0",Balance!$C$2:$C$306,"*Knight*",Balance!$F$2:$F$306,"&lt;&gt;*Ideas*")</f>
      </c>
      <c r="H8" s="0">
        <f>COUNTIFS(Balance!$O$2:$O$306,"&gt;0",Balance!$C$2:$C$306,"*Mage*",Balance!$F$2:$F$306,"&lt;&gt;*Ideas*")</f>
      </c>
      <c r="I8" s="0">
        <f>COUNTIFS(Balance!$O$2:$O$306,"&gt;0",Balance!$C$2:$C$306,"*Rogue*",Balance!$F$2:$F$306,"&lt;&gt;*Ideas*")</f>
      </c>
      <c r="J8" s="0">
        <f>COUNTIFS(Balance!$O$2:$O$306,"&gt;0",Balance!$C$2:$C$306,"*Cleric*",Balance!$F$2:$F$306,"&lt;&gt;*Ideas*")</f>
      </c>
    </row>
    <row r="9">
      <c r="A9" s="13" t="s">
        <v>2116</v>
      </c>
      <c r="F9" s="0" t="s">
        <v>255</v>
      </c>
      <c r="G9" s="0">
        <f>COUNTIFS(Balance!$P$2:$P$306,"&gt;0",Balance!$C$2:$C$306,"*Knight*",Balance!$F$2:$F$306,"&lt;&gt;*Ideas*")</f>
      </c>
      <c r="H9" s="0">
        <f>COUNTIFS(Balance!$P$2:$P$306,"&gt;0",Balance!$C$2:$C$306,"*Mage*",Balance!$F$2:$F$306,"&lt;&gt;*Ideas*")</f>
      </c>
      <c r="I9" s="0">
        <f>COUNTIFS(Balance!$P$2:$P$306,"&gt;0",Balance!$C$2:$C$306,"*Rogue*",Balance!$F$2:$F$306,"&lt;&gt;*Ideas*")</f>
      </c>
      <c r="J9" s="0">
        <f>COUNTIFS(Balance!$P$2:$P$306,"&gt;0",Balance!$C$2:$C$306,"*Cleric*",Balance!$F$2:$F$306,"&lt;&gt;*Ideas*")</f>
      </c>
    </row>
    <row r="10">
      <c r="F10" s="0" t="s">
        <v>1508</v>
      </c>
      <c r="G10" s="0">
        <f>COUNTIFS(Balance!$Q$2:$Q$306,"&gt;0",Balance!$C$2:$C$306,"*Knight*",Balance!$F$2:$F$306,"&lt;&gt;*Ideas*")</f>
      </c>
      <c r="H10" s="0">
        <f>COUNTIFS(Balance!$Q$2:$Q$306,"&gt;0",Balance!$C$2:$C$306,"*Mage*",Balance!$F$2:$F$306,"&lt;&gt;*Ideas*")</f>
      </c>
      <c r="I10" s="0">
        <f>COUNTIFS(Balance!$Q$2:$Q$306,"&gt;0",Balance!$C$2:$C$306,"*Rogue*",Balance!$F$2:$F$306,"&lt;&gt;*Ideas*")</f>
      </c>
      <c r="J10" s="0">
        <f>COUNTIFS(Balance!$Q$2:$Q$306,"&gt;0",Balance!$C$2:$C$306,"*Cleric*",Balance!$F$2:$F$306,"&lt;&gt;*Ideas*")</f>
      </c>
    </row>
    <row r="11">
      <c r="F11" s="0" t="s">
        <v>278</v>
      </c>
      <c r="G11" s="0">
        <f>COUNTIFS(Balance!$R$2:$R$306,"&gt;0",Balance!$C$2:$C$306,"*Knight*",Balance!$F$2:$F$306,"&lt;&gt;*Ideas*")</f>
      </c>
      <c r="H11" s="0">
        <f>COUNTIFS(Balance!$R$2:$R$306,"&gt;0",Balance!$C$2:$C$306,"*Mage*",Balance!$F$2:$F$306,"&lt;&gt;*Ideas*")</f>
      </c>
      <c r="I11" s="0">
        <f>COUNTIFS(Balance!$R$2:$R$306,"&gt;0",Balance!$C$2:$C$306,"*Rogue*",Balance!$F$2:$F$306,"&lt;&gt;*Ideas*")</f>
      </c>
      <c r="J11" s="0">
        <f>COUNTIFS(Balance!$R$2:$R$306,"&gt;0",Balance!$C$2:$C$306,"*Cleric*",Balance!$F$2:$F$306,"&lt;&gt;*Ideas*")</f>
      </c>
    </row>
    <row r="12">
      <c r="F12" s="0" t="s">
        <v>1885</v>
      </c>
      <c r="G12" s="0">
        <f>COUNTIFS(Balance!$S$2:$S$306,"&gt;0",Balance!$C$2:$C$306,"*Knight*",Balance!$F$2:$F$306,"&lt;&gt;*Ideas*")</f>
      </c>
      <c r="H12" s="0">
        <f>COUNTIFS(Balance!$S$2:$S$306,"&gt;0",Balance!$C$2:$C$306,"*Mage*",Balance!$F$2:$F$306,"&lt;&gt;*Ideas*")</f>
      </c>
      <c r="I12" s="0">
        <f>COUNTIFS(Balance!$S$2:$S$306,"&gt;0",Balance!$C$2:$C$306,"*Rogue*",Balance!$F$2:$F$306,"&lt;&gt;*Ideas*")</f>
      </c>
      <c r="J12" s="0">
        <f>COUNTIFS(Balance!$S$2:$S$306,"&gt;0",Balance!$C$2:$C$306,"*Cleric*",Balance!$F$2:$F$306,"&lt;&gt;*Ideas*")</f>
      </c>
    </row>
    <row r="13">
      <c r="F13" s="0" t="s">
        <v>1887</v>
      </c>
      <c r="G13" s="0">
        <f>COUNTIFS(Balance!$U$2:$U$306,"?*",Balance!$C$2:$C$306,"*Knight*",Balance!$F$2:$F$306,"&lt;&gt;*Ideas*")</f>
      </c>
      <c r="H13" s="0">
        <f>COUNTIFS(Balance!$U$2:$U$306,"?*",Balance!$C$2:$C$306,"*Mage*",Balance!$F$2:$F$306,"&lt;&gt;*Ideas*")</f>
      </c>
      <c r="I13" s="0">
        <f>COUNTIFS(Balance!$U$2:$U$306,"?*",Balance!$C$2:$C$306,"*Rogue*",Balance!$F$2:$F$306,"&lt;&gt;*Ideas*")</f>
      </c>
      <c r="J13" s="0">
        <f>COUNTIFS(Balance!$U$2:$U$306,"?*",Balance!$C$2:$C$306,"*Cleric*",Balance!$F$2:$F$306,"&lt;&gt;*Ideas*")</f>
      </c>
    </row>
    <row r="14">
      <c r="F14" s="0" t="s">
        <v>199</v>
      </c>
      <c r="G14" s="0">
        <f>COUNTIFS(Balance!$T$2:$T$306,"?*",Balance!$C$2:$C$306,"*Knight*",Balance!$F$2:$F$306,"&lt;&gt;*Ideas*")</f>
      </c>
      <c r="H14" s="0">
        <f>COUNTIFS(Balance!$T$2:$T$306,"?*",Balance!$C$2:$C$306,"*Mage*",Balance!$F$2:$F$306,"&lt;&gt;*Ideas*")</f>
      </c>
      <c r="I14" s="0">
        <f>COUNTIFS(Balance!$T$2:$T$306,"?*",Balance!$C$2:$C$306,"*Rogue*",Balance!$F$2:$F$306,"&lt;&gt;*Ideas*")</f>
      </c>
      <c r="J14" s="0">
        <f>COUNTIFS(Balance!$T$2:$T$306,"?*",Balance!$C$2:$C$306,"*Cleric*",Balance!$F$2:$F$306,"&lt;&gt;*Ideas*")</f>
      </c>
    </row>
  </sheetData>
  <headerFooter/>
  <drawing r:id="rId1"/>
</worksheet>
</file>