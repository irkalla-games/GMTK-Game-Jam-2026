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xxi\Documents\GitHub\GMTK-Game-Jam-2026\Docs\"/>
    </mc:Choice>
  </mc:AlternateContent>
  <xr:revisionPtr revIDLastSave="0" documentId="13_ncr:1_{14DD3574-B589-4CE3-91FE-8930FD649069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README" sheetId="10" r:id="rId1"/>
    <sheet name="Runs" sheetId="1" r:id="rId2"/>
    <sheet name="DebugParade1" sheetId="3" r:id="rId3"/>
    <sheet name="DebugParade2" sheetId="4" r:id="rId4"/>
    <sheet name="Level1" sheetId="5" r:id="rId5"/>
    <sheet name="Level2" sheetId="6" r:id="rId6"/>
    <sheet name="Level3Menagerie" sheetId="7" r:id="rId7"/>
    <sheet name="Level4BlackKnight" sheetId="8" r:id="rId8"/>
    <sheet name="Tutorial" sheetId="9" r:id="rId9"/>
    <sheet name="Enums" sheetId="2" r:id="rId10"/>
  </sheets>
  <definedNames>
    <definedName name="_xlnm._FilterDatabase" localSheetId="1" hidden="1">Runs!$A$1:$E$4</definedName>
    <definedName name="list_Bool">Enums!$D$2:$D$3</definedName>
    <definedName name="list_Level">Enums!$C$2:$C$8</definedName>
    <definedName name="list_Loot">Enums!$A$2:$A$14</definedName>
    <definedName name="list_Prefab">Enums!$B$2:$B$31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8" i="9" l="1"/>
  <c r="J58" i="9"/>
  <c r="I58" i="9"/>
  <c r="H58" i="9"/>
  <c r="G58" i="9"/>
  <c r="F58" i="9"/>
  <c r="E58" i="9"/>
  <c r="K57" i="9"/>
  <c r="J57" i="9"/>
  <c r="I57" i="9"/>
  <c r="H57" i="9"/>
  <c r="G57" i="9"/>
  <c r="F57" i="9"/>
  <c r="E57" i="9"/>
  <c r="K56" i="9"/>
  <c r="J56" i="9"/>
  <c r="I56" i="9"/>
  <c r="H56" i="9"/>
  <c r="G56" i="9"/>
  <c r="F56" i="9"/>
  <c r="E56" i="9"/>
  <c r="K55" i="9"/>
  <c r="J55" i="9"/>
  <c r="I55" i="9"/>
  <c r="H55" i="9"/>
  <c r="G55" i="9"/>
  <c r="F55" i="9"/>
  <c r="E55" i="9"/>
  <c r="K54" i="9"/>
  <c r="J54" i="9"/>
  <c r="I54" i="9"/>
  <c r="H54" i="9"/>
  <c r="G54" i="9"/>
  <c r="F54" i="9"/>
  <c r="E54" i="9"/>
  <c r="K53" i="9"/>
  <c r="J53" i="9"/>
  <c r="I53" i="9"/>
  <c r="H53" i="9"/>
  <c r="G53" i="9"/>
  <c r="F53" i="9"/>
  <c r="E53" i="9"/>
  <c r="K52" i="9"/>
  <c r="J52" i="9"/>
  <c r="I52" i="9"/>
  <c r="H52" i="9"/>
  <c r="G52" i="9"/>
  <c r="F52" i="9"/>
  <c r="E52" i="9"/>
  <c r="D52" i="9"/>
  <c r="C52" i="9"/>
  <c r="B52" i="9"/>
  <c r="K51" i="9"/>
  <c r="J51" i="9"/>
  <c r="I51" i="9"/>
  <c r="H51" i="9"/>
  <c r="G51" i="9"/>
  <c r="F51" i="9"/>
  <c r="E51" i="9"/>
  <c r="D51" i="9"/>
  <c r="C51" i="9"/>
  <c r="B51" i="9"/>
  <c r="K50" i="9"/>
  <c r="J50" i="9"/>
  <c r="I50" i="9"/>
  <c r="H50" i="9"/>
  <c r="G50" i="9"/>
  <c r="F50" i="9"/>
  <c r="E50" i="9"/>
  <c r="D50" i="9"/>
  <c r="C50" i="9"/>
  <c r="B50" i="9"/>
  <c r="K49" i="9"/>
  <c r="J49" i="9"/>
  <c r="I49" i="9"/>
  <c r="H49" i="9"/>
  <c r="G49" i="9"/>
  <c r="F49" i="9"/>
  <c r="E49" i="9"/>
  <c r="D49" i="9"/>
  <c r="C49" i="9"/>
  <c r="B49" i="9"/>
  <c r="F46" i="9"/>
  <c r="D46" i="9"/>
  <c r="C54" i="9" s="1"/>
  <c r="B3" i="9"/>
  <c r="K58" i="8"/>
  <c r="J58" i="8"/>
  <c r="I58" i="8"/>
  <c r="K57" i="8"/>
  <c r="J57" i="8"/>
  <c r="I57" i="8"/>
  <c r="K56" i="8"/>
  <c r="J56" i="8"/>
  <c r="I56" i="8"/>
  <c r="K55" i="8"/>
  <c r="J55" i="8"/>
  <c r="I55" i="8"/>
  <c r="K54" i="8"/>
  <c r="J54" i="8"/>
  <c r="I54" i="8"/>
  <c r="K53" i="8"/>
  <c r="J53" i="8"/>
  <c r="I53" i="8"/>
  <c r="K52" i="8"/>
  <c r="J52" i="8"/>
  <c r="I52" i="8"/>
  <c r="K51" i="8"/>
  <c r="J51" i="8"/>
  <c r="I51" i="8"/>
  <c r="H51" i="8"/>
  <c r="G51" i="8"/>
  <c r="F51" i="8"/>
  <c r="E51" i="8"/>
  <c r="D51" i="8"/>
  <c r="C51" i="8"/>
  <c r="B51" i="8"/>
  <c r="K50" i="8"/>
  <c r="J50" i="8"/>
  <c r="I50" i="8"/>
  <c r="H50" i="8"/>
  <c r="G50" i="8"/>
  <c r="F50" i="8"/>
  <c r="E50" i="8"/>
  <c r="D50" i="8"/>
  <c r="C50" i="8"/>
  <c r="B50" i="8"/>
  <c r="K49" i="8"/>
  <c r="J49" i="8"/>
  <c r="I49" i="8"/>
  <c r="H49" i="8"/>
  <c r="G49" i="8"/>
  <c r="F49" i="8"/>
  <c r="E49" i="8"/>
  <c r="D49" i="8"/>
  <c r="C49" i="8"/>
  <c r="B49" i="8"/>
  <c r="F46" i="8"/>
  <c r="D46" i="8"/>
  <c r="B58" i="8" s="1"/>
  <c r="B3" i="8"/>
  <c r="K58" i="7"/>
  <c r="J58" i="7"/>
  <c r="I58" i="7"/>
  <c r="H58" i="7"/>
  <c r="K57" i="7"/>
  <c r="J57" i="7"/>
  <c r="I57" i="7"/>
  <c r="H57" i="7"/>
  <c r="K56" i="7"/>
  <c r="J56" i="7"/>
  <c r="I56" i="7"/>
  <c r="H56" i="7"/>
  <c r="K55" i="7"/>
  <c r="J55" i="7"/>
  <c r="I55" i="7"/>
  <c r="H55" i="7"/>
  <c r="K54" i="7"/>
  <c r="J54" i="7"/>
  <c r="I54" i="7"/>
  <c r="H54" i="7"/>
  <c r="K53" i="7"/>
  <c r="J53" i="7"/>
  <c r="I53" i="7"/>
  <c r="H53" i="7"/>
  <c r="K52" i="7"/>
  <c r="J52" i="7"/>
  <c r="I52" i="7"/>
  <c r="H52" i="7"/>
  <c r="K51" i="7"/>
  <c r="J51" i="7"/>
  <c r="I51" i="7"/>
  <c r="H51" i="7"/>
  <c r="G51" i="7"/>
  <c r="F51" i="7"/>
  <c r="E51" i="7"/>
  <c r="D51" i="7"/>
  <c r="C51" i="7"/>
  <c r="B51" i="7"/>
  <c r="K50" i="7"/>
  <c r="J50" i="7"/>
  <c r="I50" i="7"/>
  <c r="H50" i="7"/>
  <c r="G50" i="7"/>
  <c r="F50" i="7"/>
  <c r="E50" i="7"/>
  <c r="D50" i="7"/>
  <c r="C50" i="7"/>
  <c r="B50" i="7"/>
  <c r="K49" i="7"/>
  <c r="J49" i="7"/>
  <c r="I49" i="7"/>
  <c r="H49" i="7"/>
  <c r="G49" i="7"/>
  <c r="F49" i="7"/>
  <c r="E49" i="7"/>
  <c r="D49" i="7"/>
  <c r="C49" i="7"/>
  <c r="B49" i="7"/>
  <c r="F46" i="7"/>
  <c r="D46" i="7"/>
  <c r="C57" i="7" s="1"/>
  <c r="B3" i="7"/>
  <c r="K58" i="6"/>
  <c r="J58" i="6"/>
  <c r="I58" i="6"/>
  <c r="H58" i="6"/>
  <c r="K57" i="6"/>
  <c r="J57" i="6"/>
  <c r="I57" i="6"/>
  <c r="H57" i="6"/>
  <c r="K56" i="6"/>
  <c r="J56" i="6"/>
  <c r="I56" i="6"/>
  <c r="H56" i="6"/>
  <c r="K55" i="6"/>
  <c r="J55" i="6"/>
  <c r="I55" i="6"/>
  <c r="H55" i="6"/>
  <c r="K54" i="6"/>
  <c r="J54" i="6"/>
  <c r="I54" i="6"/>
  <c r="H54" i="6"/>
  <c r="K53" i="6"/>
  <c r="J53" i="6"/>
  <c r="I53" i="6"/>
  <c r="H53" i="6"/>
  <c r="K52" i="6"/>
  <c r="J52" i="6"/>
  <c r="I52" i="6"/>
  <c r="H52" i="6"/>
  <c r="G52" i="6"/>
  <c r="F52" i="6"/>
  <c r="E52" i="6"/>
  <c r="D52" i="6"/>
  <c r="C52" i="6"/>
  <c r="B52" i="6"/>
  <c r="K51" i="6"/>
  <c r="J51" i="6"/>
  <c r="I51" i="6"/>
  <c r="H51" i="6"/>
  <c r="G51" i="6"/>
  <c r="F51" i="6"/>
  <c r="E51" i="6"/>
  <c r="D51" i="6"/>
  <c r="C51" i="6"/>
  <c r="B51" i="6"/>
  <c r="K50" i="6"/>
  <c r="J50" i="6"/>
  <c r="I50" i="6"/>
  <c r="H50" i="6"/>
  <c r="G50" i="6"/>
  <c r="F50" i="6"/>
  <c r="E50" i="6"/>
  <c r="D50" i="6"/>
  <c r="C50" i="6"/>
  <c r="B50" i="6"/>
  <c r="K49" i="6"/>
  <c r="J49" i="6"/>
  <c r="I49" i="6"/>
  <c r="H49" i="6"/>
  <c r="G49" i="6"/>
  <c r="F49" i="6"/>
  <c r="E49" i="6"/>
  <c r="D49" i="6"/>
  <c r="C49" i="6"/>
  <c r="B49" i="6"/>
  <c r="F46" i="6"/>
  <c r="D46" i="6"/>
  <c r="D56" i="6" s="1"/>
  <c r="B3" i="6"/>
  <c r="K61" i="5"/>
  <c r="J61" i="5"/>
  <c r="I61" i="5"/>
  <c r="H61" i="5"/>
  <c r="G61" i="5"/>
  <c r="K60" i="5"/>
  <c r="J60" i="5"/>
  <c r="I60" i="5"/>
  <c r="H60" i="5"/>
  <c r="G60" i="5"/>
  <c r="K59" i="5"/>
  <c r="J59" i="5"/>
  <c r="I59" i="5"/>
  <c r="H59" i="5"/>
  <c r="G59" i="5"/>
  <c r="K58" i="5"/>
  <c r="J58" i="5"/>
  <c r="I58" i="5"/>
  <c r="H58" i="5"/>
  <c r="G58" i="5"/>
  <c r="K57" i="5"/>
  <c r="J57" i="5"/>
  <c r="I57" i="5"/>
  <c r="H57" i="5"/>
  <c r="G57" i="5"/>
  <c r="K56" i="5"/>
  <c r="J56" i="5"/>
  <c r="I56" i="5"/>
  <c r="H56" i="5"/>
  <c r="G56" i="5"/>
  <c r="K55" i="5"/>
  <c r="J55" i="5"/>
  <c r="I55" i="5"/>
  <c r="H55" i="5"/>
  <c r="G55" i="5"/>
  <c r="F55" i="5"/>
  <c r="E55" i="5"/>
  <c r="D55" i="5"/>
  <c r="C55" i="5"/>
  <c r="B55" i="5"/>
  <c r="K54" i="5"/>
  <c r="J54" i="5"/>
  <c r="I54" i="5"/>
  <c r="H54" i="5"/>
  <c r="G54" i="5"/>
  <c r="F54" i="5"/>
  <c r="E54" i="5"/>
  <c r="D54" i="5"/>
  <c r="C54" i="5"/>
  <c r="B54" i="5"/>
  <c r="K53" i="5"/>
  <c r="J53" i="5"/>
  <c r="I53" i="5"/>
  <c r="H53" i="5"/>
  <c r="G53" i="5"/>
  <c r="F53" i="5"/>
  <c r="E53" i="5"/>
  <c r="D53" i="5"/>
  <c r="C53" i="5"/>
  <c r="B53" i="5"/>
  <c r="K52" i="5"/>
  <c r="J52" i="5"/>
  <c r="I52" i="5"/>
  <c r="H52" i="5"/>
  <c r="G52" i="5"/>
  <c r="F52" i="5"/>
  <c r="E52" i="5"/>
  <c r="D52" i="5"/>
  <c r="C52" i="5"/>
  <c r="B52" i="5"/>
  <c r="F49" i="5"/>
  <c r="D49" i="5"/>
  <c r="E58" i="5" s="1"/>
  <c r="B3" i="5"/>
  <c r="K58" i="4"/>
  <c r="J58" i="4"/>
  <c r="K57" i="4"/>
  <c r="J57" i="4"/>
  <c r="K56" i="4"/>
  <c r="J56" i="4"/>
  <c r="K55" i="4"/>
  <c r="J55" i="4"/>
  <c r="K54" i="4"/>
  <c r="J54" i="4"/>
  <c r="K53" i="4"/>
  <c r="J53" i="4"/>
  <c r="K52" i="4"/>
  <c r="J52" i="4"/>
  <c r="K51" i="4"/>
  <c r="J51" i="4"/>
  <c r="K50" i="4"/>
  <c r="J50" i="4"/>
  <c r="I50" i="4"/>
  <c r="H50" i="4"/>
  <c r="G50" i="4"/>
  <c r="F50" i="4"/>
  <c r="E50" i="4"/>
  <c r="D50" i="4"/>
  <c r="C50" i="4"/>
  <c r="B50" i="4"/>
  <c r="K49" i="4"/>
  <c r="J49" i="4"/>
  <c r="I49" i="4"/>
  <c r="H49" i="4"/>
  <c r="G49" i="4"/>
  <c r="F49" i="4"/>
  <c r="E49" i="4"/>
  <c r="D49" i="4"/>
  <c r="C49" i="4"/>
  <c r="B49" i="4"/>
  <c r="F46" i="4"/>
  <c r="D46" i="4"/>
  <c r="H58" i="4" s="1"/>
  <c r="B3" i="4"/>
  <c r="K58" i="3"/>
  <c r="J58" i="3"/>
  <c r="K57" i="3"/>
  <c r="J57" i="3"/>
  <c r="K56" i="3"/>
  <c r="J56" i="3"/>
  <c r="K55" i="3"/>
  <c r="J55" i="3"/>
  <c r="K54" i="3"/>
  <c r="J54" i="3"/>
  <c r="K53" i="3"/>
  <c r="J53" i="3"/>
  <c r="B53" i="3"/>
  <c r="K52" i="3"/>
  <c r="J52" i="3"/>
  <c r="K51" i="3"/>
  <c r="J51" i="3"/>
  <c r="F51" i="3"/>
  <c r="K50" i="3"/>
  <c r="J50" i="3"/>
  <c r="I50" i="3"/>
  <c r="H50" i="3"/>
  <c r="G50" i="3"/>
  <c r="F50" i="3"/>
  <c r="E50" i="3"/>
  <c r="D50" i="3"/>
  <c r="C50" i="3"/>
  <c r="B50" i="3"/>
  <c r="K49" i="3"/>
  <c r="J49" i="3"/>
  <c r="I49" i="3"/>
  <c r="H49" i="3"/>
  <c r="G49" i="3"/>
  <c r="F49" i="3"/>
  <c r="E49" i="3"/>
  <c r="D49" i="3"/>
  <c r="C49" i="3"/>
  <c r="B49" i="3"/>
  <c r="F46" i="3"/>
  <c r="D46" i="3"/>
  <c r="I57" i="3" s="1"/>
  <c r="B3" i="3"/>
  <c r="E4" i="1"/>
  <c r="E3" i="1"/>
  <c r="E2" i="1"/>
  <c r="B52" i="3" l="1"/>
  <c r="H53" i="3"/>
  <c r="D55" i="3"/>
  <c r="F58" i="3"/>
  <c r="E51" i="4"/>
  <c r="G54" i="4"/>
  <c r="C56" i="4"/>
  <c r="I57" i="4"/>
  <c r="F58" i="5"/>
  <c r="B60" i="5"/>
  <c r="C53" i="6"/>
  <c r="E56" i="6"/>
  <c r="F52" i="7"/>
  <c r="B54" i="7"/>
  <c r="D57" i="7"/>
  <c r="E53" i="8"/>
  <c r="G56" i="8"/>
  <c r="C58" i="8"/>
  <c r="D54" i="9"/>
  <c r="C52" i="3"/>
  <c r="I53" i="3"/>
  <c r="E55" i="3"/>
  <c r="G58" i="3"/>
  <c r="F51" i="4"/>
  <c r="B53" i="4"/>
  <c r="H54" i="4"/>
  <c r="D56" i="4"/>
  <c r="C60" i="5"/>
  <c r="D53" i="6"/>
  <c r="F56" i="6"/>
  <c r="B58" i="6"/>
  <c r="G52" i="7"/>
  <c r="C54" i="7"/>
  <c r="E57" i="7"/>
  <c r="F53" i="8"/>
  <c r="B55" i="8"/>
  <c r="H56" i="8"/>
  <c r="D58" i="8"/>
  <c r="C54" i="6"/>
  <c r="E57" i="6"/>
  <c r="F53" i="7"/>
  <c r="B55" i="7"/>
  <c r="D58" i="7"/>
  <c r="E54" i="8"/>
  <c r="G57" i="8"/>
  <c r="G51" i="3"/>
  <c r="C53" i="3"/>
  <c r="I54" i="3"/>
  <c r="E56" i="3"/>
  <c r="F52" i="4"/>
  <c r="B54" i="4"/>
  <c r="H55" i="4"/>
  <c r="D57" i="4"/>
  <c r="E56" i="5"/>
  <c r="C61" i="5"/>
  <c r="D54" i="6"/>
  <c r="F57" i="6"/>
  <c r="G53" i="7"/>
  <c r="C55" i="7"/>
  <c r="E58" i="7"/>
  <c r="F54" i="8"/>
  <c r="B56" i="8"/>
  <c r="H57" i="8"/>
  <c r="H51" i="3"/>
  <c r="D53" i="3"/>
  <c r="F56" i="3"/>
  <c r="B58" i="3"/>
  <c r="G52" i="4"/>
  <c r="C54" i="4"/>
  <c r="I55" i="4"/>
  <c r="E57" i="4"/>
  <c r="F56" i="5"/>
  <c r="B58" i="5"/>
  <c r="D61" i="5"/>
  <c r="E54" i="6"/>
  <c r="G57" i="6"/>
  <c r="I51" i="3"/>
  <c r="E53" i="3"/>
  <c r="G56" i="3"/>
  <c r="C58" i="3"/>
  <c r="B51" i="4"/>
  <c r="H52" i="4"/>
  <c r="D54" i="4"/>
  <c r="F57" i="4"/>
  <c r="C58" i="5"/>
  <c r="E61" i="5"/>
  <c r="F54" i="6"/>
  <c r="B56" i="6"/>
  <c r="F53" i="3"/>
  <c r="B55" i="3"/>
  <c r="H56" i="3"/>
  <c r="D58" i="3"/>
  <c r="C51" i="4"/>
  <c r="I52" i="4"/>
  <c r="E54" i="4"/>
  <c r="G57" i="4"/>
  <c r="G53" i="3"/>
  <c r="C55" i="3"/>
  <c r="I56" i="3"/>
  <c r="E58" i="3"/>
  <c r="D51" i="4"/>
  <c r="F54" i="4"/>
  <c r="B56" i="4"/>
  <c r="H57" i="4"/>
  <c r="D52" i="3"/>
  <c r="F55" i="3"/>
  <c r="B57" i="3"/>
  <c r="H58" i="3"/>
  <c r="G51" i="4"/>
  <c r="C53" i="4"/>
  <c r="I54" i="4"/>
  <c r="E56" i="4"/>
  <c r="B57" i="5"/>
  <c r="D60" i="5"/>
  <c r="E53" i="6"/>
  <c r="G56" i="6"/>
  <c r="C58" i="6"/>
  <c r="D54" i="7"/>
  <c r="F57" i="7"/>
  <c r="G53" i="8"/>
  <c r="C55" i="8"/>
  <c r="E58" i="8"/>
  <c r="B56" i="9"/>
  <c r="B52" i="8"/>
  <c r="H53" i="8"/>
  <c r="D55" i="8"/>
  <c r="F58" i="8"/>
  <c r="C56" i="9"/>
  <c r="C52" i="8"/>
  <c r="E55" i="8"/>
  <c r="G58" i="8"/>
  <c r="B53" i="9"/>
  <c r="D56" i="9"/>
  <c r="D55" i="6"/>
  <c r="F58" i="6"/>
  <c r="G54" i="7"/>
  <c r="C56" i="7"/>
  <c r="D52" i="8"/>
  <c r="F55" i="8"/>
  <c r="B57" i="8"/>
  <c r="H58" i="8"/>
  <c r="C53" i="9"/>
  <c r="E55" i="6"/>
  <c r="G58" i="6"/>
  <c r="B53" i="7"/>
  <c r="D56" i="7"/>
  <c r="E52" i="8"/>
  <c r="G55" i="8"/>
  <c r="C57" i="8"/>
  <c r="D53" i="9"/>
  <c r="B58" i="9"/>
  <c r="B52" i="4"/>
  <c r="H53" i="4"/>
  <c r="D55" i="4"/>
  <c r="F58" i="4"/>
  <c r="C59" i="5"/>
  <c r="F55" i="6"/>
  <c r="B57" i="6"/>
  <c r="C53" i="7"/>
  <c r="E56" i="7"/>
  <c r="F52" i="8"/>
  <c r="B54" i="8"/>
  <c r="H55" i="8"/>
  <c r="D57" i="8"/>
  <c r="C58" i="9"/>
  <c r="C52" i="4"/>
  <c r="I53" i="4"/>
  <c r="E55" i="4"/>
  <c r="G58" i="4"/>
  <c r="B56" i="5"/>
  <c r="D59" i="5"/>
  <c r="G55" i="6"/>
  <c r="C57" i="6"/>
  <c r="D53" i="7"/>
  <c r="F56" i="7"/>
  <c r="B58" i="7"/>
  <c r="G52" i="8"/>
  <c r="C54" i="8"/>
  <c r="E57" i="8"/>
  <c r="B55" i="9"/>
  <c r="D58" i="9"/>
  <c r="H54" i="3"/>
  <c r="D56" i="3"/>
  <c r="E52" i="4"/>
  <c r="G55" i="4"/>
  <c r="C57" i="4"/>
  <c r="I58" i="4"/>
  <c r="D56" i="5"/>
  <c r="F59" i="5"/>
  <c r="B61" i="5"/>
  <c r="E52" i="3"/>
  <c r="G55" i="3"/>
  <c r="C57" i="3"/>
  <c r="I58" i="3"/>
  <c r="H51" i="4"/>
  <c r="D53" i="4"/>
  <c r="F56" i="4"/>
  <c r="B58" i="4"/>
  <c r="C57" i="5"/>
  <c r="E60" i="5"/>
  <c r="F53" i="6"/>
  <c r="B55" i="6"/>
  <c r="D58" i="6"/>
  <c r="E54" i="7"/>
  <c r="G57" i="7"/>
  <c r="F52" i="3"/>
  <c r="B54" i="3"/>
  <c r="H55" i="3"/>
  <c r="D57" i="3"/>
  <c r="I51" i="4"/>
  <c r="E53" i="4"/>
  <c r="G56" i="4"/>
  <c r="C58" i="4"/>
  <c r="D57" i="5"/>
  <c r="F60" i="5"/>
  <c r="G53" i="6"/>
  <c r="C55" i="6"/>
  <c r="E58" i="6"/>
  <c r="F54" i="7"/>
  <c r="B56" i="7"/>
  <c r="G52" i="3"/>
  <c r="C54" i="3"/>
  <c r="I55" i="3"/>
  <c r="E57" i="3"/>
  <c r="F53" i="4"/>
  <c r="B55" i="4"/>
  <c r="H56" i="4"/>
  <c r="D58" i="4"/>
  <c r="E57" i="5"/>
  <c r="B51" i="3"/>
  <c r="H52" i="3"/>
  <c r="D54" i="3"/>
  <c r="F57" i="3"/>
  <c r="G53" i="4"/>
  <c r="C55" i="4"/>
  <c r="I56" i="4"/>
  <c r="E58" i="4"/>
  <c r="F57" i="5"/>
  <c r="B59" i="5"/>
  <c r="C51" i="3"/>
  <c r="I52" i="3"/>
  <c r="E54" i="3"/>
  <c r="G57" i="3"/>
  <c r="D51" i="3"/>
  <c r="F54" i="3"/>
  <c r="B56" i="3"/>
  <c r="H57" i="3"/>
  <c r="E51" i="3"/>
  <c r="G54" i="3"/>
  <c r="C56" i="3"/>
  <c r="D52" i="4"/>
  <c r="F55" i="4"/>
  <c r="B57" i="4"/>
  <c r="C56" i="5"/>
  <c r="E59" i="5"/>
  <c r="B54" i="6"/>
  <c r="D57" i="6"/>
  <c r="E53" i="7"/>
  <c r="G56" i="7"/>
  <c r="C58" i="7"/>
  <c r="H52" i="8"/>
  <c r="D54" i="8"/>
  <c r="F57" i="8"/>
  <c r="C55" i="9"/>
  <c r="D55" i="9"/>
  <c r="B52" i="7"/>
  <c r="D55" i="7"/>
  <c r="F58" i="7"/>
  <c r="G54" i="8"/>
  <c r="C56" i="8"/>
  <c r="B57" i="9"/>
  <c r="C52" i="7"/>
  <c r="E55" i="7"/>
  <c r="G58" i="7"/>
  <c r="B53" i="8"/>
  <c r="H54" i="8"/>
  <c r="D56" i="8"/>
  <c r="C57" i="9"/>
  <c r="D58" i="5"/>
  <c r="F61" i="5"/>
  <c r="G54" i="6"/>
  <c r="C56" i="6"/>
  <c r="D52" i="7"/>
  <c r="F55" i="7"/>
  <c r="B57" i="7"/>
  <c r="C53" i="8"/>
  <c r="E56" i="8"/>
  <c r="B54" i="9"/>
  <c r="D57" i="9"/>
  <c r="B53" i="6"/>
  <c r="E52" i="7"/>
  <c r="G55" i="7"/>
  <c r="D53" i="8"/>
  <c r="F56" i="8"/>
</calcChain>
</file>

<file path=xl/sharedStrings.xml><?xml version="1.0" encoding="utf-8"?>
<sst xmlns="http://schemas.openxmlformats.org/spreadsheetml/2006/main" count="713" uniqueCount="202">
  <si>
    <t>Run</t>
  </si>
  <si>
    <t>Levels</t>
  </si>
  <si>
    <t>Carry Damage</t>
  </si>
  <si>
    <t>GUID</t>
  </si>
  <si>
    <t>Sync</t>
  </si>
  <si>
    <t>DebugRun</t>
  </si>
  <si>
    <t>DebugParade1; DebugParade2; Level3Menagerie; Level4BlackKnight</t>
  </si>
  <si>
    <t>FALSE</t>
  </si>
  <si>
    <t>c2ddf5dab567a5e4da56551a025fe317</t>
  </si>
  <si>
    <t>RealRun</t>
  </si>
  <si>
    <t>Level1; Level2</t>
  </si>
  <si>
    <t>1b9e3eb6bcdac0b41acc43559eb5fc29</t>
  </si>
  <si>
    <t>TutorialRun</t>
  </si>
  <si>
    <t>Tutorial</t>
  </si>
  <si>
    <t>5e3814a1c23dafa459764e0c691cbbce</t>
  </si>
  <si>
    <t>Loot</t>
  </si>
  <si>
    <t>Prefab</t>
  </si>
  <si>
    <t>Level</t>
  </si>
  <si>
    <t>Bool</t>
  </si>
  <si>
    <t>list_Prefab drives the dropdown on every enemy-name cell in a level's Waves table.</t>
  </si>
  <si>
    <t/>
  </si>
  <si>
    <t>Bat</t>
  </si>
  <si>
    <t>DebugParade1</t>
  </si>
  <si>
    <t>TRUE</t>
  </si>
  <si>
    <t>BlackKnightDrop</t>
  </si>
  <si>
    <t>BlackKnight</t>
  </si>
  <si>
    <t>DebugParade2</t>
  </si>
  <si>
    <t>EarlyGame</t>
  </si>
  <si>
    <t>Crab</t>
  </si>
  <si>
    <t>Level1</t>
  </si>
  <si>
    <t>EarlyLevelReward</t>
  </si>
  <si>
    <t>EnemyRanger</t>
  </si>
  <si>
    <t>Level2</t>
  </si>
  <si>
    <t>EvilKingDrop</t>
  </si>
  <si>
    <t>EnemyRangerTutorial</t>
  </si>
  <si>
    <t>Level3Menagerie</t>
  </si>
  <si>
    <t>EvilKnightDrop</t>
  </si>
  <si>
    <t>EvilKing</t>
  </si>
  <si>
    <t>Level4BlackKnight</t>
  </si>
  <si>
    <t>EvilWizard2Drop</t>
  </si>
  <si>
    <t>EvilKnight</t>
  </si>
  <si>
    <t>EvilWizard3Drop</t>
  </si>
  <si>
    <t>EvilWizard</t>
  </si>
  <si>
    <t>EvilWizardDrop</t>
  </si>
  <si>
    <t>EvilWizard2</t>
  </si>
  <si>
    <t>PoisonSkeleton</t>
  </si>
  <si>
    <t>EvilWizard3</t>
  </si>
  <si>
    <t>ReaperDrop</t>
  </si>
  <si>
    <t>FlyingEye</t>
  </si>
  <si>
    <t>ReinforcedGolemDrop</t>
  </si>
  <si>
    <t>Goblin</t>
  </si>
  <si>
    <t>TutorialSapDrop</t>
  </si>
  <si>
    <t>Golem</t>
  </si>
  <si>
    <t>HeavyBandit</t>
  </si>
  <si>
    <t>LightBandit</t>
  </si>
  <si>
    <t>Mimic</t>
  </si>
  <si>
    <t>Mushroom</t>
  </si>
  <si>
    <t>Pebble</t>
  </si>
  <si>
    <t>PlagueRat</t>
  </si>
  <si>
    <t>Rat</t>
  </si>
  <si>
    <t>Reaper</t>
  </si>
  <si>
    <t>ReinforcedGolem</t>
  </si>
  <si>
    <t>Skeleton</t>
  </si>
  <si>
    <t>SkeletonAlly</t>
  </si>
  <si>
    <t>SkeletonWarrior</t>
  </si>
  <si>
    <t>SkeletonWarriorTutorial</t>
  </si>
  <si>
    <t>Skull</t>
  </si>
  <si>
    <t>Slime</t>
  </si>
  <si>
    <t>SpikedSlime</t>
  </si>
  <si>
    <t>VampireBat</t>
  </si>
  <si>
    <t>Level Name</t>
  </si>
  <si>
    <t>8c8f2f598a8bc824984510549a779d78</t>
  </si>
  <si>
    <t>Board Settings (synced to Unity)</t>
  </si>
  <si>
    <t>Board Width</t>
  </si>
  <si>
    <t>Board Height</t>
  </si>
  <si>
    <t>Turns To Survive</t>
  </si>
  <si>
    <t>Hand Size</t>
  </si>
  <si>
    <t>Loot Table</t>
  </si>
  <si>
    <t>Clear Reward Table</t>
  </si>
  <si>
    <t>Tile Sets</t>
  </si>
  <si>
    <t>StoneDungeon</t>
  </si>
  <si>
    <t>Waves</t>
  </si>
  <si>
    <t>Turn</t>
  </si>
  <si>
    <t>Enemy 1</t>
  </si>
  <si>
    <t>Enemy 2</t>
  </si>
  <si>
    <t>Enemy 3</t>
  </si>
  <si>
    <t>Enemy 4</t>
  </si>
  <si>
    <t>Enemy 5</t>
  </si>
  <si>
    <t>Enemy 6</t>
  </si>
  <si>
    <t>Enemy 7</t>
  </si>
  <si>
    <t>Enemy 8</t>
  </si>
  <si>
    <t>Enemy 9</t>
  </si>
  <si>
    <t>Enemy 10</t>
  </si>
  <si>
    <t>Enemy 11</t>
  </si>
  <si>
    <t>Enemy 12</t>
  </si>
  <si>
    <t>Start</t>
  </si>
  <si>
    <t>Coords</t>
  </si>
  <si>
    <t>2,5</t>
  </si>
  <si>
    <t>5,5</t>
  </si>
  <si>
    <t>8,5</t>
  </si>
  <si>
    <t>1,6</t>
  </si>
  <si>
    <t>4,6</t>
  </si>
  <si>
    <t>7,6</t>
  </si>
  <si>
    <t>2,7</t>
  </si>
  <si>
    <t>5,7</t>
  </si>
  <si>
    <t>8,7</t>
  </si>
  <si>
    <t>1,8</t>
  </si>
  <si>
    <t>4,8</t>
  </si>
  <si>
    <t>7,8</t>
  </si>
  <si>
    <t>Party Spawn (synced to Unity)</t>
  </si>
  <si>
    <t>P1</t>
  </si>
  <si>
    <t>P2</t>
  </si>
  <si>
    <t>P3</t>
  </si>
  <si>
    <t>P4</t>
  </si>
  <si>
    <t>P5</t>
  </si>
  <si>
    <t>Party</t>
  </si>
  <si>
    <t>2,1</t>
  </si>
  <si>
    <t>4,1</t>
  </si>
  <si>
    <t>6,1</t>
  </si>
  <si>
    <t>Deck Overrides</t>
  </si>
  <si>
    <t>Col</t>
  </si>
  <si>
    <t>Row</t>
  </si>
  <si>
    <t>Deck</t>
  </si>
  <si>
    <t>Board (read-only - shows the wave picked below)</t>
  </si>
  <si>
    <t>Show:</t>
  </si>
  <si>
    <t>(name row)</t>
  </si>
  <si>
    <t>(coord row)</t>
  </si>
  <si>
    <t>Legend</t>
  </si>
  <si>
    <t>Pick an enemy from the dropdown on a "Turn"/"Start" row, then type its cell as Col,Row directly below - e.g. 3,5.</t>
  </si>
  <si>
    <t>Blank Turn/Coords pairs are spares - type a turn number into one to add a new wave; re-sync to pick it up in the Show: dropdown.</t>
  </si>
  <si>
    <t>Party spawn cells go on the single "Party" row below, in the same Col,Row format, in party order.</t>
  </si>
  <si>
    <t>The board below is read-only - it shows whichever row the Show: dropdown selects. Cells past the level's own Board Width/Height are marked X.</t>
  </si>
  <si>
    <t>Notes</t>
  </si>
  <si>
    <t>(internal - dropdown source, regenerated on every export, do not edit)</t>
  </si>
  <si>
    <t>Label</t>
  </si>
  <si>
    <t>Name Row</t>
  </si>
  <si>
    <t>Coord Row</t>
  </si>
  <si>
    <t>a5dbc86ebb323174589025bc4980f329</t>
  </si>
  <si>
    <t>Enemy 13</t>
  </si>
  <si>
    <t>4,4</t>
  </si>
  <si>
    <t>6abf9bedd410a2942ada5d2fc57f7438</t>
  </si>
  <si>
    <t>3,5</t>
  </si>
  <si>
    <t>5,6</t>
  </si>
  <si>
    <t>2,6</t>
  </si>
  <si>
    <t>P6</t>
  </si>
  <si>
    <t>3,4</t>
  </si>
  <si>
    <t>3,3</t>
  </si>
  <si>
    <t>5,1</t>
  </si>
  <si>
    <t>EnemySlash; EnemySlash; MoveInnate; EnemySlash; EnemySlash</t>
  </si>
  <si>
    <t>EnemySlash; EnemySlash; MoveInnate; EnemySlash</t>
  </si>
  <si>
    <t>2</t>
  </si>
  <si>
    <t>3</t>
  </si>
  <si>
    <t>5</t>
  </si>
  <si>
    <t>6</t>
  </si>
  <si>
    <t>8</t>
  </si>
  <si>
    <t>9</t>
  </si>
  <si>
    <t>3ef6a1a71a140c449b08228f24791993</t>
  </si>
  <si>
    <t>6,6</t>
  </si>
  <si>
    <t>4,3</t>
  </si>
  <si>
    <t>ca9f9ed091b6a0049a1165cd7701db6f</t>
  </si>
  <si>
    <t>4,7</t>
  </si>
  <si>
    <t>1,7</t>
  </si>
  <si>
    <t>6,7</t>
  </si>
  <si>
    <t>3,7</t>
  </si>
  <si>
    <t>3,2</t>
  </si>
  <si>
    <t>7</t>
  </si>
  <si>
    <t>35d56f4d97e16ae46a11bc1a4f583f23</t>
  </si>
  <si>
    <t>7,7</t>
  </si>
  <si>
    <t>3,1</t>
  </si>
  <si>
    <t>4,2</t>
  </si>
  <si>
    <t>4</t>
  </si>
  <si>
    <t>09a7258cd7dc67749b468fcf0531c772</t>
  </si>
  <si>
    <t>2,3</t>
  </si>
  <si>
    <t>Level Design Workbook</t>
  </si>
  <si>
    <t>One tab per level, built from Assets/Data/LevelData and Assets/Data/RunData. Editing happens in the Waves/Party rows; the Board underneath is a read-only picture of whichever one you pick.</t>
  </si>
  <si>
    <t>The tabs</t>
  </si>
  <si>
    <t>Runs</t>
  </si>
  <si>
    <t>One row per RunData: which levels it plays, in order, and whether damage carries between them.</t>
  </si>
  <si>
    <t>One tab per level</t>
  </si>
  <si>
    <t>Board Width/Height/Turns To Survive/Hand Size/Loot Table/Clear Reward Table/Tile Sets, the Waves table and the Party row are all synced.</t>
  </si>
  <si>
    <t>Enums</t>
  </si>
  <si>
    <t>list_Loot and list_Prefab drive real dropdowns (Loot Table cells, and every enemy-name cell in a Waves table). list_Level is a reference list for the Runs tab.</t>
  </si>
  <si>
    <t>Editing a level's Waves table</t>
  </si>
  <si>
    <t>One wave, two rows</t>
  </si>
  <si>
    <t>The "Start" row (the opening roster) and each wave turn are a pair: pick an enemy from the dropdown in the top row, then type where it lands directly below as "Col,Row" (one-based, same numbers the Inspector shows) - e.g. 3,5. A wave with two enemies just uses two columns.</t>
  </si>
  <si>
    <t>Adding a new wave</t>
  </si>
  <si>
    <t>There are always at least 10 wave slots beyond Start, blank ones ready after the real waves - type a turn number into one and fill in its row. Sync, and the next export picks it up in the Show: dropdown.</t>
  </si>
  <si>
    <t>One row, same "Col,Row" format, in party order - P1's cell first, then P2's, and so on.</t>
  </si>
  <si>
    <t>A card list for one specific placement, keyed by (Col, Row, Turn) - Turn 0 means the opening roster. Leave a placement out of this table to use its prefab's own deck.</t>
  </si>
  <si>
    <t>The Board</t>
  </si>
  <si>
    <t>Pick "Start" or a wave turn here and the 10x10 grid below re-reads that row pair - formulas, not something to type into. Cells past the level's own Board Width/Height show a grey X. Party positions only appear when Show: is "Start".</t>
  </si>
  <si>
    <t>If a cell looks wrong</t>
  </si>
  <si>
    <t>The Show: dropdown and the grid are driven by INDEX/MATCH/OFFSET formulas against a small internal table at the bottom of the tab - regenerated every export, never hand-edit it. Excel evaluates these on open; if one looks off, check the Waves row it should be reading before assuming the data is wrong.</t>
  </si>
  <si>
    <t>Syncing back to Unity</t>
  </si>
  <si>
    <t>One button</t>
  </si>
  <si>
    <t>In Unity: Tools &gt; Sync Levels With Sheet.</t>
  </si>
  <si>
    <t>What counts as one change</t>
  </si>
  <si>
    <t>The WHOLE board (every placement, wave, party spawn cell and deck override together) is one merge column, "Layout" - editing anything in the Waves/Party rows marks the whole level changed. Changing it in Unity AND the sheet since the last sync is a conflict for the whole level, same as any other column - see Docs/CardDesign.xlsx's own rule.</t>
  </si>
  <si>
    <t>Unknown prefab names</t>
  </si>
  <si>
    <t>Reported as a problem and that row is skipped, rather than guessed at - the dropdown should prevent this, but a typo pasted in directly is still checked.</t>
  </si>
  <si>
    <t>Regenerating without syncing</t>
  </si>
  <si>
    <t>Tools &gt; Levels &gt; Refresh Sheet From Unity discards any sheet edit that has not been synced yet - only for when the sheet is known to be wrong.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</si>
</sst>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b/>
      <sz val="11"/>
      <name val="Calibri"/>
    </font>
    <font>
      <i/>
      <sz val="11"/>
      <name val="Calibri"/>
    </font>
    <font>
      <sz val="11"/>
      <color rgb="FF808080"/>
      <name val="Calibri"/>
    </font>
    <font>
      <i/>
      <sz val="11"/>
      <color rgb="FF808080"/>
      <name val="Calibri"/>
    </font>
    <font>
      <i/>
      <sz val="8"/>
      <name val="Calibri"/>
    </font>
    <font>
      <sz val="8"/>
      <name val="Calibri"/>
    </font>
    <font>
      <b/>
      <sz val="16"/>
      <name val="Calibri"/>
    </font>
    <font>
      <b/>
      <sz val="12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0" borderId="1" xfId="0" applyBorder="1"/>
    <xf numFmtId="0" fontId="1" fillId="0" borderId="2" xfId="0" applyFont="1" applyBorder="1"/>
    <xf numFmtId="0" fontId="1" fillId="0" borderId="1" xfId="0" applyFont="1" applyBorder="1"/>
    <xf numFmtId="0" fontId="0" fillId="0" borderId="2" xfId="0" applyBorder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7">
    <dxf>
      <font>
        <color rgb="FFD3D3D3"/>
      </font>
    </dxf>
    <dxf>
      <font>
        <color rgb="FFD3D3D3"/>
      </font>
    </dxf>
    <dxf>
      <font>
        <color rgb="FFD3D3D3"/>
      </font>
    </dxf>
    <dxf>
      <font>
        <color rgb="FFD3D3D3"/>
      </font>
    </dxf>
    <dxf>
      <font>
        <color rgb="FFD3D3D3"/>
      </font>
    </dxf>
    <dxf>
      <font>
        <color rgb="FFD3D3D3"/>
      </font>
    </dxf>
    <dxf>
      <font>
        <color rgb="FFD3D3D3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"/>
  <sheetViews>
    <sheetView workbookViewId="0"/>
  </sheetViews>
  <sheetFormatPr defaultRowHeight="14.4" x14ac:dyDescent="0.3"/>
  <cols>
    <col min="1" max="1" width="24" customWidth="1"/>
    <col min="2" max="2" width="110" style="2" customWidth="1"/>
  </cols>
  <sheetData>
    <row r="1" spans="1:2" ht="21" x14ac:dyDescent="0.4">
      <c r="A1" s="13" t="s">
        <v>173</v>
      </c>
    </row>
    <row r="2" spans="1:2" x14ac:dyDescent="0.3">
      <c r="A2" t="s">
        <v>20</v>
      </c>
    </row>
    <row r="3" spans="1:2" x14ac:dyDescent="0.3">
      <c r="A3" t="s">
        <v>174</v>
      </c>
    </row>
    <row r="4" spans="1:2" x14ac:dyDescent="0.3">
      <c r="A4" t="s">
        <v>20</v>
      </c>
    </row>
    <row r="5" spans="1:2" ht="15.6" x14ac:dyDescent="0.3">
      <c r="A5" s="14" t="s">
        <v>175</v>
      </c>
    </row>
    <row r="6" spans="1:2" x14ac:dyDescent="0.3">
      <c r="A6" s="1" t="s">
        <v>176</v>
      </c>
      <c r="B6" s="2" t="s">
        <v>177</v>
      </c>
    </row>
    <row r="7" spans="1:2" ht="28.8" x14ac:dyDescent="0.3">
      <c r="A7" s="1" t="s">
        <v>178</v>
      </c>
      <c r="B7" s="2" t="s">
        <v>179</v>
      </c>
    </row>
    <row r="8" spans="1:2" ht="28.8" x14ac:dyDescent="0.3">
      <c r="A8" s="1" t="s">
        <v>180</v>
      </c>
      <c r="B8" s="2" t="s">
        <v>181</v>
      </c>
    </row>
    <row r="9" spans="1:2" x14ac:dyDescent="0.3">
      <c r="A9" t="s">
        <v>20</v>
      </c>
    </row>
    <row r="10" spans="1:2" ht="15.6" x14ac:dyDescent="0.3">
      <c r="A10" s="14" t="s">
        <v>182</v>
      </c>
    </row>
    <row r="11" spans="1:2" ht="43.2" x14ac:dyDescent="0.3">
      <c r="A11" s="1" t="s">
        <v>183</v>
      </c>
      <c r="B11" s="2" t="s">
        <v>184</v>
      </c>
    </row>
    <row r="12" spans="1:2" ht="28.8" x14ac:dyDescent="0.3">
      <c r="A12" s="1" t="s">
        <v>185</v>
      </c>
      <c r="B12" s="2" t="s">
        <v>186</v>
      </c>
    </row>
    <row r="13" spans="1:2" x14ac:dyDescent="0.3">
      <c r="A13" s="1" t="s">
        <v>115</v>
      </c>
      <c r="B13" s="2" t="s">
        <v>187</v>
      </c>
    </row>
    <row r="14" spans="1:2" ht="28.8" x14ac:dyDescent="0.3">
      <c r="A14" s="1" t="s">
        <v>119</v>
      </c>
      <c r="B14" s="2" t="s">
        <v>188</v>
      </c>
    </row>
    <row r="15" spans="1:2" x14ac:dyDescent="0.3">
      <c r="A15" t="s">
        <v>20</v>
      </c>
    </row>
    <row r="16" spans="1:2" ht="15.6" x14ac:dyDescent="0.3">
      <c r="A16" s="14" t="s">
        <v>189</v>
      </c>
    </row>
    <row r="17" spans="1:2" ht="28.8" x14ac:dyDescent="0.3">
      <c r="A17" s="1" t="s">
        <v>124</v>
      </c>
      <c r="B17" s="2" t="s">
        <v>190</v>
      </c>
    </row>
    <row r="18" spans="1:2" ht="43.2" x14ac:dyDescent="0.3">
      <c r="A18" s="1" t="s">
        <v>191</v>
      </c>
      <c r="B18" s="2" t="s">
        <v>192</v>
      </c>
    </row>
    <row r="19" spans="1:2" x14ac:dyDescent="0.3">
      <c r="A19" t="s">
        <v>20</v>
      </c>
    </row>
    <row r="20" spans="1:2" ht="15.6" x14ac:dyDescent="0.3">
      <c r="A20" s="14" t="s">
        <v>193</v>
      </c>
    </row>
    <row r="21" spans="1:2" x14ac:dyDescent="0.3">
      <c r="A21" s="1" t="s">
        <v>194</v>
      </c>
      <c r="B21" s="2" t="s">
        <v>195</v>
      </c>
    </row>
    <row r="22" spans="1:2" ht="43.2" x14ac:dyDescent="0.3">
      <c r="A22" s="1" t="s">
        <v>196</v>
      </c>
      <c r="B22" s="2" t="s">
        <v>197</v>
      </c>
    </row>
    <row r="23" spans="1:2" ht="28.8" x14ac:dyDescent="0.3">
      <c r="A23" s="1" t="s">
        <v>198</v>
      </c>
      <c r="B23" s="2" t="s">
        <v>199</v>
      </c>
    </row>
    <row r="24" spans="1:2" ht="28.8" x14ac:dyDescent="0.3">
      <c r="A24" s="1" t="s">
        <v>200</v>
      </c>
      <c r="B24" s="2" t="s">
        <v>201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8" customWidth="1"/>
    <col min="2" max="2" width="40" style="2" customWidth="1"/>
  </cols>
  <sheetData>
    <row r="1" spans="1:5" x14ac:dyDescent="0.3">
      <c r="A1" s="1" t="s">
        <v>0</v>
      </c>
      <c r="B1" s="3" t="s">
        <v>1</v>
      </c>
      <c r="C1" s="1" t="s">
        <v>2</v>
      </c>
      <c r="D1" s="1" t="s">
        <v>3</v>
      </c>
      <c r="E1" s="1" t="s">
        <v>4</v>
      </c>
    </row>
    <row r="2" spans="1:5" ht="28.8" x14ac:dyDescent="0.3">
      <c r="A2" t="s">
        <v>5</v>
      </c>
      <c r="B2" s="2" t="s">
        <v>6</v>
      </c>
      <c r="C2" t="s">
        <v>7</v>
      </c>
      <c r="D2" t="s">
        <v>8</v>
      </c>
      <c r="E2" t="str">
        <f>IF($D2="","NEW","Live")</f>
        <v>Live</v>
      </c>
    </row>
    <row r="3" spans="1:5" x14ac:dyDescent="0.3">
      <c r="A3" t="s">
        <v>9</v>
      </c>
      <c r="B3" s="2" t="s">
        <v>10</v>
      </c>
      <c r="C3" t="s">
        <v>7</v>
      </c>
      <c r="D3" t="s">
        <v>11</v>
      </c>
      <c r="E3" t="str">
        <f>IF($D3="","NEW","Live")</f>
        <v>Live</v>
      </c>
    </row>
    <row r="4" spans="1:5" x14ac:dyDescent="0.3">
      <c r="A4" t="s">
        <v>12</v>
      </c>
      <c r="B4" s="2" t="s">
        <v>13</v>
      </c>
      <c r="C4" t="s">
        <v>7</v>
      </c>
      <c r="D4" t="s">
        <v>14</v>
      </c>
      <c r="E4" t="str">
        <f>IF($D4="","NEW","Live")</f>
        <v>Live</v>
      </c>
    </row>
  </sheetData>
  <autoFilter ref="A1:E4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70"/>
  <sheetViews>
    <sheetView workbookViewId="0">
      <pane xSplit="1" ySplit="14" topLeftCell="B48" activePane="bottomRight" state="frozen"/>
      <selection pane="topRight" activeCell="B1" sqref="B1"/>
      <selection pane="bottomLeft" activeCell="A15" sqref="A15"/>
      <selection pane="bottomRight"/>
    </sheetView>
  </sheetViews>
  <sheetFormatPr defaultRowHeight="14.4" x14ac:dyDescent="0.3"/>
  <cols>
    <col min="1" max="1" width="16" customWidth="1"/>
    <col min="2" max="11" width="14" customWidth="1"/>
  </cols>
  <sheetData>
    <row r="1" spans="1:13" x14ac:dyDescent="0.3">
      <c r="A1" s="1" t="s">
        <v>70</v>
      </c>
      <c r="B1" t="s">
        <v>22</v>
      </c>
    </row>
    <row r="2" spans="1:13" x14ac:dyDescent="0.3">
      <c r="A2" s="1" t="s">
        <v>3</v>
      </c>
      <c r="B2" t="s">
        <v>71</v>
      </c>
    </row>
    <row r="3" spans="1:13" x14ac:dyDescent="0.3">
      <c r="A3" s="1" t="s">
        <v>4</v>
      </c>
      <c r="B3" t="str">
        <f>IF($B$2="","NEW","Live")</f>
        <v>Live</v>
      </c>
    </row>
    <row r="4" spans="1:13" x14ac:dyDescent="0.3">
      <c r="A4" s="1" t="s">
        <v>72</v>
      </c>
    </row>
    <row r="5" spans="1:13" x14ac:dyDescent="0.3">
      <c r="A5" s="4" t="s">
        <v>73</v>
      </c>
      <c r="B5">
        <v>8</v>
      </c>
    </row>
    <row r="6" spans="1:13" x14ac:dyDescent="0.3">
      <c r="A6" s="4" t="s">
        <v>74</v>
      </c>
      <c r="B6">
        <v>8</v>
      </c>
    </row>
    <row r="7" spans="1:13" x14ac:dyDescent="0.3">
      <c r="A7" s="4" t="s">
        <v>75</v>
      </c>
      <c r="B7">
        <v>2</v>
      </c>
    </row>
    <row r="8" spans="1:13" x14ac:dyDescent="0.3">
      <c r="A8" s="4" t="s">
        <v>76</v>
      </c>
      <c r="B8">
        <v>5</v>
      </c>
    </row>
    <row r="9" spans="1:13" x14ac:dyDescent="0.3">
      <c r="A9" s="4" t="s">
        <v>77</v>
      </c>
      <c r="B9" t="s">
        <v>27</v>
      </c>
    </row>
    <row r="10" spans="1:13" x14ac:dyDescent="0.3">
      <c r="A10" s="4" t="s">
        <v>78</v>
      </c>
      <c r="B10" t="s">
        <v>30</v>
      </c>
    </row>
    <row r="11" spans="1:13" x14ac:dyDescent="0.3">
      <c r="A11" s="4" t="s">
        <v>79</v>
      </c>
      <c r="B11" t="s">
        <v>80</v>
      </c>
    </row>
    <row r="13" spans="1:13" x14ac:dyDescent="0.3">
      <c r="A13" s="1" t="s">
        <v>81</v>
      </c>
    </row>
    <row r="14" spans="1:13" x14ac:dyDescent="0.3">
      <c r="A14" s="4" t="s">
        <v>82</v>
      </c>
      <c r="B14" s="4" t="s">
        <v>83</v>
      </c>
      <c r="C14" s="4" t="s">
        <v>84</v>
      </c>
      <c r="D14" s="4" t="s">
        <v>85</v>
      </c>
      <c r="E14" s="4" t="s">
        <v>86</v>
      </c>
      <c r="F14" s="4" t="s">
        <v>87</v>
      </c>
      <c r="G14" s="4" t="s">
        <v>88</v>
      </c>
      <c r="H14" s="4" t="s">
        <v>89</v>
      </c>
      <c r="I14" s="4" t="s">
        <v>90</v>
      </c>
      <c r="J14" s="4" t="s">
        <v>91</v>
      </c>
      <c r="K14" s="4" t="s">
        <v>92</v>
      </c>
      <c r="L14" s="4" t="s">
        <v>93</v>
      </c>
      <c r="M14" s="4" t="s">
        <v>94</v>
      </c>
    </row>
    <row r="15" spans="1:13" x14ac:dyDescent="0.3">
      <c r="A15" s="1" t="s">
        <v>95</v>
      </c>
      <c r="B15" t="s">
        <v>25</v>
      </c>
      <c r="C15" t="s">
        <v>61</v>
      </c>
      <c r="D15" t="s">
        <v>60</v>
      </c>
      <c r="E15" t="s">
        <v>68</v>
      </c>
      <c r="F15" t="s">
        <v>52</v>
      </c>
      <c r="G15" t="s">
        <v>54</v>
      </c>
      <c r="H15" t="s">
        <v>28</v>
      </c>
      <c r="I15" t="s">
        <v>21</v>
      </c>
      <c r="J15" t="s">
        <v>69</v>
      </c>
      <c r="K15" t="s">
        <v>57</v>
      </c>
      <c r="L15" t="s">
        <v>59</v>
      </c>
      <c r="M15" t="s">
        <v>66</v>
      </c>
    </row>
    <row r="16" spans="1:13" x14ac:dyDescent="0.3">
      <c r="A16" s="4" t="s">
        <v>96</v>
      </c>
      <c r="B16" t="s">
        <v>97</v>
      </c>
      <c r="C16" t="s">
        <v>98</v>
      </c>
      <c r="D16" t="s">
        <v>99</v>
      </c>
      <c r="E16" t="s">
        <v>100</v>
      </c>
      <c r="F16" t="s">
        <v>101</v>
      </c>
      <c r="G16" t="s">
        <v>102</v>
      </c>
      <c r="H16" t="s">
        <v>103</v>
      </c>
      <c r="I16" t="s">
        <v>104</v>
      </c>
      <c r="J16" t="s">
        <v>105</v>
      </c>
      <c r="K16" t="s">
        <v>106</v>
      </c>
      <c r="L16" t="s">
        <v>107</v>
      </c>
      <c r="M16" t="s">
        <v>108</v>
      </c>
    </row>
    <row r="17" spans="1:1" x14ac:dyDescent="0.3">
      <c r="A17" s="5"/>
    </row>
    <row r="18" spans="1:1" x14ac:dyDescent="0.3">
      <c r="A18" s="6" t="s">
        <v>96</v>
      </c>
    </row>
    <row r="19" spans="1:1" x14ac:dyDescent="0.3">
      <c r="A19" s="5"/>
    </row>
    <row r="20" spans="1:1" x14ac:dyDescent="0.3">
      <c r="A20" s="6" t="s">
        <v>96</v>
      </c>
    </row>
    <row r="21" spans="1:1" x14ac:dyDescent="0.3">
      <c r="A21" s="5"/>
    </row>
    <row r="22" spans="1:1" x14ac:dyDescent="0.3">
      <c r="A22" s="6" t="s">
        <v>96</v>
      </c>
    </row>
    <row r="23" spans="1:1" x14ac:dyDescent="0.3">
      <c r="A23" s="5"/>
    </row>
    <row r="24" spans="1:1" x14ac:dyDescent="0.3">
      <c r="A24" s="6" t="s">
        <v>96</v>
      </c>
    </row>
    <row r="25" spans="1:1" x14ac:dyDescent="0.3">
      <c r="A25" s="5"/>
    </row>
    <row r="26" spans="1:1" x14ac:dyDescent="0.3">
      <c r="A26" s="6" t="s">
        <v>96</v>
      </c>
    </row>
    <row r="27" spans="1:1" x14ac:dyDescent="0.3">
      <c r="A27" s="5"/>
    </row>
    <row r="28" spans="1:1" x14ac:dyDescent="0.3">
      <c r="A28" s="6" t="s">
        <v>96</v>
      </c>
    </row>
    <row r="29" spans="1:1" x14ac:dyDescent="0.3">
      <c r="A29" s="5"/>
    </row>
    <row r="30" spans="1:1" x14ac:dyDescent="0.3">
      <c r="A30" s="6" t="s">
        <v>96</v>
      </c>
    </row>
    <row r="31" spans="1:1" x14ac:dyDescent="0.3">
      <c r="A31" s="5"/>
    </row>
    <row r="32" spans="1:1" x14ac:dyDescent="0.3">
      <c r="A32" s="6" t="s">
        <v>96</v>
      </c>
    </row>
    <row r="33" spans="1:11" x14ac:dyDescent="0.3">
      <c r="A33" s="5"/>
    </row>
    <row r="34" spans="1:11" x14ac:dyDescent="0.3">
      <c r="A34" s="6" t="s">
        <v>96</v>
      </c>
    </row>
    <row r="35" spans="1:11" x14ac:dyDescent="0.3">
      <c r="A35" s="5"/>
    </row>
    <row r="36" spans="1:11" x14ac:dyDescent="0.3">
      <c r="A36" s="6" t="s">
        <v>96</v>
      </c>
    </row>
    <row r="38" spans="1:11" x14ac:dyDescent="0.3">
      <c r="A38" s="1" t="s">
        <v>109</v>
      </c>
    </row>
    <row r="39" spans="1:11" x14ac:dyDescent="0.3">
      <c r="B39" s="4" t="s">
        <v>110</v>
      </c>
      <c r="C39" s="4" t="s">
        <v>111</v>
      </c>
      <c r="D39" s="4" t="s">
        <v>112</v>
      </c>
      <c r="E39" s="4" t="s">
        <v>113</v>
      </c>
      <c r="F39" s="4" t="s">
        <v>114</v>
      </c>
    </row>
    <row r="40" spans="1:11" x14ac:dyDescent="0.3">
      <c r="A40" s="1" t="s">
        <v>115</v>
      </c>
      <c r="B40" t="s">
        <v>116</v>
      </c>
      <c r="C40" t="s">
        <v>117</v>
      </c>
      <c r="D40" t="s">
        <v>118</v>
      </c>
    </row>
    <row r="42" spans="1:11" x14ac:dyDescent="0.3">
      <c r="A42" s="1" t="s">
        <v>119</v>
      </c>
    </row>
    <row r="43" spans="1:11" x14ac:dyDescent="0.3">
      <c r="A43" s="4" t="s">
        <v>120</v>
      </c>
      <c r="B43" s="4" t="s">
        <v>121</v>
      </c>
      <c r="C43" s="4" t="s">
        <v>82</v>
      </c>
      <c r="D43" s="4" t="s">
        <v>122</v>
      </c>
    </row>
    <row r="45" spans="1:11" x14ac:dyDescent="0.3">
      <c r="A45" s="1" t="s">
        <v>123</v>
      </c>
    </row>
    <row r="46" spans="1:11" x14ac:dyDescent="0.3">
      <c r="A46" s="1" t="s">
        <v>124</v>
      </c>
      <c r="B46" t="s">
        <v>95</v>
      </c>
      <c r="C46" s="7" t="s">
        <v>125</v>
      </c>
      <c r="D46" s="8">
        <f>INDEX($B$70:$B$70,MATCH($B$46,$A$70:$A$70,0))</f>
        <v>15</v>
      </c>
      <c r="E46" s="7" t="s">
        <v>126</v>
      </c>
      <c r="F46" s="8">
        <f>INDEX($C$70:$C$70,MATCH($B$46,$A$70:$A$70,0))</f>
        <v>16</v>
      </c>
    </row>
    <row r="48" spans="1:11" x14ac:dyDescent="0.3">
      <c r="A48" s="9"/>
      <c r="B48" s="10">
        <v>1</v>
      </c>
      <c r="C48" s="10">
        <v>2</v>
      </c>
      <c r="D48" s="10">
        <v>3</v>
      </c>
      <c r="E48" s="10">
        <v>4</v>
      </c>
      <c r="F48" s="10">
        <v>5</v>
      </c>
      <c r="G48" s="10">
        <v>6</v>
      </c>
      <c r="H48" s="10">
        <v>7</v>
      </c>
      <c r="I48" s="10">
        <v>8</v>
      </c>
      <c r="J48" s="10">
        <v>9</v>
      </c>
      <c r="K48" s="10">
        <v>10</v>
      </c>
    </row>
    <row r="49" spans="1:11" x14ac:dyDescent="0.3">
      <c r="A49" s="11">
        <v>10</v>
      </c>
      <c r="B49" s="12" t="str">
        <f ca="1">IF(OR(1&gt;$B$5,10&gt;$B$6),"X",IF(IFERROR(INDEX(OFFSET($B$15,$D$46-15,0,1,12),MATCH(1&amp;","&amp;10,OFFSET($B$15,$F$46-15,0,1,12),0)),"")&lt;&gt;"",IFERROR(INDEX(OFFSET($B$15,$D$46-15,0,1,12),MATCH(1&amp;","&amp;10,OFFSET($B$15,$F$46-15,0,1,12),0)),""),IF($B$46="Start",IFERROR(INDEX($B$39:$F$39,MATCH(1&amp;","&amp;10,$B$40:$F$40,0)),""),"")))</f>
        <v>X</v>
      </c>
      <c r="C49" s="12" t="str">
        <f ca="1">IF(OR(2&gt;$B$5,10&gt;$B$6),"X",IF(IFERROR(INDEX(OFFSET($B$15,$D$46-15,0,1,12),MATCH(2&amp;","&amp;10,OFFSET($B$15,$F$46-15,0,1,12),0)),"")&lt;&gt;"",IFERROR(INDEX(OFFSET($B$15,$D$46-15,0,1,12),MATCH(2&amp;","&amp;10,OFFSET($B$15,$F$46-15,0,1,12),0)),""),IF($B$46="Start",IFERROR(INDEX($B$39:$F$39,MATCH(2&amp;","&amp;10,$B$40:$F$40,0)),""),"")))</f>
        <v>X</v>
      </c>
      <c r="D49" s="12" t="str">
        <f ca="1">IF(OR(3&gt;$B$5,10&gt;$B$6),"X",IF(IFERROR(INDEX(OFFSET($B$15,$D$46-15,0,1,12),MATCH(3&amp;","&amp;10,OFFSET($B$15,$F$46-15,0,1,12),0)),"")&lt;&gt;"",IFERROR(INDEX(OFFSET($B$15,$D$46-15,0,1,12),MATCH(3&amp;","&amp;10,OFFSET($B$15,$F$46-15,0,1,12),0)),""),IF($B$46="Start",IFERROR(INDEX($B$39:$F$39,MATCH(3&amp;","&amp;10,$B$40:$F$40,0)),""),"")))</f>
        <v>X</v>
      </c>
      <c r="E49" s="12" t="str">
        <f ca="1">IF(OR(4&gt;$B$5,10&gt;$B$6),"X",IF(IFERROR(INDEX(OFFSET($B$15,$D$46-15,0,1,12),MATCH(4&amp;","&amp;10,OFFSET($B$15,$F$46-15,0,1,12),0)),"")&lt;&gt;"",IFERROR(INDEX(OFFSET($B$15,$D$46-15,0,1,12),MATCH(4&amp;","&amp;10,OFFSET($B$15,$F$46-15,0,1,12),0)),""),IF($B$46="Start",IFERROR(INDEX($B$39:$F$39,MATCH(4&amp;","&amp;10,$B$40:$F$40,0)),""),"")))</f>
        <v>X</v>
      </c>
      <c r="F49" s="12" t="str">
        <f ca="1">IF(OR(5&gt;$B$5,10&gt;$B$6),"X",IF(IFERROR(INDEX(OFFSET($B$15,$D$46-15,0,1,12),MATCH(5&amp;","&amp;10,OFFSET($B$15,$F$46-15,0,1,12),0)),"")&lt;&gt;"",IFERROR(INDEX(OFFSET($B$15,$D$46-15,0,1,12),MATCH(5&amp;","&amp;10,OFFSET($B$15,$F$46-15,0,1,12),0)),""),IF($B$46="Start",IFERROR(INDEX($B$39:$F$39,MATCH(5&amp;","&amp;10,$B$40:$F$40,0)),""),"")))</f>
        <v>X</v>
      </c>
      <c r="G49" s="12" t="str">
        <f ca="1">IF(OR(6&gt;$B$5,10&gt;$B$6),"X",IF(IFERROR(INDEX(OFFSET($B$15,$D$46-15,0,1,12),MATCH(6&amp;","&amp;10,OFFSET($B$15,$F$46-15,0,1,12),0)),"")&lt;&gt;"",IFERROR(INDEX(OFFSET($B$15,$D$46-15,0,1,12),MATCH(6&amp;","&amp;10,OFFSET($B$15,$F$46-15,0,1,12),0)),""),IF($B$46="Start",IFERROR(INDEX($B$39:$F$39,MATCH(6&amp;","&amp;10,$B$40:$F$40,0)),""),"")))</f>
        <v>X</v>
      </c>
      <c r="H49" s="12" t="str">
        <f ca="1">IF(OR(7&gt;$B$5,10&gt;$B$6),"X",IF(IFERROR(INDEX(OFFSET($B$15,$D$46-15,0,1,12),MATCH(7&amp;","&amp;10,OFFSET($B$15,$F$46-15,0,1,12),0)),"")&lt;&gt;"",IFERROR(INDEX(OFFSET($B$15,$D$46-15,0,1,12),MATCH(7&amp;","&amp;10,OFFSET($B$15,$F$46-15,0,1,12),0)),""),IF($B$46="Start",IFERROR(INDEX($B$39:$F$39,MATCH(7&amp;","&amp;10,$B$40:$F$40,0)),""),"")))</f>
        <v>X</v>
      </c>
      <c r="I49" s="12" t="str">
        <f ca="1">IF(OR(8&gt;$B$5,10&gt;$B$6),"X",IF(IFERROR(INDEX(OFFSET($B$15,$D$46-15,0,1,12),MATCH(8&amp;","&amp;10,OFFSET($B$15,$F$46-15,0,1,12),0)),"")&lt;&gt;"",IFERROR(INDEX(OFFSET($B$15,$D$46-15,0,1,12),MATCH(8&amp;","&amp;10,OFFSET($B$15,$F$46-15,0,1,12),0)),""),IF($B$46="Start",IFERROR(INDEX($B$39:$F$39,MATCH(8&amp;","&amp;10,$B$40:$F$40,0)),""),"")))</f>
        <v>X</v>
      </c>
      <c r="J49" s="12" t="str">
        <f ca="1">IF(OR(9&gt;$B$5,10&gt;$B$6),"X",IF(IFERROR(INDEX(OFFSET($B$15,$D$46-15,0,1,12),MATCH(9&amp;","&amp;10,OFFSET($B$15,$F$46-15,0,1,12),0)),"")&lt;&gt;"",IFERROR(INDEX(OFFSET($B$15,$D$46-15,0,1,12),MATCH(9&amp;","&amp;10,OFFSET($B$15,$F$46-15,0,1,12),0)),""),IF($B$46="Start",IFERROR(INDEX($B$39:$F$39,MATCH(9&amp;","&amp;10,$B$40:$F$40,0)),""),"")))</f>
        <v>X</v>
      </c>
      <c r="K49" s="12" t="str">
        <f ca="1">IF(OR(10&gt;$B$5,10&gt;$B$6),"X",IF(IFERROR(INDEX(OFFSET($B$15,$D$46-15,0,1,12),MATCH(10&amp;","&amp;10,OFFSET($B$15,$F$46-15,0,1,12),0)),"")&lt;&gt;"",IFERROR(INDEX(OFFSET($B$15,$D$46-15,0,1,12),MATCH(10&amp;","&amp;10,OFFSET($B$15,$F$46-15,0,1,12),0)),""),IF($B$46="Start",IFERROR(INDEX($B$39:$F$39,MATCH(10&amp;","&amp;10,$B$40:$F$40,0)),""),"")))</f>
        <v>X</v>
      </c>
    </row>
    <row r="50" spans="1:11" x14ac:dyDescent="0.3">
      <c r="A50" s="11">
        <v>9</v>
      </c>
      <c r="B50" s="12" t="str">
        <f ca="1">IF(OR(1&gt;$B$5,9&gt;$B$6),"X",IF(IFERROR(INDEX(OFFSET($B$15,$D$46-15,0,1,12),MATCH(1&amp;","&amp;9,OFFSET($B$15,$F$46-15,0,1,12),0)),"")&lt;&gt;"",IFERROR(INDEX(OFFSET($B$15,$D$46-15,0,1,12),MATCH(1&amp;","&amp;9,OFFSET($B$15,$F$46-15,0,1,12),0)),""),IF($B$46="Start",IFERROR(INDEX($B$39:$F$39,MATCH(1&amp;","&amp;9,$B$40:$F$40,0)),""),"")))</f>
        <v>X</v>
      </c>
      <c r="C50" s="12" t="str">
        <f ca="1">IF(OR(2&gt;$B$5,9&gt;$B$6),"X",IF(IFERROR(INDEX(OFFSET($B$15,$D$46-15,0,1,12),MATCH(2&amp;","&amp;9,OFFSET($B$15,$F$46-15,0,1,12),0)),"")&lt;&gt;"",IFERROR(INDEX(OFFSET($B$15,$D$46-15,0,1,12),MATCH(2&amp;","&amp;9,OFFSET($B$15,$F$46-15,0,1,12),0)),""),IF($B$46="Start",IFERROR(INDEX($B$39:$F$39,MATCH(2&amp;","&amp;9,$B$40:$F$40,0)),""),"")))</f>
        <v>X</v>
      </c>
      <c r="D50" s="12" t="str">
        <f ca="1">IF(OR(3&gt;$B$5,9&gt;$B$6),"X",IF(IFERROR(INDEX(OFFSET($B$15,$D$46-15,0,1,12),MATCH(3&amp;","&amp;9,OFFSET($B$15,$F$46-15,0,1,12),0)),"")&lt;&gt;"",IFERROR(INDEX(OFFSET($B$15,$D$46-15,0,1,12),MATCH(3&amp;","&amp;9,OFFSET($B$15,$F$46-15,0,1,12),0)),""),IF($B$46="Start",IFERROR(INDEX($B$39:$F$39,MATCH(3&amp;","&amp;9,$B$40:$F$40,0)),""),"")))</f>
        <v>X</v>
      </c>
      <c r="E50" s="12" t="str">
        <f ca="1">IF(OR(4&gt;$B$5,9&gt;$B$6),"X",IF(IFERROR(INDEX(OFFSET($B$15,$D$46-15,0,1,12),MATCH(4&amp;","&amp;9,OFFSET($B$15,$F$46-15,0,1,12),0)),"")&lt;&gt;"",IFERROR(INDEX(OFFSET($B$15,$D$46-15,0,1,12),MATCH(4&amp;","&amp;9,OFFSET($B$15,$F$46-15,0,1,12),0)),""),IF($B$46="Start",IFERROR(INDEX($B$39:$F$39,MATCH(4&amp;","&amp;9,$B$40:$F$40,0)),""),"")))</f>
        <v>X</v>
      </c>
      <c r="F50" s="12" t="str">
        <f ca="1">IF(OR(5&gt;$B$5,9&gt;$B$6),"X",IF(IFERROR(INDEX(OFFSET($B$15,$D$46-15,0,1,12),MATCH(5&amp;","&amp;9,OFFSET($B$15,$F$46-15,0,1,12),0)),"")&lt;&gt;"",IFERROR(INDEX(OFFSET($B$15,$D$46-15,0,1,12),MATCH(5&amp;","&amp;9,OFFSET($B$15,$F$46-15,0,1,12),0)),""),IF($B$46="Start",IFERROR(INDEX($B$39:$F$39,MATCH(5&amp;","&amp;9,$B$40:$F$40,0)),""),"")))</f>
        <v>X</v>
      </c>
      <c r="G50" s="12" t="str">
        <f ca="1">IF(OR(6&gt;$B$5,9&gt;$B$6),"X",IF(IFERROR(INDEX(OFFSET($B$15,$D$46-15,0,1,12),MATCH(6&amp;","&amp;9,OFFSET($B$15,$F$46-15,0,1,12),0)),"")&lt;&gt;"",IFERROR(INDEX(OFFSET($B$15,$D$46-15,0,1,12),MATCH(6&amp;","&amp;9,OFFSET($B$15,$F$46-15,0,1,12),0)),""),IF($B$46="Start",IFERROR(INDEX($B$39:$F$39,MATCH(6&amp;","&amp;9,$B$40:$F$40,0)),""),"")))</f>
        <v>X</v>
      </c>
      <c r="H50" s="12" t="str">
        <f ca="1">IF(OR(7&gt;$B$5,9&gt;$B$6),"X",IF(IFERROR(INDEX(OFFSET($B$15,$D$46-15,0,1,12),MATCH(7&amp;","&amp;9,OFFSET($B$15,$F$46-15,0,1,12),0)),"")&lt;&gt;"",IFERROR(INDEX(OFFSET($B$15,$D$46-15,0,1,12),MATCH(7&amp;","&amp;9,OFFSET($B$15,$F$46-15,0,1,12),0)),""),IF($B$46="Start",IFERROR(INDEX($B$39:$F$39,MATCH(7&amp;","&amp;9,$B$40:$F$40,0)),""),"")))</f>
        <v>X</v>
      </c>
      <c r="I50" s="12" t="str">
        <f ca="1">IF(OR(8&gt;$B$5,9&gt;$B$6),"X",IF(IFERROR(INDEX(OFFSET($B$15,$D$46-15,0,1,12),MATCH(8&amp;","&amp;9,OFFSET($B$15,$F$46-15,0,1,12),0)),"")&lt;&gt;"",IFERROR(INDEX(OFFSET($B$15,$D$46-15,0,1,12),MATCH(8&amp;","&amp;9,OFFSET($B$15,$F$46-15,0,1,12),0)),""),IF($B$46="Start",IFERROR(INDEX($B$39:$F$39,MATCH(8&amp;","&amp;9,$B$40:$F$40,0)),""),"")))</f>
        <v>X</v>
      </c>
      <c r="J50" s="12" t="str">
        <f ca="1">IF(OR(9&gt;$B$5,9&gt;$B$6),"X",IF(IFERROR(INDEX(OFFSET($B$15,$D$46-15,0,1,12),MATCH(9&amp;","&amp;9,OFFSET($B$15,$F$46-15,0,1,12),0)),"")&lt;&gt;"",IFERROR(INDEX(OFFSET($B$15,$D$46-15,0,1,12),MATCH(9&amp;","&amp;9,OFFSET($B$15,$F$46-15,0,1,12),0)),""),IF($B$46="Start",IFERROR(INDEX($B$39:$F$39,MATCH(9&amp;","&amp;9,$B$40:$F$40,0)),""),"")))</f>
        <v>X</v>
      </c>
      <c r="K50" s="12" t="str">
        <f ca="1">IF(OR(10&gt;$B$5,9&gt;$B$6),"X",IF(IFERROR(INDEX(OFFSET($B$15,$D$46-15,0,1,12),MATCH(10&amp;","&amp;9,OFFSET($B$15,$F$46-15,0,1,12),0)),"")&lt;&gt;"",IFERROR(INDEX(OFFSET($B$15,$D$46-15,0,1,12),MATCH(10&amp;","&amp;9,OFFSET($B$15,$F$46-15,0,1,12),0)),""),IF($B$46="Start",IFERROR(INDEX($B$39:$F$39,MATCH(10&amp;","&amp;9,$B$40:$F$40,0)),""),"")))</f>
        <v>X</v>
      </c>
    </row>
    <row r="51" spans="1:11" x14ac:dyDescent="0.3">
      <c r="A51" s="11">
        <v>8</v>
      </c>
      <c r="B51" s="12" t="str">
        <f ca="1">IF(OR(1&gt;$B$5,8&gt;$B$6),"X",IF(IFERROR(INDEX(OFFSET($B$15,$D$46-15,0,1,12),MATCH(1&amp;","&amp;8,OFFSET($B$15,$F$46-15,0,1,12),0)),"")&lt;&gt;"",IFERROR(INDEX(OFFSET($B$15,$D$46-15,0,1,12),MATCH(1&amp;","&amp;8,OFFSET($B$15,$F$46-15,0,1,12),0)),""),IF($B$46="Start",IFERROR(INDEX($B$39:$F$39,MATCH(1&amp;","&amp;8,$B$40:$F$40,0)),""),"")))</f>
        <v>Pebble</v>
      </c>
      <c r="C51" s="12" t="str">
        <f ca="1">IF(OR(2&gt;$B$5,8&gt;$B$6),"X",IF(IFERROR(INDEX(OFFSET($B$15,$D$46-15,0,1,12),MATCH(2&amp;","&amp;8,OFFSET($B$15,$F$46-15,0,1,12),0)),"")&lt;&gt;"",IFERROR(INDEX(OFFSET($B$15,$D$46-15,0,1,12),MATCH(2&amp;","&amp;8,OFFSET($B$15,$F$46-15,0,1,12),0)),""),IF($B$46="Start",IFERROR(INDEX($B$39:$F$39,MATCH(2&amp;","&amp;8,$B$40:$F$40,0)),""),"")))</f>
        <v/>
      </c>
      <c r="D51" s="12" t="str">
        <f ca="1">IF(OR(3&gt;$B$5,8&gt;$B$6),"X",IF(IFERROR(INDEX(OFFSET($B$15,$D$46-15,0,1,12),MATCH(3&amp;","&amp;8,OFFSET($B$15,$F$46-15,0,1,12),0)),"")&lt;&gt;"",IFERROR(INDEX(OFFSET($B$15,$D$46-15,0,1,12),MATCH(3&amp;","&amp;8,OFFSET($B$15,$F$46-15,0,1,12),0)),""),IF($B$46="Start",IFERROR(INDEX($B$39:$F$39,MATCH(3&amp;","&amp;8,$B$40:$F$40,0)),""),"")))</f>
        <v/>
      </c>
      <c r="E51" s="12" t="str">
        <f ca="1">IF(OR(4&gt;$B$5,8&gt;$B$6),"X",IF(IFERROR(INDEX(OFFSET($B$15,$D$46-15,0,1,12),MATCH(4&amp;","&amp;8,OFFSET($B$15,$F$46-15,0,1,12),0)),"")&lt;&gt;"",IFERROR(INDEX(OFFSET($B$15,$D$46-15,0,1,12),MATCH(4&amp;","&amp;8,OFFSET($B$15,$F$46-15,0,1,12),0)),""),IF($B$46="Start",IFERROR(INDEX($B$39:$F$39,MATCH(4&amp;","&amp;8,$B$40:$F$40,0)),""),"")))</f>
        <v>Rat</v>
      </c>
      <c r="F51" s="12" t="str">
        <f ca="1">IF(OR(5&gt;$B$5,8&gt;$B$6),"X",IF(IFERROR(INDEX(OFFSET($B$15,$D$46-15,0,1,12),MATCH(5&amp;","&amp;8,OFFSET($B$15,$F$46-15,0,1,12),0)),"")&lt;&gt;"",IFERROR(INDEX(OFFSET($B$15,$D$46-15,0,1,12),MATCH(5&amp;","&amp;8,OFFSET($B$15,$F$46-15,0,1,12),0)),""),IF($B$46="Start",IFERROR(INDEX($B$39:$F$39,MATCH(5&amp;","&amp;8,$B$40:$F$40,0)),""),"")))</f>
        <v/>
      </c>
      <c r="G51" s="12" t="str">
        <f ca="1">IF(OR(6&gt;$B$5,8&gt;$B$6),"X",IF(IFERROR(INDEX(OFFSET($B$15,$D$46-15,0,1,12),MATCH(6&amp;","&amp;8,OFFSET($B$15,$F$46-15,0,1,12),0)),"")&lt;&gt;"",IFERROR(INDEX(OFFSET($B$15,$D$46-15,0,1,12),MATCH(6&amp;","&amp;8,OFFSET($B$15,$F$46-15,0,1,12),0)),""),IF($B$46="Start",IFERROR(INDEX($B$39:$F$39,MATCH(6&amp;","&amp;8,$B$40:$F$40,0)),""),"")))</f>
        <v/>
      </c>
      <c r="H51" s="12" t="str">
        <f ca="1">IF(OR(7&gt;$B$5,8&gt;$B$6),"X",IF(IFERROR(INDEX(OFFSET($B$15,$D$46-15,0,1,12),MATCH(7&amp;","&amp;8,OFFSET($B$15,$F$46-15,0,1,12),0)),"")&lt;&gt;"",IFERROR(INDEX(OFFSET($B$15,$D$46-15,0,1,12),MATCH(7&amp;","&amp;8,OFFSET($B$15,$F$46-15,0,1,12),0)),""),IF($B$46="Start",IFERROR(INDEX($B$39:$F$39,MATCH(7&amp;","&amp;8,$B$40:$F$40,0)),""),"")))</f>
        <v>Skull</v>
      </c>
      <c r="I51" s="12" t="str">
        <f ca="1">IF(OR(8&gt;$B$5,8&gt;$B$6),"X",IF(IFERROR(INDEX(OFFSET($B$15,$D$46-15,0,1,12),MATCH(8&amp;","&amp;8,OFFSET($B$15,$F$46-15,0,1,12),0)),"")&lt;&gt;"",IFERROR(INDEX(OFFSET($B$15,$D$46-15,0,1,12),MATCH(8&amp;","&amp;8,OFFSET($B$15,$F$46-15,0,1,12),0)),""),IF($B$46="Start",IFERROR(INDEX($B$39:$F$39,MATCH(8&amp;","&amp;8,$B$40:$F$40,0)),""),"")))</f>
        <v/>
      </c>
      <c r="J51" s="12" t="str">
        <f ca="1">IF(OR(9&gt;$B$5,8&gt;$B$6),"X",IF(IFERROR(INDEX(OFFSET($B$15,$D$46-15,0,1,12),MATCH(9&amp;","&amp;8,OFFSET($B$15,$F$46-15,0,1,12),0)),"")&lt;&gt;"",IFERROR(INDEX(OFFSET($B$15,$D$46-15,0,1,12),MATCH(9&amp;","&amp;8,OFFSET($B$15,$F$46-15,0,1,12),0)),""),IF($B$46="Start",IFERROR(INDEX($B$39:$F$39,MATCH(9&amp;","&amp;8,$B$40:$F$40,0)),""),"")))</f>
        <v>X</v>
      </c>
      <c r="K51" s="12" t="str">
        <f ca="1">IF(OR(10&gt;$B$5,8&gt;$B$6),"X",IF(IFERROR(INDEX(OFFSET($B$15,$D$46-15,0,1,12),MATCH(10&amp;","&amp;8,OFFSET($B$15,$F$46-15,0,1,12),0)),"")&lt;&gt;"",IFERROR(INDEX(OFFSET($B$15,$D$46-15,0,1,12),MATCH(10&amp;","&amp;8,OFFSET($B$15,$F$46-15,0,1,12),0)),""),IF($B$46="Start",IFERROR(INDEX($B$39:$F$39,MATCH(10&amp;","&amp;8,$B$40:$F$40,0)),""),"")))</f>
        <v>X</v>
      </c>
    </row>
    <row r="52" spans="1:11" x14ac:dyDescent="0.3">
      <c r="A52" s="11">
        <v>7</v>
      </c>
      <c r="B52" s="12" t="str">
        <f ca="1">IF(OR(1&gt;$B$5,7&gt;$B$6),"X",IF(IFERROR(INDEX(OFFSET($B$15,$D$46-15,0,1,12),MATCH(1&amp;","&amp;7,OFFSET($B$15,$F$46-15,0,1,12),0)),"")&lt;&gt;"",IFERROR(INDEX(OFFSET($B$15,$D$46-15,0,1,12),MATCH(1&amp;","&amp;7,OFFSET($B$15,$F$46-15,0,1,12),0)),""),IF($B$46="Start",IFERROR(INDEX($B$39:$F$39,MATCH(1&amp;","&amp;7,$B$40:$F$40,0)),""),"")))</f>
        <v/>
      </c>
      <c r="C52" s="12" t="str">
        <f ca="1">IF(OR(2&gt;$B$5,7&gt;$B$6),"X",IF(IFERROR(INDEX(OFFSET($B$15,$D$46-15,0,1,12),MATCH(2&amp;","&amp;7,OFFSET($B$15,$F$46-15,0,1,12),0)),"")&lt;&gt;"",IFERROR(INDEX(OFFSET($B$15,$D$46-15,0,1,12),MATCH(2&amp;","&amp;7,OFFSET($B$15,$F$46-15,0,1,12),0)),""),IF($B$46="Start",IFERROR(INDEX($B$39:$F$39,MATCH(2&amp;","&amp;7,$B$40:$F$40,0)),""),"")))</f>
        <v>Crab</v>
      </c>
      <c r="D52" s="12" t="str">
        <f ca="1">IF(OR(3&gt;$B$5,7&gt;$B$6),"X",IF(IFERROR(INDEX(OFFSET($B$15,$D$46-15,0,1,12),MATCH(3&amp;","&amp;7,OFFSET($B$15,$F$46-15,0,1,12),0)),"")&lt;&gt;"",IFERROR(INDEX(OFFSET($B$15,$D$46-15,0,1,12),MATCH(3&amp;","&amp;7,OFFSET($B$15,$F$46-15,0,1,12),0)),""),IF($B$46="Start",IFERROR(INDEX($B$39:$F$39,MATCH(3&amp;","&amp;7,$B$40:$F$40,0)),""),"")))</f>
        <v/>
      </c>
      <c r="E52" s="12" t="str">
        <f ca="1">IF(OR(4&gt;$B$5,7&gt;$B$6),"X",IF(IFERROR(INDEX(OFFSET($B$15,$D$46-15,0,1,12),MATCH(4&amp;","&amp;7,OFFSET($B$15,$F$46-15,0,1,12),0)),"")&lt;&gt;"",IFERROR(INDEX(OFFSET($B$15,$D$46-15,0,1,12),MATCH(4&amp;","&amp;7,OFFSET($B$15,$F$46-15,0,1,12),0)),""),IF($B$46="Start",IFERROR(INDEX($B$39:$F$39,MATCH(4&amp;","&amp;7,$B$40:$F$40,0)),""),"")))</f>
        <v/>
      </c>
      <c r="F52" s="12" t="str">
        <f ca="1">IF(OR(5&gt;$B$5,7&gt;$B$6),"X",IF(IFERROR(INDEX(OFFSET($B$15,$D$46-15,0,1,12),MATCH(5&amp;","&amp;7,OFFSET($B$15,$F$46-15,0,1,12),0)),"")&lt;&gt;"",IFERROR(INDEX(OFFSET($B$15,$D$46-15,0,1,12),MATCH(5&amp;","&amp;7,OFFSET($B$15,$F$46-15,0,1,12),0)),""),IF($B$46="Start",IFERROR(INDEX($B$39:$F$39,MATCH(5&amp;","&amp;7,$B$40:$F$40,0)),""),"")))</f>
        <v>Bat</v>
      </c>
      <c r="G52" s="12" t="str">
        <f ca="1">IF(OR(6&gt;$B$5,7&gt;$B$6),"X",IF(IFERROR(INDEX(OFFSET($B$15,$D$46-15,0,1,12),MATCH(6&amp;","&amp;7,OFFSET($B$15,$F$46-15,0,1,12),0)),"")&lt;&gt;"",IFERROR(INDEX(OFFSET($B$15,$D$46-15,0,1,12),MATCH(6&amp;","&amp;7,OFFSET($B$15,$F$46-15,0,1,12),0)),""),IF($B$46="Start",IFERROR(INDEX($B$39:$F$39,MATCH(6&amp;","&amp;7,$B$40:$F$40,0)),""),"")))</f>
        <v/>
      </c>
      <c r="H52" s="12" t="str">
        <f ca="1">IF(OR(7&gt;$B$5,7&gt;$B$6),"X",IF(IFERROR(INDEX(OFFSET($B$15,$D$46-15,0,1,12),MATCH(7&amp;","&amp;7,OFFSET($B$15,$F$46-15,0,1,12),0)),"")&lt;&gt;"",IFERROR(INDEX(OFFSET($B$15,$D$46-15,0,1,12),MATCH(7&amp;","&amp;7,OFFSET($B$15,$F$46-15,0,1,12),0)),""),IF($B$46="Start",IFERROR(INDEX($B$39:$F$39,MATCH(7&amp;","&amp;7,$B$40:$F$40,0)),""),"")))</f>
        <v/>
      </c>
      <c r="I52" s="12" t="str">
        <f ca="1">IF(OR(8&gt;$B$5,7&gt;$B$6),"X",IF(IFERROR(INDEX(OFFSET($B$15,$D$46-15,0,1,12),MATCH(8&amp;","&amp;7,OFFSET($B$15,$F$46-15,0,1,12),0)),"")&lt;&gt;"",IFERROR(INDEX(OFFSET($B$15,$D$46-15,0,1,12),MATCH(8&amp;","&amp;7,OFFSET($B$15,$F$46-15,0,1,12),0)),""),IF($B$46="Start",IFERROR(INDEX($B$39:$F$39,MATCH(8&amp;","&amp;7,$B$40:$F$40,0)),""),"")))</f>
        <v>VampireBat</v>
      </c>
      <c r="J52" s="12" t="str">
        <f ca="1">IF(OR(9&gt;$B$5,7&gt;$B$6),"X",IF(IFERROR(INDEX(OFFSET($B$15,$D$46-15,0,1,12),MATCH(9&amp;","&amp;7,OFFSET($B$15,$F$46-15,0,1,12),0)),"")&lt;&gt;"",IFERROR(INDEX(OFFSET($B$15,$D$46-15,0,1,12),MATCH(9&amp;","&amp;7,OFFSET($B$15,$F$46-15,0,1,12),0)),""),IF($B$46="Start",IFERROR(INDEX($B$39:$F$39,MATCH(9&amp;","&amp;7,$B$40:$F$40,0)),""),"")))</f>
        <v>X</v>
      </c>
      <c r="K52" s="12" t="str">
        <f ca="1">IF(OR(10&gt;$B$5,7&gt;$B$6),"X",IF(IFERROR(INDEX(OFFSET($B$15,$D$46-15,0,1,12),MATCH(10&amp;","&amp;7,OFFSET($B$15,$F$46-15,0,1,12),0)),"")&lt;&gt;"",IFERROR(INDEX(OFFSET($B$15,$D$46-15,0,1,12),MATCH(10&amp;","&amp;7,OFFSET($B$15,$F$46-15,0,1,12),0)),""),IF($B$46="Start",IFERROR(INDEX($B$39:$F$39,MATCH(10&amp;","&amp;7,$B$40:$F$40,0)),""),"")))</f>
        <v>X</v>
      </c>
    </row>
    <row r="53" spans="1:11" x14ac:dyDescent="0.3">
      <c r="A53" s="11">
        <v>6</v>
      </c>
      <c r="B53" s="12" t="str">
        <f ca="1">IF(OR(1&gt;$B$5,6&gt;$B$6),"X",IF(IFERROR(INDEX(OFFSET($B$15,$D$46-15,0,1,12),MATCH(1&amp;","&amp;6,OFFSET($B$15,$F$46-15,0,1,12),0)),"")&lt;&gt;"",IFERROR(INDEX(OFFSET($B$15,$D$46-15,0,1,12),MATCH(1&amp;","&amp;6,OFFSET($B$15,$F$46-15,0,1,12),0)),""),IF($B$46="Start",IFERROR(INDEX($B$39:$F$39,MATCH(1&amp;","&amp;6,$B$40:$F$40,0)),""),"")))</f>
        <v>SpikedSlime</v>
      </c>
      <c r="C53" s="12" t="str">
        <f ca="1">IF(OR(2&gt;$B$5,6&gt;$B$6),"X",IF(IFERROR(INDEX(OFFSET($B$15,$D$46-15,0,1,12),MATCH(2&amp;","&amp;6,OFFSET($B$15,$F$46-15,0,1,12),0)),"")&lt;&gt;"",IFERROR(INDEX(OFFSET($B$15,$D$46-15,0,1,12),MATCH(2&amp;","&amp;6,OFFSET($B$15,$F$46-15,0,1,12),0)),""),IF($B$46="Start",IFERROR(INDEX($B$39:$F$39,MATCH(2&amp;","&amp;6,$B$40:$F$40,0)),""),"")))</f>
        <v/>
      </c>
      <c r="D53" s="12" t="str">
        <f ca="1">IF(OR(3&gt;$B$5,6&gt;$B$6),"X",IF(IFERROR(INDEX(OFFSET($B$15,$D$46-15,0,1,12),MATCH(3&amp;","&amp;6,OFFSET($B$15,$F$46-15,0,1,12),0)),"")&lt;&gt;"",IFERROR(INDEX(OFFSET($B$15,$D$46-15,0,1,12),MATCH(3&amp;","&amp;6,OFFSET($B$15,$F$46-15,0,1,12),0)),""),IF($B$46="Start",IFERROR(INDEX($B$39:$F$39,MATCH(3&amp;","&amp;6,$B$40:$F$40,0)),""),"")))</f>
        <v/>
      </c>
      <c r="E53" s="12" t="str">
        <f ca="1">IF(OR(4&gt;$B$5,6&gt;$B$6),"X",IF(IFERROR(INDEX(OFFSET($B$15,$D$46-15,0,1,12),MATCH(4&amp;","&amp;6,OFFSET($B$15,$F$46-15,0,1,12),0)),"")&lt;&gt;"",IFERROR(INDEX(OFFSET($B$15,$D$46-15,0,1,12),MATCH(4&amp;","&amp;6,OFFSET($B$15,$F$46-15,0,1,12),0)),""),IF($B$46="Start",IFERROR(INDEX($B$39:$F$39,MATCH(4&amp;","&amp;6,$B$40:$F$40,0)),""),"")))</f>
        <v>Golem</v>
      </c>
      <c r="F53" s="12" t="str">
        <f ca="1">IF(OR(5&gt;$B$5,6&gt;$B$6),"X",IF(IFERROR(INDEX(OFFSET($B$15,$D$46-15,0,1,12),MATCH(5&amp;","&amp;6,OFFSET($B$15,$F$46-15,0,1,12),0)),"")&lt;&gt;"",IFERROR(INDEX(OFFSET($B$15,$D$46-15,0,1,12),MATCH(5&amp;","&amp;6,OFFSET($B$15,$F$46-15,0,1,12),0)),""),IF($B$46="Start",IFERROR(INDEX($B$39:$F$39,MATCH(5&amp;","&amp;6,$B$40:$F$40,0)),""),"")))</f>
        <v/>
      </c>
      <c r="G53" s="12" t="str">
        <f ca="1">IF(OR(6&gt;$B$5,6&gt;$B$6),"X",IF(IFERROR(INDEX(OFFSET($B$15,$D$46-15,0,1,12),MATCH(6&amp;","&amp;6,OFFSET($B$15,$F$46-15,0,1,12),0)),"")&lt;&gt;"",IFERROR(INDEX(OFFSET($B$15,$D$46-15,0,1,12),MATCH(6&amp;","&amp;6,OFFSET($B$15,$F$46-15,0,1,12),0)),""),IF($B$46="Start",IFERROR(INDEX($B$39:$F$39,MATCH(6&amp;","&amp;6,$B$40:$F$40,0)),""),"")))</f>
        <v/>
      </c>
      <c r="H53" s="12" t="str">
        <f ca="1">IF(OR(7&gt;$B$5,6&gt;$B$6),"X",IF(IFERROR(INDEX(OFFSET($B$15,$D$46-15,0,1,12),MATCH(7&amp;","&amp;6,OFFSET($B$15,$F$46-15,0,1,12),0)),"")&lt;&gt;"",IFERROR(INDEX(OFFSET($B$15,$D$46-15,0,1,12),MATCH(7&amp;","&amp;6,OFFSET($B$15,$F$46-15,0,1,12),0)),""),IF($B$46="Start",IFERROR(INDEX($B$39:$F$39,MATCH(7&amp;","&amp;6,$B$40:$F$40,0)),""),"")))</f>
        <v>LightBandit</v>
      </c>
      <c r="I53" s="12" t="str">
        <f ca="1">IF(OR(8&gt;$B$5,6&gt;$B$6),"X",IF(IFERROR(INDEX(OFFSET($B$15,$D$46-15,0,1,12),MATCH(8&amp;","&amp;6,OFFSET($B$15,$F$46-15,0,1,12),0)),"")&lt;&gt;"",IFERROR(INDEX(OFFSET($B$15,$D$46-15,0,1,12),MATCH(8&amp;","&amp;6,OFFSET($B$15,$F$46-15,0,1,12),0)),""),IF($B$46="Start",IFERROR(INDEX($B$39:$F$39,MATCH(8&amp;","&amp;6,$B$40:$F$40,0)),""),"")))</f>
        <v/>
      </c>
      <c r="J53" s="12" t="str">
        <f ca="1">IF(OR(9&gt;$B$5,6&gt;$B$6),"X",IF(IFERROR(INDEX(OFFSET($B$15,$D$46-15,0,1,12),MATCH(9&amp;","&amp;6,OFFSET($B$15,$F$46-15,0,1,12),0)),"")&lt;&gt;"",IFERROR(INDEX(OFFSET($B$15,$D$46-15,0,1,12),MATCH(9&amp;","&amp;6,OFFSET($B$15,$F$46-15,0,1,12),0)),""),IF($B$46="Start",IFERROR(INDEX($B$39:$F$39,MATCH(9&amp;","&amp;6,$B$40:$F$40,0)),""),"")))</f>
        <v>X</v>
      </c>
      <c r="K53" s="12" t="str">
        <f ca="1">IF(OR(10&gt;$B$5,6&gt;$B$6),"X",IF(IFERROR(INDEX(OFFSET($B$15,$D$46-15,0,1,12),MATCH(10&amp;","&amp;6,OFFSET($B$15,$F$46-15,0,1,12),0)),"")&lt;&gt;"",IFERROR(INDEX(OFFSET($B$15,$D$46-15,0,1,12),MATCH(10&amp;","&amp;6,OFFSET($B$15,$F$46-15,0,1,12),0)),""),IF($B$46="Start",IFERROR(INDEX($B$39:$F$39,MATCH(10&amp;","&amp;6,$B$40:$F$40,0)),""),"")))</f>
        <v>X</v>
      </c>
    </row>
    <row r="54" spans="1:11" x14ac:dyDescent="0.3">
      <c r="A54" s="11">
        <v>5</v>
      </c>
      <c r="B54" s="12" t="str">
        <f ca="1">IF(OR(1&gt;$B$5,5&gt;$B$6),"X",IF(IFERROR(INDEX(OFFSET($B$15,$D$46-15,0,1,12),MATCH(1&amp;","&amp;5,OFFSET($B$15,$F$46-15,0,1,12),0)),"")&lt;&gt;"",IFERROR(INDEX(OFFSET($B$15,$D$46-15,0,1,12),MATCH(1&amp;","&amp;5,OFFSET($B$15,$F$46-15,0,1,12),0)),""),IF($B$46="Start",IFERROR(INDEX($B$39:$F$39,MATCH(1&amp;","&amp;5,$B$40:$F$40,0)),""),"")))</f>
        <v/>
      </c>
      <c r="C54" s="12" t="str">
        <f ca="1">IF(OR(2&gt;$B$5,5&gt;$B$6),"X",IF(IFERROR(INDEX(OFFSET($B$15,$D$46-15,0,1,12),MATCH(2&amp;","&amp;5,OFFSET($B$15,$F$46-15,0,1,12),0)),"")&lt;&gt;"",IFERROR(INDEX(OFFSET($B$15,$D$46-15,0,1,12),MATCH(2&amp;","&amp;5,OFFSET($B$15,$F$46-15,0,1,12),0)),""),IF($B$46="Start",IFERROR(INDEX($B$39:$F$39,MATCH(2&amp;","&amp;5,$B$40:$F$40,0)),""),"")))</f>
        <v>BlackKnight</v>
      </c>
      <c r="D54" s="12" t="str">
        <f ca="1">IF(OR(3&gt;$B$5,5&gt;$B$6),"X",IF(IFERROR(INDEX(OFFSET($B$15,$D$46-15,0,1,12),MATCH(3&amp;","&amp;5,OFFSET($B$15,$F$46-15,0,1,12),0)),"")&lt;&gt;"",IFERROR(INDEX(OFFSET($B$15,$D$46-15,0,1,12),MATCH(3&amp;","&amp;5,OFFSET($B$15,$F$46-15,0,1,12),0)),""),IF($B$46="Start",IFERROR(INDEX($B$39:$F$39,MATCH(3&amp;","&amp;5,$B$40:$F$40,0)),""),"")))</f>
        <v/>
      </c>
      <c r="E54" s="12" t="str">
        <f ca="1">IF(OR(4&gt;$B$5,5&gt;$B$6),"X",IF(IFERROR(INDEX(OFFSET($B$15,$D$46-15,0,1,12),MATCH(4&amp;","&amp;5,OFFSET($B$15,$F$46-15,0,1,12),0)),"")&lt;&gt;"",IFERROR(INDEX(OFFSET($B$15,$D$46-15,0,1,12),MATCH(4&amp;","&amp;5,OFFSET($B$15,$F$46-15,0,1,12),0)),""),IF($B$46="Start",IFERROR(INDEX($B$39:$F$39,MATCH(4&amp;","&amp;5,$B$40:$F$40,0)),""),"")))</f>
        <v/>
      </c>
      <c r="F54" s="12" t="str">
        <f ca="1">IF(OR(5&gt;$B$5,5&gt;$B$6),"X",IF(IFERROR(INDEX(OFFSET($B$15,$D$46-15,0,1,12),MATCH(5&amp;","&amp;5,OFFSET($B$15,$F$46-15,0,1,12),0)),"")&lt;&gt;"",IFERROR(INDEX(OFFSET($B$15,$D$46-15,0,1,12),MATCH(5&amp;","&amp;5,OFFSET($B$15,$F$46-15,0,1,12),0)),""),IF($B$46="Start",IFERROR(INDEX($B$39:$F$39,MATCH(5&amp;","&amp;5,$B$40:$F$40,0)),""),"")))</f>
        <v>ReinforcedGolem</v>
      </c>
      <c r="G54" s="12" t="str">
        <f ca="1">IF(OR(6&gt;$B$5,5&gt;$B$6),"X",IF(IFERROR(INDEX(OFFSET($B$15,$D$46-15,0,1,12),MATCH(6&amp;","&amp;5,OFFSET($B$15,$F$46-15,0,1,12),0)),"")&lt;&gt;"",IFERROR(INDEX(OFFSET($B$15,$D$46-15,0,1,12),MATCH(6&amp;","&amp;5,OFFSET($B$15,$F$46-15,0,1,12),0)),""),IF($B$46="Start",IFERROR(INDEX($B$39:$F$39,MATCH(6&amp;","&amp;5,$B$40:$F$40,0)),""),"")))</f>
        <v/>
      </c>
      <c r="H54" s="12" t="str">
        <f ca="1">IF(OR(7&gt;$B$5,5&gt;$B$6),"X",IF(IFERROR(INDEX(OFFSET($B$15,$D$46-15,0,1,12),MATCH(7&amp;","&amp;5,OFFSET($B$15,$F$46-15,0,1,12),0)),"")&lt;&gt;"",IFERROR(INDEX(OFFSET($B$15,$D$46-15,0,1,12),MATCH(7&amp;","&amp;5,OFFSET($B$15,$F$46-15,0,1,12),0)),""),IF($B$46="Start",IFERROR(INDEX($B$39:$F$39,MATCH(7&amp;","&amp;5,$B$40:$F$40,0)),""),"")))</f>
        <v/>
      </c>
      <c r="I54" s="12" t="str">
        <f ca="1">IF(OR(8&gt;$B$5,5&gt;$B$6),"X",IF(IFERROR(INDEX(OFFSET($B$15,$D$46-15,0,1,12),MATCH(8&amp;","&amp;5,OFFSET($B$15,$F$46-15,0,1,12),0)),"")&lt;&gt;"",IFERROR(INDEX(OFFSET($B$15,$D$46-15,0,1,12),MATCH(8&amp;","&amp;5,OFFSET($B$15,$F$46-15,0,1,12),0)),""),IF($B$46="Start",IFERROR(INDEX($B$39:$F$39,MATCH(8&amp;","&amp;5,$B$40:$F$40,0)),""),"")))</f>
        <v>Reaper</v>
      </c>
      <c r="J54" s="12" t="str">
        <f ca="1">IF(OR(9&gt;$B$5,5&gt;$B$6),"X",IF(IFERROR(INDEX(OFFSET($B$15,$D$46-15,0,1,12),MATCH(9&amp;","&amp;5,OFFSET($B$15,$F$46-15,0,1,12),0)),"")&lt;&gt;"",IFERROR(INDEX(OFFSET($B$15,$D$46-15,0,1,12),MATCH(9&amp;","&amp;5,OFFSET($B$15,$F$46-15,0,1,12),0)),""),IF($B$46="Start",IFERROR(INDEX($B$39:$F$39,MATCH(9&amp;","&amp;5,$B$40:$F$40,0)),""),"")))</f>
        <v>X</v>
      </c>
      <c r="K54" s="12" t="str">
        <f ca="1">IF(OR(10&gt;$B$5,5&gt;$B$6),"X",IF(IFERROR(INDEX(OFFSET($B$15,$D$46-15,0,1,12),MATCH(10&amp;","&amp;5,OFFSET($B$15,$F$46-15,0,1,12),0)),"")&lt;&gt;"",IFERROR(INDEX(OFFSET($B$15,$D$46-15,0,1,12),MATCH(10&amp;","&amp;5,OFFSET($B$15,$F$46-15,0,1,12),0)),""),IF($B$46="Start",IFERROR(INDEX($B$39:$F$39,MATCH(10&amp;","&amp;5,$B$40:$F$40,0)),""),"")))</f>
        <v>X</v>
      </c>
    </row>
    <row r="55" spans="1:11" x14ac:dyDescent="0.3">
      <c r="A55" s="11">
        <v>4</v>
      </c>
      <c r="B55" s="12" t="str">
        <f ca="1">IF(OR(1&gt;$B$5,4&gt;$B$6),"X",IF(IFERROR(INDEX(OFFSET($B$15,$D$46-15,0,1,12),MATCH(1&amp;","&amp;4,OFFSET($B$15,$F$46-15,0,1,12),0)),"")&lt;&gt;"",IFERROR(INDEX(OFFSET($B$15,$D$46-15,0,1,12),MATCH(1&amp;","&amp;4,OFFSET($B$15,$F$46-15,0,1,12),0)),""),IF($B$46="Start",IFERROR(INDEX($B$39:$F$39,MATCH(1&amp;","&amp;4,$B$40:$F$40,0)),""),"")))</f>
        <v/>
      </c>
      <c r="C55" s="12" t="str">
        <f ca="1">IF(OR(2&gt;$B$5,4&gt;$B$6),"X",IF(IFERROR(INDEX(OFFSET($B$15,$D$46-15,0,1,12),MATCH(2&amp;","&amp;4,OFFSET($B$15,$F$46-15,0,1,12),0)),"")&lt;&gt;"",IFERROR(INDEX(OFFSET($B$15,$D$46-15,0,1,12),MATCH(2&amp;","&amp;4,OFFSET($B$15,$F$46-15,0,1,12),0)),""),IF($B$46="Start",IFERROR(INDEX($B$39:$F$39,MATCH(2&amp;","&amp;4,$B$40:$F$40,0)),""),"")))</f>
        <v/>
      </c>
      <c r="D55" s="12" t="str">
        <f ca="1">IF(OR(3&gt;$B$5,4&gt;$B$6),"X",IF(IFERROR(INDEX(OFFSET($B$15,$D$46-15,0,1,12),MATCH(3&amp;","&amp;4,OFFSET($B$15,$F$46-15,0,1,12),0)),"")&lt;&gt;"",IFERROR(INDEX(OFFSET($B$15,$D$46-15,0,1,12),MATCH(3&amp;","&amp;4,OFFSET($B$15,$F$46-15,0,1,12),0)),""),IF($B$46="Start",IFERROR(INDEX($B$39:$F$39,MATCH(3&amp;","&amp;4,$B$40:$F$40,0)),""),"")))</f>
        <v/>
      </c>
      <c r="E55" s="12" t="str">
        <f ca="1">IF(OR(4&gt;$B$5,4&gt;$B$6),"X",IF(IFERROR(INDEX(OFFSET($B$15,$D$46-15,0,1,12),MATCH(4&amp;","&amp;4,OFFSET($B$15,$F$46-15,0,1,12),0)),"")&lt;&gt;"",IFERROR(INDEX(OFFSET($B$15,$D$46-15,0,1,12),MATCH(4&amp;","&amp;4,OFFSET($B$15,$F$46-15,0,1,12),0)),""),IF($B$46="Start",IFERROR(INDEX($B$39:$F$39,MATCH(4&amp;","&amp;4,$B$40:$F$40,0)),""),"")))</f>
        <v/>
      </c>
      <c r="F55" s="12" t="str">
        <f ca="1">IF(OR(5&gt;$B$5,4&gt;$B$6),"X",IF(IFERROR(INDEX(OFFSET($B$15,$D$46-15,0,1,12),MATCH(5&amp;","&amp;4,OFFSET($B$15,$F$46-15,0,1,12),0)),"")&lt;&gt;"",IFERROR(INDEX(OFFSET($B$15,$D$46-15,0,1,12),MATCH(5&amp;","&amp;4,OFFSET($B$15,$F$46-15,0,1,12),0)),""),IF($B$46="Start",IFERROR(INDEX($B$39:$F$39,MATCH(5&amp;","&amp;4,$B$40:$F$40,0)),""),"")))</f>
        <v/>
      </c>
      <c r="G55" s="12" t="str">
        <f ca="1">IF(OR(6&gt;$B$5,4&gt;$B$6),"X",IF(IFERROR(INDEX(OFFSET($B$15,$D$46-15,0,1,12),MATCH(6&amp;","&amp;4,OFFSET($B$15,$F$46-15,0,1,12),0)),"")&lt;&gt;"",IFERROR(INDEX(OFFSET($B$15,$D$46-15,0,1,12),MATCH(6&amp;","&amp;4,OFFSET($B$15,$F$46-15,0,1,12),0)),""),IF($B$46="Start",IFERROR(INDEX($B$39:$F$39,MATCH(6&amp;","&amp;4,$B$40:$F$40,0)),""),"")))</f>
        <v/>
      </c>
      <c r="H55" s="12" t="str">
        <f ca="1">IF(OR(7&gt;$B$5,4&gt;$B$6),"X",IF(IFERROR(INDEX(OFFSET($B$15,$D$46-15,0,1,12),MATCH(7&amp;","&amp;4,OFFSET($B$15,$F$46-15,0,1,12),0)),"")&lt;&gt;"",IFERROR(INDEX(OFFSET($B$15,$D$46-15,0,1,12),MATCH(7&amp;","&amp;4,OFFSET($B$15,$F$46-15,0,1,12),0)),""),IF($B$46="Start",IFERROR(INDEX($B$39:$F$39,MATCH(7&amp;","&amp;4,$B$40:$F$40,0)),""),"")))</f>
        <v/>
      </c>
      <c r="I55" s="12" t="str">
        <f ca="1">IF(OR(8&gt;$B$5,4&gt;$B$6),"X",IF(IFERROR(INDEX(OFFSET($B$15,$D$46-15,0,1,12),MATCH(8&amp;","&amp;4,OFFSET($B$15,$F$46-15,0,1,12),0)),"")&lt;&gt;"",IFERROR(INDEX(OFFSET($B$15,$D$46-15,0,1,12),MATCH(8&amp;","&amp;4,OFFSET($B$15,$F$46-15,0,1,12),0)),""),IF($B$46="Start",IFERROR(INDEX($B$39:$F$39,MATCH(8&amp;","&amp;4,$B$40:$F$40,0)),""),"")))</f>
        <v/>
      </c>
      <c r="J55" s="12" t="str">
        <f ca="1">IF(OR(9&gt;$B$5,4&gt;$B$6),"X",IF(IFERROR(INDEX(OFFSET($B$15,$D$46-15,0,1,12),MATCH(9&amp;","&amp;4,OFFSET($B$15,$F$46-15,0,1,12),0)),"")&lt;&gt;"",IFERROR(INDEX(OFFSET($B$15,$D$46-15,0,1,12),MATCH(9&amp;","&amp;4,OFFSET($B$15,$F$46-15,0,1,12),0)),""),IF($B$46="Start",IFERROR(INDEX($B$39:$F$39,MATCH(9&amp;","&amp;4,$B$40:$F$40,0)),""),"")))</f>
        <v>X</v>
      </c>
      <c r="K55" s="12" t="str">
        <f ca="1">IF(OR(10&gt;$B$5,4&gt;$B$6),"X",IF(IFERROR(INDEX(OFFSET($B$15,$D$46-15,0,1,12),MATCH(10&amp;","&amp;4,OFFSET($B$15,$F$46-15,0,1,12),0)),"")&lt;&gt;"",IFERROR(INDEX(OFFSET($B$15,$D$46-15,0,1,12),MATCH(10&amp;","&amp;4,OFFSET($B$15,$F$46-15,0,1,12),0)),""),IF($B$46="Start",IFERROR(INDEX($B$39:$F$39,MATCH(10&amp;","&amp;4,$B$40:$F$40,0)),""),"")))</f>
        <v>X</v>
      </c>
    </row>
    <row r="56" spans="1:11" x14ac:dyDescent="0.3">
      <c r="A56" s="11">
        <v>3</v>
      </c>
      <c r="B56" s="12" t="str">
        <f ca="1">IF(OR(1&gt;$B$5,3&gt;$B$6),"X",IF(IFERROR(INDEX(OFFSET($B$15,$D$46-15,0,1,12),MATCH(1&amp;","&amp;3,OFFSET($B$15,$F$46-15,0,1,12),0)),"")&lt;&gt;"",IFERROR(INDEX(OFFSET($B$15,$D$46-15,0,1,12),MATCH(1&amp;","&amp;3,OFFSET($B$15,$F$46-15,0,1,12),0)),""),IF($B$46="Start",IFERROR(INDEX($B$39:$F$39,MATCH(1&amp;","&amp;3,$B$40:$F$40,0)),""),"")))</f>
        <v/>
      </c>
      <c r="C56" s="12" t="str">
        <f ca="1">IF(OR(2&gt;$B$5,3&gt;$B$6),"X",IF(IFERROR(INDEX(OFFSET($B$15,$D$46-15,0,1,12),MATCH(2&amp;","&amp;3,OFFSET($B$15,$F$46-15,0,1,12),0)),"")&lt;&gt;"",IFERROR(INDEX(OFFSET($B$15,$D$46-15,0,1,12),MATCH(2&amp;","&amp;3,OFFSET($B$15,$F$46-15,0,1,12),0)),""),IF($B$46="Start",IFERROR(INDEX($B$39:$F$39,MATCH(2&amp;","&amp;3,$B$40:$F$40,0)),""),"")))</f>
        <v/>
      </c>
      <c r="D56" s="12" t="str">
        <f ca="1">IF(OR(3&gt;$B$5,3&gt;$B$6),"X",IF(IFERROR(INDEX(OFFSET($B$15,$D$46-15,0,1,12),MATCH(3&amp;","&amp;3,OFFSET($B$15,$F$46-15,0,1,12),0)),"")&lt;&gt;"",IFERROR(INDEX(OFFSET($B$15,$D$46-15,0,1,12),MATCH(3&amp;","&amp;3,OFFSET($B$15,$F$46-15,0,1,12),0)),""),IF($B$46="Start",IFERROR(INDEX($B$39:$F$39,MATCH(3&amp;","&amp;3,$B$40:$F$40,0)),""),"")))</f>
        <v/>
      </c>
      <c r="E56" s="12" t="str">
        <f ca="1">IF(OR(4&gt;$B$5,3&gt;$B$6),"X",IF(IFERROR(INDEX(OFFSET($B$15,$D$46-15,0,1,12),MATCH(4&amp;","&amp;3,OFFSET($B$15,$F$46-15,0,1,12),0)),"")&lt;&gt;"",IFERROR(INDEX(OFFSET($B$15,$D$46-15,0,1,12),MATCH(4&amp;","&amp;3,OFFSET($B$15,$F$46-15,0,1,12),0)),""),IF($B$46="Start",IFERROR(INDEX($B$39:$F$39,MATCH(4&amp;","&amp;3,$B$40:$F$40,0)),""),"")))</f>
        <v/>
      </c>
      <c r="F56" s="12" t="str">
        <f ca="1">IF(OR(5&gt;$B$5,3&gt;$B$6),"X",IF(IFERROR(INDEX(OFFSET($B$15,$D$46-15,0,1,12),MATCH(5&amp;","&amp;3,OFFSET($B$15,$F$46-15,0,1,12),0)),"")&lt;&gt;"",IFERROR(INDEX(OFFSET($B$15,$D$46-15,0,1,12),MATCH(5&amp;","&amp;3,OFFSET($B$15,$F$46-15,0,1,12),0)),""),IF($B$46="Start",IFERROR(INDEX($B$39:$F$39,MATCH(5&amp;","&amp;3,$B$40:$F$40,0)),""),"")))</f>
        <v/>
      </c>
      <c r="G56" s="12" t="str">
        <f ca="1">IF(OR(6&gt;$B$5,3&gt;$B$6),"X",IF(IFERROR(INDEX(OFFSET($B$15,$D$46-15,0,1,12),MATCH(6&amp;","&amp;3,OFFSET($B$15,$F$46-15,0,1,12),0)),"")&lt;&gt;"",IFERROR(INDEX(OFFSET($B$15,$D$46-15,0,1,12),MATCH(6&amp;","&amp;3,OFFSET($B$15,$F$46-15,0,1,12),0)),""),IF($B$46="Start",IFERROR(INDEX($B$39:$F$39,MATCH(6&amp;","&amp;3,$B$40:$F$40,0)),""),"")))</f>
        <v/>
      </c>
      <c r="H56" s="12" t="str">
        <f ca="1">IF(OR(7&gt;$B$5,3&gt;$B$6),"X",IF(IFERROR(INDEX(OFFSET($B$15,$D$46-15,0,1,12),MATCH(7&amp;","&amp;3,OFFSET($B$15,$F$46-15,0,1,12),0)),"")&lt;&gt;"",IFERROR(INDEX(OFFSET($B$15,$D$46-15,0,1,12),MATCH(7&amp;","&amp;3,OFFSET($B$15,$F$46-15,0,1,12),0)),""),IF($B$46="Start",IFERROR(INDEX($B$39:$F$39,MATCH(7&amp;","&amp;3,$B$40:$F$40,0)),""),"")))</f>
        <v/>
      </c>
      <c r="I56" s="12" t="str">
        <f ca="1">IF(OR(8&gt;$B$5,3&gt;$B$6),"X",IF(IFERROR(INDEX(OFFSET($B$15,$D$46-15,0,1,12),MATCH(8&amp;","&amp;3,OFFSET($B$15,$F$46-15,0,1,12),0)),"")&lt;&gt;"",IFERROR(INDEX(OFFSET($B$15,$D$46-15,0,1,12),MATCH(8&amp;","&amp;3,OFFSET($B$15,$F$46-15,0,1,12),0)),""),IF($B$46="Start",IFERROR(INDEX($B$39:$F$39,MATCH(8&amp;","&amp;3,$B$40:$F$40,0)),""),"")))</f>
        <v/>
      </c>
      <c r="J56" s="12" t="str">
        <f ca="1">IF(OR(9&gt;$B$5,3&gt;$B$6),"X",IF(IFERROR(INDEX(OFFSET($B$15,$D$46-15,0,1,12),MATCH(9&amp;","&amp;3,OFFSET($B$15,$F$46-15,0,1,12),0)),"")&lt;&gt;"",IFERROR(INDEX(OFFSET($B$15,$D$46-15,0,1,12),MATCH(9&amp;","&amp;3,OFFSET($B$15,$F$46-15,0,1,12),0)),""),IF($B$46="Start",IFERROR(INDEX($B$39:$F$39,MATCH(9&amp;","&amp;3,$B$40:$F$40,0)),""),"")))</f>
        <v>X</v>
      </c>
      <c r="K56" s="12" t="str">
        <f ca="1">IF(OR(10&gt;$B$5,3&gt;$B$6),"X",IF(IFERROR(INDEX(OFFSET($B$15,$D$46-15,0,1,12),MATCH(10&amp;","&amp;3,OFFSET($B$15,$F$46-15,0,1,12),0)),"")&lt;&gt;"",IFERROR(INDEX(OFFSET($B$15,$D$46-15,0,1,12),MATCH(10&amp;","&amp;3,OFFSET($B$15,$F$46-15,0,1,12),0)),""),IF($B$46="Start",IFERROR(INDEX($B$39:$F$39,MATCH(10&amp;","&amp;3,$B$40:$F$40,0)),""),"")))</f>
        <v>X</v>
      </c>
    </row>
    <row r="57" spans="1:11" x14ac:dyDescent="0.3">
      <c r="A57" s="11">
        <v>2</v>
      </c>
      <c r="B57" s="12" t="str">
        <f ca="1">IF(OR(1&gt;$B$5,2&gt;$B$6),"X",IF(IFERROR(INDEX(OFFSET($B$15,$D$46-15,0,1,12),MATCH(1&amp;","&amp;2,OFFSET($B$15,$F$46-15,0,1,12),0)),"")&lt;&gt;"",IFERROR(INDEX(OFFSET($B$15,$D$46-15,0,1,12),MATCH(1&amp;","&amp;2,OFFSET($B$15,$F$46-15,0,1,12),0)),""),IF($B$46="Start",IFERROR(INDEX($B$39:$F$39,MATCH(1&amp;","&amp;2,$B$40:$F$40,0)),""),"")))</f>
        <v/>
      </c>
      <c r="C57" s="12" t="str">
        <f ca="1">IF(OR(2&gt;$B$5,2&gt;$B$6),"X",IF(IFERROR(INDEX(OFFSET($B$15,$D$46-15,0,1,12),MATCH(2&amp;","&amp;2,OFFSET($B$15,$F$46-15,0,1,12),0)),"")&lt;&gt;"",IFERROR(INDEX(OFFSET($B$15,$D$46-15,0,1,12),MATCH(2&amp;","&amp;2,OFFSET($B$15,$F$46-15,0,1,12),0)),""),IF($B$46="Start",IFERROR(INDEX($B$39:$F$39,MATCH(2&amp;","&amp;2,$B$40:$F$40,0)),""),"")))</f>
        <v/>
      </c>
      <c r="D57" s="12" t="str">
        <f ca="1">IF(OR(3&gt;$B$5,2&gt;$B$6),"X",IF(IFERROR(INDEX(OFFSET($B$15,$D$46-15,0,1,12),MATCH(3&amp;","&amp;2,OFFSET($B$15,$F$46-15,0,1,12),0)),"")&lt;&gt;"",IFERROR(INDEX(OFFSET($B$15,$D$46-15,0,1,12),MATCH(3&amp;","&amp;2,OFFSET($B$15,$F$46-15,0,1,12),0)),""),IF($B$46="Start",IFERROR(INDEX($B$39:$F$39,MATCH(3&amp;","&amp;2,$B$40:$F$40,0)),""),"")))</f>
        <v/>
      </c>
      <c r="E57" s="12" t="str">
        <f ca="1">IF(OR(4&gt;$B$5,2&gt;$B$6),"X",IF(IFERROR(INDEX(OFFSET($B$15,$D$46-15,0,1,12),MATCH(4&amp;","&amp;2,OFFSET($B$15,$F$46-15,0,1,12),0)),"")&lt;&gt;"",IFERROR(INDEX(OFFSET($B$15,$D$46-15,0,1,12),MATCH(4&amp;","&amp;2,OFFSET($B$15,$F$46-15,0,1,12),0)),""),IF($B$46="Start",IFERROR(INDEX($B$39:$F$39,MATCH(4&amp;","&amp;2,$B$40:$F$40,0)),""),"")))</f>
        <v/>
      </c>
      <c r="F57" s="12" t="str">
        <f ca="1">IF(OR(5&gt;$B$5,2&gt;$B$6),"X",IF(IFERROR(INDEX(OFFSET($B$15,$D$46-15,0,1,12),MATCH(5&amp;","&amp;2,OFFSET($B$15,$F$46-15,0,1,12),0)),"")&lt;&gt;"",IFERROR(INDEX(OFFSET($B$15,$D$46-15,0,1,12),MATCH(5&amp;","&amp;2,OFFSET($B$15,$F$46-15,0,1,12),0)),""),IF($B$46="Start",IFERROR(INDEX($B$39:$F$39,MATCH(5&amp;","&amp;2,$B$40:$F$40,0)),""),"")))</f>
        <v/>
      </c>
      <c r="G57" s="12" t="str">
        <f ca="1">IF(OR(6&gt;$B$5,2&gt;$B$6),"X",IF(IFERROR(INDEX(OFFSET($B$15,$D$46-15,0,1,12),MATCH(6&amp;","&amp;2,OFFSET($B$15,$F$46-15,0,1,12),0)),"")&lt;&gt;"",IFERROR(INDEX(OFFSET($B$15,$D$46-15,0,1,12),MATCH(6&amp;","&amp;2,OFFSET($B$15,$F$46-15,0,1,12),0)),""),IF($B$46="Start",IFERROR(INDEX($B$39:$F$39,MATCH(6&amp;","&amp;2,$B$40:$F$40,0)),""),"")))</f>
        <v/>
      </c>
      <c r="H57" s="12" t="str">
        <f ca="1">IF(OR(7&gt;$B$5,2&gt;$B$6),"X",IF(IFERROR(INDEX(OFFSET($B$15,$D$46-15,0,1,12),MATCH(7&amp;","&amp;2,OFFSET($B$15,$F$46-15,0,1,12),0)),"")&lt;&gt;"",IFERROR(INDEX(OFFSET($B$15,$D$46-15,0,1,12),MATCH(7&amp;","&amp;2,OFFSET($B$15,$F$46-15,0,1,12),0)),""),IF($B$46="Start",IFERROR(INDEX($B$39:$F$39,MATCH(7&amp;","&amp;2,$B$40:$F$40,0)),""),"")))</f>
        <v/>
      </c>
      <c r="I57" s="12" t="str">
        <f ca="1">IF(OR(8&gt;$B$5,2&gt;$B$6),"X",IF(IFERROR(INDEX(OFFSET($B$15,$D$46-15,0,1,12),MATCH(8&amp;","&amp;2,OFFSET($B$15,$F$46-15,0,1,12),0)),"")&lt;&gt;"",IFERROR(INDEX(OFFSET($B$15,$D$46-15,0,1,12),MATCH(8&amp;","&amp;2,OFFSET($B$15,$F$46-15,0,1,12),0)),""),IF($B$46="Start",IFERROR(INDEX($B$39:$F$39,MATCH(8&amp;","&amp;2,$B$40:$F$40,0)),""),"")))</f>
        <v/>
      </c>
      <c r="J57" s="12" t="str">
        <f ca="1">IF(OR(9&gt;$B$5,2&gt;$B$6),"X",IF(IFERROR(INDEX(OFFSET($B$15,$D$46-15,0,1,12),MATCH(9&amp;","&amp;2,OFFSET($B$15,$F$46-15,0,1,12),0)),"")&lt;&gt;"",IFERROR(INDEX(OFFSET($B$15,$D$46-15,0,1,12),MATCH(9&amp;","&amp;2,OFFSET($B$15,$F$46-15,0,1,12),0)),""),IF($B$46="Start",IFERROR(INDEX($B$39:$F$39,MATCH(9&amp;","&amp;2,$B$40:$F$40,0)),""),"")))</f>
        <v>X</v>
      </c>
      <c r="K57" s="12" t="str">
        <f ca="1">IF(OR(10&gt;$B$5,2&gt;$B$6),"X",IF(IFERROR(INDEX(OFFSET($B$15,$D$46-15,0,1,12),MATCH(10&amp;","&amp;2,OFFSET($B$15,$F$46-15,0,1,12),0)),"")&lt;&gt;"",IFERROR(INDEX(OFFSET($B$15,$D$46-15,0,1,12),MATCH(10&amp;","&amp;2,OFFSET($B$15,$F$46-15,0,1,12),0)),""),IF($B$46="Start",IFERROR(INDEX($B$39:$F$39,MATCH(10&amp;","&amp;2,$B$40:$F$40,0)),""),"")))</f>
        <v>X</v>
      </c>
    </row>
    <row r="58" spans="1:11" x14ac:dyDescent="0.3">
      <c r="A58" s="11">
        <v>1</v>
      </c>
      <c r="B58" s="12" t="str">
        <f ca="1">IF(OR(1&gt;$B$5,1&gt;$B$6),"X",IF(IFERROR(INDEX(OFFSET($B$15,$D$46-15,0,1,12),MATCH(1&amp;","&amp;1,OFFSET($B$15,$F$46-15,0,1,12),0)),"")&lt;&gt;"",IFERROR(INDEX(OFFSET($B$15,$D$46-15,0,1,12),MATCH(1&amp;","&amp;1,OFFSET($B$15,$F$46-15,0,1,12),0)),""),IF($B$46="Start",IFERROR(INDEX($B$39:$F$39,MATCH(1&amp;","&amp;1,$B$40:$F$40,0)),""),"")))</f>
        <v/>
      </c>
      <c r="C58" s="12" t="str">
        <f ca="1">IF(OR(2&gt;$B$5,1&gt;$B$6),"X",IF(IFERROR(INDEX(OFFSET($B$15,$D$46-15,0,1,12),MATCH(2&amp;","&amp;1,OFFSET($B$15,$F$46-15,0,1,12),0)),"")&lt;&gt;"",IFERROR(INDEX(OFFSET($B$15,$D$46-15,0,1,12),MATCH(2&amp;","&amp;1,OFFSET($B$15,$F$46-15,0,1,12),0)),""),IF($B$46="Start",IFERROR(INDEX($B$39:$F$39,MATCH(2&amp;","&amp;1,$B$40:$F$40,0)),""),"")))</f>
        <v>P1</v>
      </c>
      <c r="D58" s="12" t="str">
        <f ca="1">IF(OR(3&gt;$B$5,1&gt;$B$6),"X",IF(IFERROR(INDEX(OFFSET($B$15,$D$46-15,0,1,12),MATCH(3&amp;","&amp;1,OFFSET($B$15,$F$46-15,0,1,12),0)),"")&lt;&gt;"",IFERROR(INDEX(OFFSET($B$15,$D$46-15,0,1,12),MATCH(3&amp;","&amp;1,OFFSET($B$15,$F$46-15,0,1,12),0)),""),IF($B$46="Start",IFERROR(INDEX($B$39:$F$39,MATCH(3&amp;","&amp;1,$B$40:$F$40,0)),""),"")))</f>
        <v/>
      </c>
      <c r="E58" s="12" t="str">
        <f ca="1">IF(OR(4&gt;$B$5,1&gt;$B$6),"X",IF(IFERROR(INDEX(OFFSET($B$15,$D$46-15,0,1,12),MATCH(4&amp;","&amp;1,OFFSET($B$15,$F$46-15,0,1,12),0)),"")&lt;&gt;"",IFERROR(INDEX(OFFSET($B$15,$D$46-15,0,1,12),MATCH(4&amp;","&amp;1,OFFSET($B$15,$F$46-15,0,1,12),0)),""),IF($B$46="Start",IFERROR(INDEX($B$39:$F$39,MATCH(4&amp;","&amp;1,$B$40:$F$40,0)),""),"")))</f>
        <v>P2</v>
      </c>
      <c r="F58" s="12" t="str">
        <f ca="1">IF(OR(5&gt;$B$5,1&gt;$B$6),"X",IF(IFERROR(INDEX(OFFSET($B$15,$D$46-15,0,1,12),MATCH(5&amp;","&amp;1,OFFSET($B$15,$F$46-15,0,1,12),0)),"")&lt;&gt;"",IFERROR(INDEX(OFFSET($B$15,$D$46-15,0,1,12),MATCH(5&amp;","&amp;1,OFFSET($B$15,$F$46-15,0,1,12),0)),""),IF($B$46="Start",IFERROR(INDEX($B$39:$F$39,MATCH(5&amp;","&amp;1,$B$40:$F$40,0)),""),"")))</f>
        <v/>
      </c>
      <c r="G58" s="12" t="str">
        <f ca="1">IF(OR(6&gt;$B$5,1&gt;$B$6),"X",IF(IFERROR(INDEX(OFFSET($B$15,$D$46-15,0,1,12),MATCH(6&amp;","&amp;1,OFFSET($B$15,$F$46-15,0,1,12),0)),"")&lt;&gt;"",IFERROR(INDEX(OFFSET($B$15,$D$46-15,0,1,12),MATCH(6&amp;","&amp;1,OFFSET($B$15,$F$46-15,0,1,12),0)),""),IF($B$46="Start",IFERROR(INDEX($B$39:$F$39,MATCH(6&amp;","&amp;1,$B$40:$F$40,0)),""),"")))</f>
        <v>P3</v>
      </c>
      <c r="H58" s="12" t="str">
        <f ca="1">IF(OR(7&gt;$B$5,1&gt;$B$6),"X",IF(IFERROR(INDEX(OFFSET($B$15,$D$46-15,0,1,12),MATCH(7&amp;","&amp;1,OFFSET($B$15,$F$46-15,0,1,12),0)),"")&lt;&gt;"",IFERROR(INDEX(OFFSET($B$15,$D$46-15,0,1,12),MATCH(7&amp;","&amp;1,OFFSET($B$15,$F$46-15,0,1,12),0)),""),IF($B$46="Start",IFERROR(INDEX($B$39:$F$39,MATCH(7&amp;","&amp;1,$B$40:$F$40,0)),""),"")))</f>
        <v/>
      </c>
      <c r="I58" s="12" t="str">
        <f ca="1">IF(OR(8&gt;$B$5,1&gt;$B$6),"X",IF(IFERROR(INDEX(OFFSET($B$15,$D$46-15,0,1,12),MATCH(8&amp;","&amp;1,OFFSET($B$15,$F$46-15,0,1,12),0)),"")&lt;&gt;"",IFERROR(INDEX(OFFSET($B$15,$D$46-15,0,1,12),MATCH(8&amp;","&amp;1,OFFSET($B$15,$F$46-15,0,1,12),0)),""),IF($B$46="Start",IFERROR(INDEX($B$39:$F$39,MATCH(8&amp;","&amp;1,$B$40:$F$40,0)),""),"")))</f>
        <v/>
      </c>
      <c r="J58" s="12" t="str">
        <f ca="1">IF(OR(9&gt;$B$5,1&gt;$B$6),"X",IF(IFERROR(INDEX(OFFSET($B$15,$D$46-15,0,1,12),MATCH(9&amp;","&amp;1,OFFSET($B$15,$F$46-15,0,1,12),0)),"")&lt;&gt;"",IFERROR(INDEX(OFFSET($B$15,$D$46-15,0,1,12),MATCH(9&amp;","&amp;1,OFFSET($B$15,$F$46-15,0,1,12),0)),""),IF($B$46="Start",IFERROR(INDEX($B$39:$F$39,MATCH(9&amp;","&amp;1,$B$40:$F$40,0)),""),"")))</f>
        <v>X</v>
      </c>
      <c r="K58" s="12" t="str">
        <f ca="1">IF(OR(10&gt;$B$5,1&gt;$B$6),"X",IF(IFERROR(INDEX(OFFSET($B$15,$D$46-15,0,1,12),MATCH(10&amp;","&amp;1,OFFSET($B$15,$F$46-15,0,1,12),0)),"")&lt;&gt;"",IFERROR(INDEX(OFFSET($B$15,$D$46-15,0,1,12),MATCH(10&amp;","&amp;1,OFFSET($B$15,$F$46-15,0,1,12),0)),""),IF($B$46="Start",IFERROR(INDEX($B$39:$F$39,MATCH(10&amp;","&amp;1,$B$40:$F$40,0)),""),"")))</f>
        <v>X</v>
      </c>
    </row>
    <row r="60" spans="1:11" x14ac:dyDescent="0.3">
      <c r="A60" s="1" t="s">
        <v>127</v>
      </c>
    </row>
    <row r="61" spans="1:11" x14ac:dyDescent="0.3">
      <c r="A61" t="s">
        <v>128</v>
      </c>
    </row>
    <row r="62" spans="1:11" x14ac:dyDescent="0.3">
      <c r="A62" t="s">
        <v>129</v>
      </c>
    </row>
    <row r="63" spans="1:11" x14ac:dyDescent="0.3">
      <c r="A63" t="s">
        <v>130</v>
      </c>
    </row>
    <row r="64" spans="1:11" x14ac:dyDescent="0.3">
      <c r="A64" t="s">
        <v>131</v>
      </c>
    </row>
    <row r="66" spans="1:3" x14ac:dyDescent="0.3">
      <c r="A66" s="1" t="s">
        <v>132</v>
      </c>
      <c r="B66" s="2"/>
    </row>
    <row r="68" spans="1:3" x14ac:dyDescent="0.3">
      <c r="A68" s="4" t="s">
        <v>133</v>
      </c>
    </row>
    <row r="69" spans="1:3" x14ac:dyDescent="0.3">
      <c r="A69" s="4" t="s">
        <v>134</v>
      </c>
      <c r="B69" s="4" t="s">
        <v>135</v>
      </c>
      <c r="C69" s="4" t="s">
        <v>136</v>
      </c>
    </row>
    <row r="70" spans="1:3" x14ac:dyDescent="0.3">
      <c r="A70" t="s">
        <v>95</v>
      </c>
      <c r="B70">
        <v>15</v>
      </c>
      <c r="C70">
        <v>16</v>
      </c>
    </row>
  </sheetData>
  <conditionalFormatting sqref="B48:K58">
    <cfRule type="cellIs" dxfId="6" priority="1" operator="equal">
      <formula>"X"</formula>
    </cfRule>
  </conditionalFormatting>
  <dataValidations count="3">
    <dataValidation type="list" allowBlank="1" sqref="B9:B10" xr:uid="{00000000-0002-0000-0200-000000000000}">
      <formula1>list_Loot</formula1>
    </dataValidation>
    <dataValidation type="list" allowBlank="1" sqref="B15:M15 B35:M35 B33:M33 B31:M31 B29:M29 B27:M27 B25:M25 B23:M23 B21:M21 B19:M19 B17:M17" xr:uid="{00000000-0002-0000-0200-000002000000}">
      <formula1>list_Prefab</formula1>
    </dataValidation>
    <dataValidation type="list" sqref="B46" xr:uid="{00000000-0002-0000-0200-00000D000000}">
      <formula1>$A$70:$A$70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70"/>
  <sheetViews>
    <sheetView workbookViewId="0">
      <pane xSplit="1" ySplit="14" topLeftCell="B15" activePane="bottomRight" state="frozen"/>
      <selection pane="topRight" activeCell="B1" sqref="B1"/>
      <selection pane="bottomLeft" activeCell="A15" sqref="A15"/>
      <selection pane="bottomRight"/>
    </sheetView>
  </sheetViews>
  <sheetFormatPr defaultRowHeight="14.4" x14ac:dyDescent="0.3"/>
  <cols>
    <col min="1" max="1" width="16" customWidth="1"/>
    <col min="2" max="11" width="14" customWidth="1"/>
  </cols>
  <sheetData>
    <row r="1" spans="1:14" x14ac:dyDescent="0.3">
      <c r="A1" s="1" t="s">
        <v>70</v>
      </c>
      <c r="B1" t="s">
        <v>26</v>
      </c>
    </row>
    <row r="2" spans="1:14" x14ac:dyDescent="0.3">
      <c r="A2" s="1" t="s">
        <v>3</v>
      </c>
      <c r="B2" t="s">
        <v>137</v>
      </c>
    </row>
    <row r="3" spans="1:14" x14ac:dyDescent="0.3">
      <c r="A3" s="1" t="s">
        <v>4</v>
      </c>
      <c r="B3" t="str">
        <f>IF($B$2="","NEW","Live")</f>
        <v>Live</v>
      </c>
    </row>
    <row r="4" spans="1:14" x14ac:dyDescent="0.3">
      <c r="A4" s="1" t="s">
        <v>72</v>
      </c>
    </row>
    <row r="5" spans="1:14" x14ac:dyDescent="0.3">
      <c r="A5" s="4" t="s">
        <v>73</v>
      </c>
      <c r="B5">
        <v>8</v>
      </c>
    </row>
    <row r="6" spans="1:14" x14ac:dyDescent="0.3">
      <c r="A6" s="4" t="s">
        <v>74</v>
      </c>
      <c r="B6">
        <v>8</v>
      </c>
    </row>
    <row r="7" spans="1:14" x14ac:dyDescent="0.3">
      <c r="A7" s="4" t="s">
        <v>75</v>
      </c>
      <c r="B7">
        <v>2</v>
      </c>
    </row>
    <row r="8" spans="1:14" x14ac:dyDescent="0.3">
      <c r="A8" s="4" t="s">
        <v>76</v>
      </c>
      <c r="B8">
        <v>5</v>
      </c>
    </row>
    <row r="9" spans="1:14" x14ac:dyDescent="0.3">
      <c r="A9" s="4" t="s">
        <v>77</v>
      </c>
      <c r="B9" t="s">
        <v>27</v>
      </c>
    </row>
    <row r="10" spans="1:14" x14ac:dyDescent="0.3">
      <c r="A10" s="4" t="s">
        <v>78</v>
      </c>
      <c r="B10" t="s">
        <v>30</v>
      </c>
    </row>
    <row r="11" spans="1:14" x14ac:dyDescent="0.3">
      <c r="A11" s="4" t="s">
        <v>79</v>
      </c>
      <c r="B11" t="s">
        <v>80</v>
      </c>
    </row>
    <row r="13" spans="1:14" x14ac:dyDescent="0.3">
      <c r="A13" s="1" t="s">
        <v>81</v>
      </c>
    </row>
    <row r="14" spans="1:14" x14ac:dyDescent="0.3">
      <c r="A14" s="4" t="s">
        <v>82</v>
      </c>
      <c r="B14" s="4" t="s">
        <v>83</v>
      </c>
      <c r="C14" s="4" t="s">
        <v>84</v>
      </c>
      <c r="D14" s="4" t="s">
        <v>85</v>
      </c>
      <c r="E14" s="4" t="s">
        <v>86</v>
      </c>
      <c r="F14" s="4" t="s">
        <v>87</v>
      </c>
      <c r="G14" s="4" t="s">
        <v>88</v>
      </c>
      <c r="H14" s="4" t="s">
        <v>89</v>
      </c>
      <c r="I14" s="4" t="s">
        <v>90</v>
      </c>
      <c r="J14" s="4" t="s">
        <v>91</v>
      </c>
      <c r="K14" s="4" t="s">
        <v>92</v>
      </c>
      <c r="L14" s="4" t="s">
        <v>93</v>
      </c>
      <c r="M14" s="4" t="s">
        <v>94</v>
      </c>
      <c r="N14" s="4" t="s">
        <v>138</v>
      </c>
    </row>
    <row r="15" spans="1:14" x14ac:dyDescent="0.3">
      <c r="A15" s="1" t="s">
        <v>95</v>
      </c>
      <c r="B15" t="s">
        <v>37</v>
      </c>
      <c r="C15" t="s">
        <v>44</v>
      </c>
      <c r="D15" t="s">
        <v>46</v>
      </c>
      <c r="E15" t="s">
        <v>40</v>
      </c>
      <c r="F15" t="s">
        <v>48</v>
      </c>
      <c r="G15" t="s">
        <v>53</v>
      </c>
      <c r="H15" t="s">
        <v>42</v>
      </c>
      <c r="I15" t="s">
        <v>55</v>
      </c>
      <c r="J15" t="s">
        <v>58</v>
      </c>
      <c r="K15" t="s">
        <v>67</v>
      </c>
      <c r="L15" t="s">
        <v>50</v>
      </c>
      <c r="M15" t="s">
        <v>56</v>
      </c>
      <c r="N15" t="s">
        <v>62</v>
      </c>
    </row>
    <row r="16" spans="1:14" x14ac:dyDescent="0.3">
      <c r="A16" s="4" t="s">
        <v>96</v>
      </c>
      <c r="B16" t="s">
        <v>139</v>
      </c>
      <c r="C16" t="s">
        <v>97</v>
      </c>
      <c r="D16" t="s">
        <v>98</v>
      </c>
      <c r="E16" t="s">
        <v>99</v>
      </c>
      <c r="F16" t="s">
        <v>100</v>
      </c>
      <c r="G16" t="s">
        <v>101</v>
      </c>
      <c r="H16" t="s">
        <v>102</v>
      </c>
      <c r="I16" t="s">
        <v>103</v>
      </c>
      <c r="J16" t="s">
        <v>104</v>
      </c>
      <c r="K16" t="s">
        <v>105</v>
      </c>
      <c r="L16" t="s">
        <v>106</v>
      </c>
      <c r="M16" t="s">
        <v>107</v>
      </c>
      <c r="N16" t="s">
        <v>108</v>
      </c>
    </row>
    <row r="17" spans="1:1" x14ac:dyDescent="0.3">
      <c r="A17" s="5"/>
    </row>
    <row r="18" spans="1:1" x14ac:dyDescent="0.3">
      <c r="A18" s="6" t="s">
        <v>96</v>
      </c>
    </row>
    <row r="19" spans="1:1" x14ac:dyDescent="0.3">
      <c r="A19" s="5"/>
    </row>
    <row r="20" spans="1:1" x14ac:dyDescent="0.3">
      <c r="A20" s="6" t="s">
        <v>96</v>
      </c>
    </row>
    <row r="21" spans="1:1" x14ac:dyDescent="0.3">
      <c r="A21" s="5"/>
    </row>
    <row r="22" spans="1:1" x14ac:dyDescent="0.3">
      <c r="A22" s="6" t="s">
        <v>96</v>
      </c>
    </row>
    <row r="23" spans="1:1" x14ac:dyDescent="0.3">
      <c r="A23" s="5"/>
    </row>
    <row r="24" spans="1:1" x14ac:dyDescent="0.3">
      <c r="A24" s="6" t="s">
        <v>96</v>
      </c>
    </row>
    <row r="25" spans="1:1" x14ac:dyDescent="0.3">
      <c r="A25" s="5"/>
    </row>
    <row r="26" spans="1:1" x14ac:dyDescent="0.3">
      <c r="A26" s="6" t="s">
        <v>96</v>
      </c>
    </row>
    <row r="27" spans="1:1" x14ac:dyDescent="0.3">
      <c r="A27" s="5"/>
    </row>
    <row r="28" spans="1:1" x14ac:dyDescent="0.3">
      <c r="A28" s="6" t="s">
        <v>96</v>
      </c>
    </row>
    <row r="29" spans="1:1" x14ac:dyDescent="0.3">
      <c r="A29" s="5"/>
    </row>
    <row r="30" spans="1:1" x14ac:dyDescent="0.3">
      <c r="A30" s="6" t="s">
        <v>96</v>
      </c>
    </row>
    <row r="31" spans="1:1" x14ac:dyDescent="0.3">
      <c r="A31" s="5"/>
    </row>
    <row r="32" spans="1:1" x14ac:dyDescent="0.3">
      <c r="A32" s="6" t="s">
        <v>96</v>
      </c>
    </row>
    <row r="33" spans="1:11" x14ac:dyDescent="0.3">
      <c r="A33" s="5"/>
    </row>
    <row r="34" spans="1:11" x14ac:dyDescent="0.3">
      <c r="A34" s="6" t="s">
        <v>96</v>
      </c>
    </row>
    <row r="35" spans="1:11" x14ac:dyDescent="0.3">
      <c r="A35" s="5"/>
    </row>
    <row r="36" spans="1:11" x14ac:dyDescent="0.3">
      <c r="A36" s="6" t="s">
        <v>96</v>
      </c>
    </row>
    <row r="38" spans="1:11" x14ac:dyDescent="0.3">
      <c r="A38" s="1" t="s">
        <v>109</v>
      </c>
    </row>
    <row r="39" spans="1:11" x14ac:dyDescent="0.3">
      <c r="B39" s="4" t="s">
        <v>110</v>
      </c>
      <c r="C39" s="4" t="s">
        <v>111</v>
      </c>
      <c r="D39" s="4" t="s">
        <v>112</v>
      </c>
      <c r="E39" s="4" t="s">
        <v>113</v>
      </c>
      <c r="F39" s="4" t="s">
        <v>114</v>
      </c>
    </row>
    <row r="40" spans="1:11" x14ac:dyDescent="0.3">
      <c r="A40" s="1" t="s">
        <v>115</v>
      </c>
      <c r="B40" t="s">
        <v>116</v>
      </c>
      <c r="C40" t="s">
        <v>117</v>
      </c>
      <c r="D40" t="s">
        <v>118</v>
      </c>
    </row>
    <row r="42" spans="1:11" x14ac:dyDescent="0.3">
      <c r="A42" s="1" t="s">
        <v>119</v>
      </c>
    </row>
    <row r="43" spans="1:11" x14ac:dyDescent="0.3">
      <c r="A43" s="4" t="s">
        <v>120</v>
      </c>
      <c r="B43" s="4" t="s">
        <v>121</v>
      </c>
      <c r="C43" s="4" t="s">
        <v>82</v>
      </c>
      <c r="D43" s="4" t="s">
        <v>122</v>
      </c>
    </row>
    <row r="45" spans="1:11" x14ac:dyDescent="0.3">
      <c r="A45" s="1" t="s">
        <v>123</v>
      </c>
    </row>
    <row r="46" spans="1:11" x14ac:dyDescent="0.3">
      <c r="A46" s="1" t="s">
        <v>124</v>
      </c>
      <c r="B46" t="s">
        <v>95</v>
      </c>
      <c r="C46" s="7" t="s">
        <v>125</v>
      </c>
      <c r="D46" s="8">
        <f>INDEX($B$70:$B$70,MATCH($B$46,$A$70:$A$70,0))</f>
        <v>15</v>
      </c>
      <c r="E46" s="7" t="s">
        <v>126</v>
      </c>
      <c r="F46" s="8">
        <f>INDEX($C$70:$C$70,MATCH($B$46,$A$70:$A$70,0))</f>
        <v>16</v>
      </c>
    </row>
    <row r="48" spans="1:11" x14ac:dyDescent="0.3">
      <c r="A48" s="9"/>
      <c r="B48" s="10">
        <v>1</v>
      </c>
      <c r="C48" s="10">
        <v>2</v>
      </c>
      <c r="D48" s="10">
        <v>3</v>
      </c>
      <c r="E48" s="10">
        <v>4</v>
      </c>
      <c r="F48" s="10">
        <v>5</v>
      </c>
      <c r="G48" s="10">
        <v>6</v>
      </c>
      <c r="H48" s="10">
        <v>7</v>
      </c>
      <c r="I48" s="10">
        <v>8</v>
      </c>
      <c r="J48" s="10">
        <v>9</v>
      </c>
      <c r="K48" s="10">
        <v>10</v>
      </c>
    </row>
    <row r="49" spans="1:11" x14ac:dyDescent="0.3">
      <c r="A49" s="11">
        <v>10</v>
      </c>
      <c r="B49" s="12" t="str">
        <f ca="1">IF(OR(1&gt;$B$5,10&gt;$B$6),"X",IF(IFERROR(INDEX(OFFSET($B$15,$D$46-15,0,1,13),MATCH(1&amp;","&amp;10,OFFSET($B$15,$F$46-15,0,1,13),0)),"")&lt;&gt;"",IFERROR(INDEX(OFFSET($B$15,$D$46-15,0,1,13),MATCH(1&amp;","&amp;10,OFFSET($B$15,$F$46-15,0,1,13),0)),""),IF($B$46="Start",IFERROR(INDEX($B$39:$F$39,MATCH(1&amp;","&amp;10,$B$40:$F$40,0)),""),"")))</f>
        <v>X</v>
      </c>
      <c r="C49" s="12" t="str">
        <f ca="1">IF(OR(2&gt;$B$5,10&gt;$B$6),"X",IF(IFERROR(INDEX(OFFSET($B$15,$D$46-15,0,1,13),MATCH(2&amp;","&amp;10,OFFSET($B$15,$F$46-15,0,1,13),0)),"")&lt;&gt;"",IFERROR(INDEX(OFFSET($B$15,$D$46-15,0,1,13),MATCH(2&amp;","&amp;10,OFFSET($B$15,$F$46-15,0,1,13),0)),""),IF($B$46="Start",IFERROR(INDEX($B$39:$F$39,MATCH(2&amp;","&amp;10,$B$40:$F$40,0)),""),"")))</f>
        <v>X</v>
      </c>
      <c r="D49" s="12" t="str">
        <f ca="1">IF(OR(3&gt;$B$5,10&gt;$B$6),"X",IF(IFERROR(INDEX(OFFSET($B$15,$D$46-15,0,1,13),MATCH(3&amp;","&amp;10,OFFSET($B$15,$F$46-15,0,1,13),0)),"")&lt;&gt;"",IFERROR(INDEX(OFFSET($B$15,$D$46-15,0,1,13),MATCH(3&amp;","&amp;10,OFFSET($B$15,$F$46-15,0,1,13),0)),""),IF($B$46="Start",IFERROR(INDEX($B$39:$F$39,MATCH(3&amp;","&amp;10,$B$40:$F$40,0)),""),"")))</f>
        <v>X</v>
      </c>
      <c r="E49" s="12" t="str">
        <f ca="1">IF(OR(4&gt;$B$5,10&gt;$B$6),"X",IF(IFERROR(INDEX(OFFSET($B$15,$D$46-15,0,1,13),MATCH(4&amp;","&amp;10,OFFSET($B$15,$F$46-15,0,1,13),0)),"")&lt;&gt;"",IFERROR(INDEX(OFFSET($B$15,$D$46-15,0,1,13),MATCH(4&amp;","&amp;10,OFFSET($B$15,$F$46-15,0,1,13),0)),""),IF($B$46="Start",IFERROR(INDEX($B$39:$F$39,MATCH(4&amp;","&amp;10,$B$40:$F$40,0)),""),"")))</f>
        <v>X</v>
      </c>
      <c r="F49" s="12" t="str">
        <f ca="1">IF(OR(5&gt;$B$5,10&gt;$B$6),"X",IF(IFERROR(INDEX(OFFSET($B$15,$D$46-15,0,1,13),MATCH(5&amp;","&amp;10,OFFSET($B$15,$F$46-15,0,1,13),0)),"")&lt;&gt;"",IFERROR(INDEX(OFFSET($B$15,$D$46-15,0,1,13),MATCH(5&amp;","&amp;10,OFFSET($B$15,$F$46-15,0,1,13),0)),""),IF($B$46="Start",IFERROR(INDEX($B$39:$F$39,MATCH(5&amp;","&amp;10,$B$40:$F$40,0)),""),"")))</f>
        <v>X</v>
      </c>
      <c r="G49" s="12" t="str">
        <f ca="1">IF(OR(6&gt;$B$5,10&gt;$B$6),"X",IF(IFERROR(INDEX(OFFSET($B$15,$D$46-15,0,1,13),MATCH(6&amp;","&amp;10,OFFSET($B$15,$F$46-15,0,1,13),0)),"")&lt;&gt;"",IFERROR(INDEX(OFFSET($B$15,$D$46-15,0,1,13),MATCH(6&amp;","&amp;10,OFFSET($B$15,$F$46-15,0,1,13),0)),""),IF($B$46="Start",IFERROR(INDEX($B$39:$F$39,MATCH(6&amp;","&amp;10,$B$40:$F$40,0)),""),"")))</f>
        <v>X</v>
      </c>
      <c r="H49" s="12" t="str">
        <f ca="1">IF(OR(7&gt;$B$5,10&gt;$B$6),"X",IF(IFERROR(INDEX(OFFSET($B$15,$D$46-15,0,1,13),MATCH(7&amp;","&amp;10,OFFSET($B$15,$F$46-15,0,1,13),0)),"")&lt;&gt;"",IFERROR(INDEX(OFFSET($B$15,$D$46-15,0,1,13),MATCH(7&amp;","&amp;10,OFFSET($B$15,$F$46-15,0,1,13),0)),""),IF($B$46="Start",IFERROR(INDEX($B$39:$F$39,MATCH(7&amp;","&amp;10,$B$40:$F$40,0)),""),"")))</f>
        <v>X</v>
      </c>
      <c r="I49" s="12" t="str">
        <f ca="1">IF(OR(8&gt;$B$5,10&gt;$B$6),"X",IF(IFERROR(INDEX(OFFSET($B$15,$D$46-15,0,1,13),MATCH(8&amp;","&amp;10,OFFSET($B$15,$F$46-15,0,1,13),0)),"")&lt;&gt;"",IFERROR(INDEX(OFFSET($B$15,$D$46-15,0,1,13),MATCH(8&amp;","&amp;10,OFFSET($B$15,$F$46-15,0,1,13),0)),""),IF($B$46="Start",IFERROR(INDEX($B$39:$F$39,MATCH(8&amp;","&amp;10,$B$40:$F$40,0)),""),"")))</f>
        <v>X</v>
      </c>
      <c r="J49" s="12" t="str">
        <f ca="1">IF(OR(9&gt;$B$5,10&gt;$B$6),"X",IF(IFERROR(INDEX(OFFSET($B$15,$D$46-15,0,1,13),MATCH(9&amp;","&amp;10,OFFSET($B$15,$F$46-15,0,1,13),0)),"")&lt;&gt;"",IFERROR(INDEX(OFFSET($B$15,$D$46-15,0,1,13),MATCH(9&amp;","&amp;10,OFFSET($B$15,$F$46-15,0,1,13),0)),""),IF($B$46="Start",IFERROR(INDEX($B$39:$F$39,MATCH(9&amp;","&amp;10,$B$40:$F$40,0)),""),"")))</f>
        <v>X</v>
      </c>
      <c r="K49" s="12" t="str">
        <f ca="1">IF(OR(10&gt;$B$5,10&gt;$B$6),"X",IF(IFERROR(INDEX(OFFSET($B$15,$D$46-15,0,1,13),MATCH(10&amp;","&amp;10,OFFSET($B$15,$F$46-15,0,1,13),0)),"")&lt;&gt;"",IFERROR(INDEX(OFFSET($B$15,$D$46-15,0,1,13),MATCH(10&amp;","&amp;10,OFFSET($B$15,$F$46-15,0,1,13),0)),""),IF($B$46="Start",IFERROR(INDEX($B$39:$F$39,MATCH(10&amp;","&amp;10,$B$40:$F$40,0)),""),"")))</f>
        <v>X</v>
      </c>
    </row>
    <row r="50" spans="1:11" x14ac:dyDescent="0.3">
      <c r="A50" s="11">
        <v>9</v>
      </c>
      <c r="B50" s="12" t="str">
        <f ca="1">IF(OR(1&gt;$B$5,9&gt;$B$6),"X",IF(IFERROR(INDEX(OFFSET($B$15,$D$46-15,0,1,13),MATCH(1&amp;","&amp;9,OFFSET($B$15,$F$46-15,0,1,13),0)),"")&lt;&gt;"",IFERROR(INDEX(OFFSET($B$15,$D$46-15,0,1,13),MATCH(1&amp;","&amp;9,OFFSET($B$15,$F$46-15,0,1,13),0)),""),IF($B$46="Start",IFERROR(INDEX($B$39:$F$39,MATCH(1&amp;","&amp;9,$B$40:$F$40,0)),""),"")))</f>
        <v>X</v>
      </c>
      <c r="C50" s="12" t="str">
        <f ca="1">IF(OR(2&gt;$B$5,9&gt;$B$6),"X",IF(IFERROR(INDEX(OFFSET($B$15,$D$46-15,0,1,13),MATCH(2&amp;","&amp;9,OFFSET($B$15,$F$46-15,0,1,13),0)),"")&lt;&gt;"",IFERROR(INDEX(OFFSET($B$15,$D$46-15,0,1,13),MATCH(2&amp;","&amp;9,OFFSET($B$15,$F$46-15,0,1,13),0)),""),IF($B$46="Start",IFERROR(INDEX($B$39:$F$39,MATCH(2&amp;","&amp;9,$B$40:$F$40,0)),""),"")))</f>
        <v>X</v>
      </c>
      <c r="D50" s="12" t="str">
        <f ca="1">IF(OR(3&gt;$B$5,9&gt;$B$6),"X",IF(IFERROR(INDEX(OFFSET($B$15,$D$46-15,0,1,13),MATCH(3&amp;","&amp;9,OFFSET($B$15,$F$46-15,0,1,13),0)),"")&lt;&gt;"",IFERROR(INDEX(OFFSET($B$15,$D$46-15,0,1,13),MATCH(3&amp;","&amp;9,OFFSET($B$15,$F$46-15,0,1,13),0)),""),IF($B$46="Start",IFERROR(INDEX($B$39:$F$39,MATCH(3&amp;","&amp;9,$B$40:$F$40,0)),""),"")))</f>
        <v>X</v>
      </c>
      <c r="E50" s="12" t="str">
        <f ca="1">IF(OR(4&gt;$B$5,9&gt;$B$6),"X",IF(IFERROR(INDEX(OFFSET($B$15,$D$46-15,0,1,13),MATCH(4&amp;","&amp;9,OFFSET($B$15,$F$46-15,0,1,13),0)),"")&lt;&gt;"",IFERROR(INDEX(OFFSET($B$15,$D$46-15,0,1,13),MATCH(4&amp;","&amp;9,OFFSET($B$15,$F$46-15,0,1,13),0)),""),IF($B$46="Start",IFERROR(INDEX($B$39:$F$39,MATCH(4&amp;","&amp;9,$B$40:$F$40,0)),""),"")))</f>
        <v>X</v>
      </c>
      <c r="F50" s="12" t="str">
        <f ca="1">IF(OR(5&gt;$B$5,9&gt;$B$6),"X",IF(IFERROR(INDEX(OFFSET($B$15,$D$46-15,0,1,13),MATCH(5&amp;","&amp;9,OFFSET($B$15,$F$46-15,0,1,13),0)),"")&lt;&gt;"",IFERROR(INDEX(OFFSET($B$15,$D$46-15,0,1,13),MATCH(5&amp;","&amp;9,OFFSET($B$15,$F$46-15,0,1,13),0)),""),IF($B$46="Start",IFERROR(INDEX($B$39:$F$39,MATCH(5&amp;","&amp;9,$B$40:$F$40,0)),""),"")))</f>
        <v>X</v>
      </c>
      <c r="G50" s="12" t="str">
        <f ca="1">IF(OR(6&gt;$B$5,9&gt;$B$6),"X",IF(IFERROR(INDEX(OFFSET($B$15,$D$46-15,0,1,13),MATCH(6&amp;","&amp;9,OFFSET($B$15,$F$46-15,0,1,13),0)),"")&lt;&gt;"",IFERROR(INDEX(OFFSET($B$15,$D$46-15,0,1,13),MATCH(6&amp;","&amp;9,OFFSET($B$15,$F$46-15,0,1,13),0)),""),IF($B$46="Start",IFERROR(INDEX($B$39:$F$39,MATCH(6&amp;","&amp;9,$B$40:$F$40,0)),""),"")))</f>
        <v>X</v>
      </c>
      <c r="H50" s="12" t="str">
        <f ca="1">IF(OR(7&gt;$B$5,9&gt;$B$6),"X",IF(IFERROR(INDEX(OFFSET($B$15,$D$46-15,0,1,13),MATCH(7&amp;","&amp;9,OFFSET($B$15,$F$46-15,0,1,13),0)),"")&lt;&gt;"",IFERROR(INDEX(OFFSET($B$15,$D$46-15,0,1,13),MATCH(7&amp;","&amp;9,OFFSET($B$15,$F$46-15,0,1,13),0)),""),IF($B$46="Start",IFERROR(INDEX($B$39:$F$39,MATCH(7&amp;","&amp;9,$B$40:$F$40,0)),""),"")))</f>
        <v>X</v>
      </c>
      <c r="I50" s="12" t="str">
        <f ca="1">IF(OR(8&gt;$B$5,9&gt;$B$6),"X",IF(IFERROR(INDEX(OFFSET($B$15,$D$46-15,0,1,13),MATCH(8&amp;","&amp;9,OFFSET($B$15,$F$46-15,0,1,13),0)),"")&lt;&gt;"",IFERROR(INDEX(OFFSET($B$15,$D$46-15,0,1,13),MATCH(8&amp;","&amp;9,OFFSET($B$15,$F$46-15,0,1,13),0)),""),IF($B$46="Start",IFERROR(INDEX($B$39:$F$39,MATCH(8&amp;","&amp;9,$B$40:$F$40,0)),""),"")))</f>
        <v>X</v>
      </c>
      <c r="J50" s="12" t="str">
        <f ca="1">IF(OR(9&gt;$B$5,9&gt;$B$6),"X",IF(IFERROR(INDEX(OFFSET($B$15,$D$46-15,0,1,13),MATCH(9&amp;","&amp;9,OFFSET($B$15,$F$46-15,0,1,13),0)),"")&lt;&gt;"",IFERROR(INDEX(OFFSET($B$15,$D$46-15,0,1,13),MATCH(9&amp;","&amp;9,OFFSET($B$15,$F$46-15,0,1,13),0)),""),IF($B$46="Start",IFERROR(INDEX($B$39:$F$39,MATCH(9&amp;","&amp;9,$B$40:$F$40,0)),""),"")))</f>
        <v>X</v>
      </c>
      <c r="K50" s="12" t="str">
        <f ca="1">IF(OR(10&gt;$B$5,9&gt;$B$6),"X",IF(IFERROR(INDEX(OFFSET($B$15,$D$46-15,0,1,13),MATCH(10&amp;","&amp;9,OFFSET($B$15,$F$46-15,0,1,13),0)),"")&lt;&gt;"",IFERROR(INDEX(OFFSET($B$15,$D$46-15,0,1,13),MATCH(10&amp;","&amp;9,OFFSET($B$15,$F$46-15,0,1,13),0)),""),IF($B$46="Start",IFERROR(INDEX($B$39:$F$39,MATCH(10&amp;","&amp;9,$B$40:$F$40,0)),""),"")))</f>
        <v>X</v>
      </c>
    </row>
    <row r="51" spans="1:11" x14ac:dyDescent="0.3">
      <c r="A51" s="11">
        <v>8</v>
      </c>
      <c r="B51" s="12" t="str">
        <f ca="1">IF(OR(1&gt;$B$5,8&gt;$B$6),"X",IF(IFERROR(INDEX(OFFSET($B$15,$D$46-15,0,1,13),MATCH(1&amp;","&amp;8,OFFSET($B$15,$F$46-15,0,1,13),0)),"")&lt;&gt;"",IFERROR(INDEX(OFFSET($B$15,$D$46-15,0,1,13),MATCH(1&amp;","&amp;8,OFFSET($B$15,$F$46-15,0,1,13),0)),""),IF($B$46="Start",IFERROR(INDEX($B$39:$F$39,MATCH(1&amp;","&amp;8,$B$40:$F$40,0)),""),"")))</f>
        <v>Goblin</v>
      </c>
      <c r="C51" s="12" t="str">
        <f ca="1">IF(OR(2&gt;$B$5,8&gt;$B$6),"X",IF(IFERROR(INDEX(OFFSET($B$15,$D$46-15,0,1,13),MATCH(2&amp;","&amp;8,OFFSET($B$15,$F$46-15,0,1,13),0)),"")&lt;&gt;"",IFERROR(INDEX(OFFSET($B$15,$D$46-15,0,1,13),MATCH(2&amp;","&amp;8,OFFSET($B$15,$F$46-15,0,1,13),0)),""),IF($B$46="Start",IFERROR(INDEX($B$39:$F$39,MATCH(2&amp;","&amp;8,$B$40:$F$40,0)),""),"")))</f>
        <v/>
      </c>
      <c r="D51" s="12" t="str">
        <f ca="1">IF(OR(3&gt;$B$5,8&gt;$B$6),"X",IF(IFERROR(INDEX(OFFSET($B$15,$D$46-15,0,1,13),MATCH(3&amp;","&amp;8,OFFSET($B$15,$F$46-15,0,1,13),0)),"")&lt;&gt;"",IFERROR(INDEX(OFFSET($B$15,$D$46-15,0,1,13),MATCH(3&amp;","&amp;8,OFFSET($B$15,$F$46-15,0,1,13),0)),""),IF($B$46="Start",IFERROR(INDEX($B$39:$F$39,MATCH(3&amp;","&amp;8,$B$40:$F$40,0)),""),"")))</f>
        <v/>
      </c>
      <c r="E51" s="12" t="str">
        <f ca="1">IF(OR(4&gt;$B$5,8&gt;$B$6),"X",IF(IFERROR(INDEX(OFFSET($B$15,$D$46-15,0,1,13),MATCH(4&amp;","&amp;8,OFFSET($B$15,$F$46-15,0,1,13),0)),"")&lt;&gt;"",IFERROR(INDEX(OFFSET($B$15,$D$46-15,0,1,13),MATCH(4&amp;","&amp;8,OFFSET($B$15,$F$46-15,0,1,13),0)),""),IF($B$46="Start",IFERROR(INDEX($B$39:$F$39,MATCH(4&amp;","&amp;8,$B$40:$F$40,0)),""),"")))</f>
        <v>Mushroom</v>
      </c>
      <c r="F51" s="12" t="str">
        <f ca="1">IF(OR(5&gt;$B$5,8&gt;$B$6),"X",IF(IFERROR(INDEX(OFFSET($B$15,$D$46-15,0,1,13),MATCH(5&amp;","&amp;8,OFFSET($B$15,$F$46-15,0,1,13),0)),"")&lt;&gt;"",IFERROR(INDEX(OFFSET($B$15,$D$46-15,0,1,13),MATCH(5&amp;","&amp;8,OFFSET($B$15,$F$46-15,0,1,13),0)),""),IF($B$46="Start",IFERROR(INDEX($B$39:$F$39,MATCH(5&amp;","&amp;8,$B$40:$F$40,0)),""),"")))</f>
        <v/>
      </c>
      <c r="G51" s="12" t="str">
        <f ca="1">IF(OR(6&gt;$B$5,8&gt;$B$6),"X",IF(IFERROR(INDEX(OFFSET($B$15,$D$46-15,0,1,13),MATCH(6&amp;","&amp;8,OFFSET($B$15,$F$46-15,0,1,13),0)),"")&lt;&gt;"",IFERROR(INDEX(OFFSET($B$15,$D$46-15,0,1,13),MATCH(6&amp;","&amp;8,OFFSET($B$15,$F$46-15,0,1,13),0)),""),IF($B$46="Start",IFERROR(INDEX($B$39:$F$39,MATCH(6&amp;","&amp;8,$B$40:$F$40,0)),""),"")))</f>
        <v/>
      </c>
      <c r="H51" s="12" t="str">
        <f ca="1">IF(OR(7&gt;$B$5,8&gt;$B$6),"X",IF(IFERROR(INDEX(OFFSET($B$15,$D$46-15,0,1,13),MATCH(7&amp;","&amp;8,OFFSET($B$15,$F$46-15,0,1,13),0)),"")&lt;&gt;"",IFERROR(INDEX(OFFSET($B$15,$D$46-15,0,1,13),MATCH(7&amp;","&amp;8,OFFSET($B$15,$F$46-15,0,1,13),0)),""),IF($B$46="Start",IFERROR(INDEX($B$39:$F$39,MATCH(7&amp;","&amp;8,$B$40:$F$40,0)),""),"")))</f>
        <v>Skeleton</v>
      </c>
      <c r="I51" s="12" t="str">
        <f ca="1">IF(OR(8&gt;$B$5,8&gt;$B$6),"X",IF(IFERROR(INDEX(OFFSET($B$15,$D$46-15,0,1,13),MATCH(8&amp;","&amp;8,OFFSET($B$15,$F$46-15,0,1,13),0)),"")&lt;&gt;"",IFERROR(INDEX(OFFSET($B$15,$D$46-15,0,1,13),MATCH(8&amp;","&amp;8,OFFSET($B$15,$F$46-15,0,1,13),0)),""),IF($B$46="Start",IFERROR(INDEX($B$39:$F$39,MATCH(8&amp;","&amp;8,$B$40:$F$40,0)),""),"")))</f>
        <v/>
      </c>
      <c r="J51" s="12" t="str">
        <f ca="1">IF(OR(9&gt;$B$5,8&gt;$B$6),"X",IF(IFERROR(INDEX(OFFSET($B$15,$D$46-15,0,1,13),MATCH(9&amp;","&amp;8,OFFSET($B$15,$F$46-15,0,1,13),0)),"")&lt;&gt;"",IFERROR(INDEX(OFFSET($B$15,$D$46-15,0,1,13),MATCH(9&amp;","&amp;8,OFFSET($B$15,$F$46-15,0,1,13),0)),""),IF($B$46="Start",IFERROR(INDEX($B$39:$F$39,MATCH(9&amp;","&amp;8,$B$40:$F$40,0)),""),"")))</f>
        <v>X</v>
      </c>
      <c r="K51" s="12" t="str">
        <f ca="1">IF(OR(10&gt;$B$5,8&gt;$B$6),"X",IF(IFERROR(INDEX(OFFSET($B$15,$D$46-15,0,1,13),MATCH(10&amp;","&amp;8,OFFSET($B$15,$F$46-15,0,1,13),0)),"")&lt;&gt;"",IFERROR(INDEX(OFFSET($B$15,$D$46-15,0,1,13),MATCH(10&amp;","&amp;8,OFFSET($B$15,$F$46-15,0,1,13),0)),""),IF($B$46="Start",IFERROR(INDEX($B$39:$F$39,MATCH(10&amp;","&amp;8,$B$40:$F$40,0)),""),"")))</f>
        <v>X</v>
      </c>
    </row>
    <row r="52" spans="1:11" x14ac:dyDescent="0.3">
      <c r="A52" s="11">
        <v>7</v>
      </c>
      <c r="B52" s="12" t="str">
        <f ca="1">IF(OR(1&gt;$B$5,7&gt;$B$6),"X",IF(IFERROR(INDEX(OFFSET($B$15,$D$46-15,0,1,13),MATCH(1&amp;","&amp;7,OFFSET($B$15,$F$46-15,0,1,13),0)),"")&lt;&gt;"",IFERROR(INDEX(OFFSET($B$15,$D$46-15,0,1,13),MATCH(1&amp;","&amp;7,OFFSET($B$15,$F$46-15,0,1,13),0)),""),IF($B$46="Start",IFERROR(INDEX($B$39:$F$39,MATCH(1&amp;","&amp;7,$B$40:$F$40,0)),""),"")))</f>
        <v/>
      </c>
      <c r="C52" s="12" t="str">
        <f ca="1">IF(OR(2&gt;$B$5,7&gt;$B$6),"X",IF(IFERROR(INDEX(OFFSET($B$15,$D$46-15,0,1,13),MATCH(2&amp;","&amp;7,OFFSET($B$15,$F$46-15,0,1,13),0)),"")&lt;&gt;"",IFERROR(INDEX(OFFSET($B$15,$D$46-15,0,1,13),MATCH(2&amp;","&amp;7,OFFSET($B$15,$F$46-15,0,1,13),0)),""),IF($B$46="Start",IFERROR(INDEX($B$39:$F$39,MATCH(2&amp;","&amp;7,$B$40:$F$40,0)),""),"")))</f>
        <v>Mimic</v>
      </c>
      <c r="D52" s="12" t="str">
        <f ca="1">IF(OR(3&gt;$B$5,7&gt;$B$6),"X",IF(IFERROR(INDEX(OFFSET($B$15,$D$46-15,0,1,13),MATCH(3&amp;","&amp;7,OFFSET($B$15,$F$46-15,0,1,13),0)),"")&lt;&gt;"",IFERROR(INDEX(OFFSET($B$15,$D$46-15,0,1,13),MATCH(3&amp;","&amp;7,OFFSET($B$15,$F$46-15,0,1,13),0)),""),IF($B$46="Start",IFERROR(INDEX($B$39:$F$39,MATCH(3&amp;","&amp;7,$B$40:$F$40,0)),""),"")))</f>
        <v/>
      </c>
      <c r="E52" s="12" t="str">
        <f ca="1">IF(OR(4&gt;$B$5,7&gt;$B$6),"X",IF(IFERROR(INDEX(OFFSET($B$15,$D$46-15,0,1,13),MATCH(4&amp;","&amp;7,OFFSET($B$15,$F$46-15,0,1,13),0)),"")&lt;&gt;"",IFERROR(INDEX(OFFSET($B$15,$D$46-15,0,1,13),MATCH(4&amp;","&amp;7,OFFSET($B$15,$F$46-15,0,1,13),0)),""),IF($B$46="Start",IFERROR(INDEX($B$39:$F$39,MATCH(4&amp;","&amp;7,$B$40:$F$40,0)),""),"")))</f>
        <v/>
      </c>
      <c r="F52" s="12" t="str">
        <f ca="1">IF(OR(5&gt;$B$5,7&gt;$B$6),"X",IF(IFERROR(INDEX(OFFSET($B$15,$D$46-15,0,1,13),MATCH(5&amp;","&amp;7,OFFSET($B$15,$F$46-15,0,1,13),0)),"")&lt;&gt;"",IFERROR(INDEX(OFFSET($B$15,$D$46-15,0,1,13),MATCH(5&amp;","&amp;7,OFFSET($B$15,$F$46-15,0,1,13),0)),""),IF($B$46="Start",IFERROR(INDEX($B$39:$F$39,MATCH(5&amp;","&amp;7,$B$40:$F$40,0)),""),"")))</f>
        <v>PlagueRat</v>
      </c>
      <c r="G52" s="12" t="str">
        <f ca="1">IF(OR(6&gt;$B$5,7&gt;$B$6),"X",IF(IFERROR(INDEX(OFFSET($B$15,$D$46-15,0,1,13),MATCH(6&amp;","&amp;7,OFFSET($B$15,$F$46-15,0,1,13),0)),"")&lt;&gt;"",IFERROR(INDEX(OFFSET($B$15,$D$46-15,0,1,13),MATCH(6&amp;","&amp;7,OFFSET($B$15,$F$46-15,0,1,13),0)),""),IF($B$46="Start",IFERROR(INDEX($B$39:$F$39,MATCH(6&amp;","&amp;7,$B$40:$F$40,0)),""),"")))</f>
        <v/>
      </c>
      <c r="H52" s="12" t="str">
        <f ca="1">IF(OR(7&gt;$B$5,7&gt;$B$6),"X",IF(IFERROR(INDEX(OFFSET($B$15,$D$46-15,0,1,13),MATCH(7&amp;","&amp;7,OFFSET($B$15,$F$46-15,0,1,13),0)),"")&lt;&gt;"",IFERROR(INDEX(OFFSET($B$15,$D$46-15,0,1,13),MATCH(7&amp;","&amp;7,OFFSET($B$15,$F$46-15,0,1,13),0)),""),IF($B$46="Start",IFERROR(INDEX($B$39:$F$39,MATCH(7&amp;","&amp;7,$B$40:$F$40,0)),""),"")))</f>
        <v/>
      </c>
      <c r="I52" s="12" t="str">
        <f ca="1">IF(OR(8&gt;$B$5,7&gt;$B$6),"X",IF(IFERROR(INDEX(OFFSET($B$15,$D$46-15,0,1,13),MATCH(8&amp;","&amp;7,OFFSET($B$15,$F$46-15,0,1,13),0)),"")&lt;&gt;"",IFERROR(INDEX(OFFSET($B$15,$D$46-15,0,1,13),MATCH(8&amp;","&amp;7,OFFSET($B$15,$F$46-15,0,1,13),0)),""),IF($B$46="Start",IFERROR(INDEX($B$39:$F$39,MATCH(8&amp;","&amp;7,$B$40:$F$40,0)),""),"")))</f>
        <v>Slime</v>
      </c>
      <c r="J52" s="12" t="str">
        <f ca="1">IF(OR(9&gt;$B$5,7&gt;$B$6),"X",IF(IFERROR(INDEX(OFFSET($B$15,$D$46-15,0,1,13),MATCH(9&amp;","&amp;7,OFFSET($B$15,$F$46-15,0,1,13),0)),"")&lt;&gt;"",IFERROR(INDEX(OFFSET($B$15,$D$46-15,0,1,13),MATCH(9&amp;","&amp;7,OFFSET($B$15,$F$46-15,0,1,13),0)),""),IF($B$46="Start",IFERROR(INDEX($B$39:$F$39,MATCH(9&amp;","&amp;7,$B$40:$F$40,0)),""),"")))</f>
        <v>X</v>
      </c>
      <c r="K52" s="12" t="str">
        <f ca="1">IF(OR(10&gt;$B$5,7&gt;$B$6),"X",IF(IFERROR(INDEX(OFFSET($B$15,$D$46-15,0,1,13),MATCH(10&amp;","&amp;7,OFFSET($B$15,$F$46-15,0,1,13),0)),"")&lt;&gt;"",IFERROR(INDEX(OFFSET($B$15,$D$46-15,0,1,13),MATCH(10&amp;","&amp;7,OFFSET($B$15,$F$46-15,0,1,13),0)),""),IF($B$46="Start",IFERROR(INDEX($B$39:$F$39,MATCH(10&amp;","&amp;7,$B$40:$F$40,0)),""),"")))</f>
        <v>X</v>
      </c>
    </row>
    <row r="53" spans="1:11" x14ac:dyDescent="0.3">
      <c r="A53" s="11">
        <v>6</v>
      </c>
      <c r="B53" s="12" t="str">
        <f ca="1">IF(OR(1&gt;$B$5,6&gt;$B$6),"X",IF(IFERROR(INDEX(OFFSET($B$15,$D$46-15,0,1,13),MATCH(1&amp;","&amp;6,OFFSET($B$15,$F$46-15,0,1,13),0)),"")&lt;&gt;"",IFERROR(INDEX(OFFSET($B$15,$D$46-15,0,1,13),MATCH(1&amp;","&amp;6,OFFSET($B$15,$F$46-15,0,1,13),0)),""),IF($B$46="Start",IFERROR(INDEX($B$39:$F$39,MATCH(1&amp;","&amp;6,$B$40:$F$40,0)),""),"")))</f>
        <v>FlyingEye</v>
      </c>
      <c r="C53" s="12" t="str">
        <f ca="1">IF(OR(2&gt;$B$5,6&gt;$B$6),"X",IF(IFERROR(INDEX(OFFSET($B$15,$D$46-15,0,1,13),MATCH(2&amp;","&amp;6,OFFSET($B$15,$F$46-15,0,1,13),0)),"")&lt;&gt;"",IFERROR(INDEX(OFFSET($B$15,$D$46-15,0,1,13),MATCH(2&amp;","&amp;6,OFFSET($B$15,$F$46-15,0,1,13),0)),""),IF($B$46="Start",IFERROR(INDEX($B$39:$F$39,MATCH(2&amp;","&amp;6,$B$40:$F$40,0)),""),"")))</f>
        <v/>
      </c>
      <c r="D53" s="12" t="str">
        <f ca="1">IF(OR(3&gt;$B$5,6&gt;$B$6),"X",IF(IFERROR(INDEX(OFFSET($B$15,$D$46-15,0,1,13),MATCH(3&amp;","&amp;6,OFFSET($B$15,$F$46-15,0,1,13),0)),"")&lt;&gt;"",IFERROR(INDEX(OFFSET($B$15,$D$46-15,0,1,13),MATCH(3&amp;","&amp;6,OFFSET($B$15,$F$46-15,0,1,13),0)),""),IF($B$46="Start",IFERROR(INDEX($B$39:$F$39,MATCH(3&amp;","&amp;6,$B$40:$F$40,0)),""),"")))</f>
        <v/>
      </c>
      <c r="E53" s="12" t="str">
        <f ca="1">IF(OR(4&gt;$B$5,6&gt;$B$6),"X",IF(IFERROR(INDEX(OFFSET($B$15,$D$46-15,0,1,13),MATCH(4&amp;","&amp;6,OFFSET($B$15,$F$46-15,0,1,13),0)),"")&lt;&gt;"",IFERROR(INDEX(OFFSET($B$15,$D$46-15,0,1,13),MATCH(4&amp;","&amp;6,OFFSET($B$15,$F$46-15,0,1,13),0)),""),IF($B$46="Start",IFERROR(INDEX($B$39:$F$39,MATCH(4&amp;","&amp;6,$B$40:$F$40,0)),""),"")))</f>
        <v>HeavyBandit</v>
      </c>
      <c r="F53" s="12" t="str">
        <f ca="1">IF(OR(5&gt;$B$5,6&gt;$B$6),"X",IF(IFERROR(INDEX(OFFSET($B$15,$D$46-15,0,1,13),MATCH(5&amp;","&amp;6,OFFSET($B$15,$F$46-15,0,1,13),0)),"")&lt;&gt;"",IFERROR(INDEX(OFFSET($B$15,$D$46-15,0,1,13),MATCH(5&amp;","&amp;6,OFFSET($B$15,$F$46-15,0,1,13),0)),""),IF($B$46="Start",IFERROR(INDEX($B$39:$F$39,MATCH(5&amp;","&amp;6,$B$40:$F$40,0)),""),"")))</f>
        <v/>
      </c>
      <c r="G53" s="12" t="str">
        <f ca="1">IF(OR(6&gt;$B$5,6&gt;$B$6),"X",IF(IFERROR(INDEX(OFFSET($B$15,$D$46-15,0,1,13),MATCH(6&amp;","&amp;6,OFFSET($B$15,$F$46-15,0,1,13),0)),"")&lt;&gt;"",IFERROR(INDEX(OFFSET($B$15,$D$46-15,0,1,13),MATCH(6&amp;","&amp;6,OFFSET($B$15,$F$46-15,0,1,13),0)),""),IF($B$46="Start",IFERROR(INDEX($B$39:$F$39,MATCH(6&amp;","&amp;6,$B$40:$F$40,0)),""),"")))</f>
        <v/>
      </c>
      <c r="H53" s="12" t="str">
        <f ca="1">IF(OR(7&gt;$B$5,6&gt;$B$6),"X",IF(IFERROR(INDEX(OFFSET($B$15,$D$46-15,0,1,13),MATCH(7&amp;","&amp;6,OFFSET($B$15,$F$46-15,0,1,13),0)),"")&lt;&gt;"",IFERROR(INDEX(OFFSET($B$15,$D$46-15,0,1,13),MATCH(7&amp;","&amp;6,OFFSET($B$15,$F$46-15,0,1,13),0)),""),IF($B$46="Start",IFERROR(INDEX($B$39:$F$39,MATCH(7&amp;","&amp;6,$B$40:$F$40,0)),""),"")))</f>
        <v>EvilWizard</v>
      </c>
      <c r="I53" s="12" t="str">
        <f ca="1">IF(OR(8&gt;$B$5,6&gt;$B$6),"X",IF(IFERROR(INDEX(OFFSET($B$15,$D$46-15,0,1,13),MATCH(8&amp;","&amp;6,OFFSET($B$15,$F$46-15,0,1,13),0)),"")&lt;&gt;"",IFERROR(INDEX(OFFSET($B$15,$D$46-15,0,1,13),MATCH(8&amp;","&amp;6,OFFSET($B$15,$F$46-15,0,1,13),0)),""),IF($B$46="Start",IFERROR(INDEX($B$39:$F$39,MATCH(8&amp;","&amp;6,$B$40:$F$40,0)),""),"")))</f>
        <v/>
      </c>
      <c r="J53" s="12" t="str">
        <f ca="1">IF(OR(9&gt;$B$5,6&gt;$B$6),"X",IF(IFERROR(INDEX(OFFSET($B$15,$D$46-15,0,1,13),MATCH(9&amp;","&amp;6,OFFSET($B$15,$F$46-15,0,1,13),0)),"")&lt;&gt;"",IFERROR(INDEX(OFFSET($B$15,$D$46-15,0,1,13),MATCH(9&amp;","&amp;6,OFFSET($B$15,$F$46-15,0,1,13),0)),""),IF($B$46="Start",IFERROR(INDEX($B$39:$F$39,MATCH(9&amp;","&amp;6,$B$40:$F$40,0)),""),"")))</f>
        <v>X</v>
      </c>
      <c r="K53" s="12" t="str">
        <f ca="1">IF(OR(10&gt;$B$5,6&gt;$B$6),"X",IF(IFERROR(INDEX(OFFSET($B$15,$D$46-15,0,1,13),MATCH(10&amp;","&amp;6,OFFSET($B$15,$F$46-15,0,1,13),0)),"")&lt;&gt;"",IFERROR(INDEX(OFFSET($B$15,$D$46-15,0,1,13),MATCH(10&amp;","&amp;6,OFFSET($B$15,$F$46-15,0,1,13),0)),""),IF($B$46="Start",IFERROR(INDEX($B$39:$F$39,MATCH(10&amp;","&amp;6,$B$40:$F$40,0)),""),"")))</f>
        <v>X</v>
      </c>
    </row>
    <row r="54" spans="1:11" x14ac:dyDescent="0.3">
      <c r="A54" s="11">
        <v>5</v>
      </c>
      <c r="B54" s="12" t="str">
        <f ca="1">IF(OR(1&gt;$B$5,5&gt;$B$6),"X",IF(IFERROR(INDEX(OFFSET($B$15,$D$46-15,0,1,13),MATCH(1&amp;","&amp;5,OFFSET($B$15,$F$46-15,0,1,13),0)),"")&lt;&gt;"",IFERROR(INDEX(OFFSET($B$15,$D$46-15,0,1,13),MATCH(1&amp;","&amp;5,OFFSET($B$15,$F$46-15,0,1,13),0)),""),IF($B$46="Start",IFERROR(INDEX($B$39:$F$39,MATCH(1&amp;","&amp;5,$B$40:$F$40,0)),""),"")))</f>
        <v/>
      </c>
      <c r="C54" s="12" t="str">
        <f ca="1">IF(OR(2&gt;$B$5,5&gt;$B$6),"X",IF(IFERROR(INDEX(OFFSET($B$15,$D$46-15,0,1,13),MATCH(2&amp;","&amp;5,OFFSET($B$15,$F$46-15,0,1,13),0)),"")&lt;&gt;"",IFERROR(INDEX(OFFSET($B$15,$D$46-15,0,1,13),MATCH(2&amp;","&amp;5,OFFSET($B$15,$F$46-15,0,1,13),0)),""),IF($B$46="Start",IFERROR(INDEX($B$39:$F$39,MATCH(2&amp;","&amp;5,$B$40:$F$40,0)),""),"")))</f>
        <v>EvilWizard2</v>
      </c>
      <c r="D54" s="12" t="str">
        <f ca="1">IF(OR(3&gt;$B$5,5&gt;$B$6),"X",IF(IFERROR(INDEX(OFFSET($B$15,$D$46-15,0,1,13),MATCH(3&amp;","&amp;5,OFFSET($B$15,$F$46-15,0,1,13),0)),"")&lt;&gt;"",IFERROR(INDEX(OFFSET($B$15,$D$46-15,0,1,13),MATCH(3&amp;","&amp;5,OFFSET($B$15,$F$46-15,0,1,13),0)),""),IF($B$46="Start",IFERROR(INDEX($B$39:$F$39,MATCH(3&amp;","&amp;5,$B$40:$F$40,0)),""),"")))</f>
        <v/>
      </c>
      <c r="E54" s="12" t="str">
        <f ca="1">IF(OR(4&gt;$B$5,5&gt;$B$6),"X",IF(IFERROR(INDEX(OFFSET($B$15,$D$46-15,0,1,13),MATCH(4&amp;","&amp;5,OFFSET($B$15,$F$46-15,0,1,13),0)),"")&lt;&gt;"",IFERROR(INDEX(OFFSET($B$15,$D$46-15,0,1,13),MATCH(4&amp;","&amp;5,OFFSET($B$15,$F$46-15,0,1,13),0)),""),IF($B$46="Start",IFERROR(INDEX($B$39:$F$39,MATCH(4&amp;","&amp;5,$B$40:$F$40,0)),""),"")))</f>
        <v/>
      </c>
      <c r="F54" s="12" t="str">
        <f ca="1">IF(OR(5&gt;$B$5,5&gt;$B$6),"X",IF(IFERROR(INDEX(OFFSET($B$15,$D$46-15,0,1,13),MATCH(5&amp;","&amp;5,OFFSET($B$15,$F$46-15,0,1,13),0)),"")&lt;&gt;"",IFERROR(INDEX(OFFSET($B$15,$D$46-15,0,1,13),MATCH(5&amp;","&amp;5,OFFSET($B$15,$F$46-15,0,1,13),0)),""),IF($B$46="Start",IFERROR(INDEX($B$39:$F$39,MATCH(5&amp;","&amp;5,$B$40:$F$40,0)),""),"")))</f>
        <v>EvilWizard3</v>
      </c>
      <c r="G54" s="12" t="str">
        <f ca="1">IF(OR(6&gt;$B$5,5&gt;$B$6),"X",IF(IFERROR(INDEX(OFFSET($B$15,$D$46-15,0,1,13),MATCH(6&amp;","&amp;5,OFFSET($B$15,$F$46-15,0,1,13),0)),"")&lt;&gt;"",IFERROR(INDEX(OFFSET($B$15,$D$46-15,0,1,13),MATCH(6&amp;","&amp;5,OFFSET($B$15,$F$46-15,0,1,13),0)),""),IF($B$46="Start",IFERROR(INDEX($B$39:$F$39,MATCH(6&amp;","&amp;5,$B$40:$F$40,0)),""),"")))</f>
        <v/>
      </c>
      <c r="H54" s="12" t="str">
        <f ca="1">IF(OR(7&gt;$B$5,5&gt;$B$6),"X",IF(IFERROR(INDEX(OFFSET($B$15,$D$46-15,0,1,13),MATCH(7&amp;","&amp;5,OFFSET($B$15,$F$46-15,0,1,13),0)),"")&lt;&gt;"",IFERROR(INDEX(OFFSET($B$15,$D$46-15,0,1,13),MATCH(7&amp;","&amp;5,OFFSET($B$15,$F$46-15,0,1,13),0)),""),IF($B$46="Start",IFERROR(INDEX($B$39:$F$39,MATCH(7&amp;","&amp;5,$B$40:$F$40,0)),""),"")))</f>
        <v/>
      </c>
      <c r="I54" s="12" t="str">
        <f ca="1">IF(OR(8&gt;$B$5,5&gt;$B$6),"X",IF(IFERROR(INDEX(OFFSET($B$15,$D$46-15,0,1,13),MATCH(8&amp;","&amp;5,OFFSET($B$15,$F$46-15,0,1,13),0)),"")&lt;&gt;"",IFERROR(INDEX(OFFSET($B$15,$D$46-15,0,1,13),MATCH(8&amp;","&amp;5,OFFSET($B$15,$F$46-15,0,1,13),0)),""),IF($B$46="Start",IFERROR(INDEX($B$39:$F$39,MATCH(8&amp;","&amp;5,$B$40:$F$40,0)),""),"")))</f>
        <v>EvilKnight</v>
      </c>
      <c r="J54" s="12" t="str">
        <f ca="1">IF(OR(9&gt;$B$5,5&gt;$B$6),"X",IF(IFERROR(INDEX(OFFSET($B$15,$D$46-15,0,1,13),MATCH(9&amp;","&amp;5,OFFSET($B$15,$F$46-15,0,1,13),0)),"")&lt;&gt;"",IFERROR(INDEX(OFFSET($B$15,$D$46-15,0,1,13),MATCH(9&amp;","&amp;5,OFFSET($B$15,$F$46-15,0,1,13),0)),""),IF($B$46="Start",IFERROR(INDEX($B$39:$F$39,MATCH(9&amp;","&amp;5,$B$40:$F$40,0)),""),"")))</f>
        <v>X</v>
      </c>
      <c r="K54" s="12" t="str">
        <f ca="1">IF(OR(10&gt;$B$5,5&gt;$B$6),"X",IF(IFERROR(INDEX(OFFSET($B$15,$D$46-15,0,1,13),MATCH(10&amp;","&amp;5,OFFSET($B$15,$F$46-15,0,1,13),0)),"")&lt;&gt;"",IFERROR(INDEX(OFFSET($B$15,$D$46-15,0,1,13),MATCH(10&amp;","&amp;5,OFFSET($B$15,$F$46-15,0,1,13),0)),""),IF($B$46="Start",IFERROR(INDEX($B$39:$F$39,MATCH(10&amp;","&amp;5,$B$40:$F$40,0)),""),"")))</f>
        <v>X</v>
      </c>
    </row>
    <row r="55" spans="1:11" x14ac:dyDescent="0.3">
      <c r="A55" s="11">
        <v>4</v>
      </c>
      <c r="B55" s="12" t="str">
        <f ca="1">IF(OR(1&gt;$B$5,4&gt;$B$6),"X",IF(IFERROR(INDEX(OFFSET($B$15,$D$46-15,0,1,13),MATCH(1&amp;","&amp;4,OFFSET($B$15,$F$46-15,0,1,13),0)),"")&lt;&gt;"",IFERROR(INDEX(OFFSET($B$15,$D$46-15,0,1,13),MATCH(1&amp;","&amp;4,OFFSET($B$15,$F$46-15,0,1,13),0)),""),IF($B$46="Start",IFERROR(INDEX($B$39:$F$39,MATCH(1&amp;","&amp;4,$B$40:$F$40,0)),""),"")))</f>
        <v/>
      </c>
      <c r="C55" s="12" t="str">
        <f ca="1">IF(OR(2&gt;$B$5,4&gt;$B$6),"X",IF(IFERROR(INDEX(OFFSET($B$15,$D$46-15,0,1,13),MATCH(2&amp;","&amp;4,OFFSET($B$15,$F$46-15,0,1,13),0)),"")&lt;&gt;"",IFERROR(INDEX(OFFSET($B$15,$D$46-15,0,1,13),MATCH(2&amp;","&amp;4,OFFSET($B$15,$F$46-15,0,1,13),0)),""),IF($B$46="Start",IFERROR(INDEX($B$39:$F$39,MATCH(2&amp;","&amp;4,$B$40:$F$40,0)),""),"")))</f>
        <v/>
      </c>
      <c r="D55" s="12" t="str">
        <f ca="1">IF(OR(3&gt;$B$5,4&gt;$B$6),"X",IF(IFERROR(INDEX(OFFSET($B$15,$D$46-15,0,1,13),MATCH(3&amp;","&amp;4,OFFSET($B$15,$F$46-15,0,1,13),0)),"")&lt;&gt;"",IFERROR(INDEX(OFFSET($B$15,$D$46-15,0,1,13),MATCH(3&amp;","&amp;4,OFFSET($B$15,$F$46-15,0,1,13),0)),""),IF($B$46="Start",IFERROR(INDEX($B$39:$F$39,MATCH(3&amp;","&amp;4,$B$40:$F$40,0)),""),"")))</f>
        <v/>
      </c>
      <c r="E55" s="12" t="str">
        <f ca="1">IF(OR(4&gt;$B$5,4&gt;$B$6),"X",IF(IFERROR(INDEX(OFFSET($B$15,$D$46-15,0,1,13),MATCH(4&amp;","&amp;4,OFFSET($B$15,$F$46-15,0,1,13),0)),"")&lt;&gt;"",IFERROR(INDEX(OFFSET($B$15,$D$46-15,0,1,13),MATCH(4&amp;","&amp;4,OFFSET($B$15,$F$46-15,0,1,13),0)),""),IF($B$46="Start",IFERROR(INDEX($B$39:$F$39,MATCH(4&amp;","&amp;4,$B$40:$F$40,0)),""),"")))</f>
        <v>EvilKing</v>
      </c>
      <c r="F55" s="12" t="str">
        <f ca="1">IF(OR(5&gt;$B$5,4&gt;$B$6),"X",IF(IFERROR(INDEX(OFFSET($B$15,$D$46-15,0,1,13),MATCH(5&amp;","&amp;4,OFFSET($B$15,$F$46-15,0,1,13),0)),"")&lt;&gt;"",IFERROR(INDEX(OFFSET($B$15,$D$46-15,0,1,13),MATCH(5&amp;","&amp;4,OFFSET($B$15,$F$46-15,0,1,13),0)),""),IF($B$46="Start",IFERROR(INDEX($B$39:$F$39,MATCH(5&amp;","&amp;4,$B$40:$F$40,0)),""),"")))</f>
        <v/>
      </c>
      <c r="G55" s="12" t="str">
        <f ca="1">IF(OR(6&gt;$B$5,4&gt;$B$6),"X",IF(IFERROR(INDEX(OFFSET($B$15,$D$46-15,0,1,13),MATCH(6&amp;","&amp;4,OFFSET($B$15,$F$46-15,0,1,13),0)),"")&lt;&gt;"",IFERROR(INDEX(OFFSET($B$15,$D$46-15,0,1,13),MATCH(6&amp;","&amp;4,OFFSET($B$15,$F$46-15,0,1,13),0)),""),IF($B$46="Start",IFERROR(INDEX($B$39:$F$39,MATCH(6&amp;","&amp;4,$B$40:$F$40,0)),""),"")))</f>
        <v/>
      </c>
      <c r="H55" s="12" t="str">
        <f ca="1">IF(OR(7&gt;$B$5,4&gt;$B$6),"X",IF(IFERROR(INDEX(OFFSET($B$15,$D$46-15,0,1,13),MATCH(7&amp;","&amp;4,OFFSET($B$15,$F$46-15,0,1,13),0)),"")&lt;&gt;"",IFERROR(INDEX(OFFSET($B$15,$D$46-15,0,1,13),MATCH(7&amp;","&amp;4,OFFSET($B$15,$F$46-15,0,1,13),0)),""),IF($B$46="Start",IFERROR(INDEX($B$39:$F$39,MATCH(7&amp;","&amp;4,$B$40:$F$40,0)),""),"")))</f>
        <v/>
      </c>
      <c r="I55" s="12" t="str">
        <f ca="1">IF(OR(8&gt;$B$5,4&gt;$B$6),"X",IF(IFERROR(INDEX(OFFSET($B$15,$D$46-15,0,1,13),MATCH(8&amp;","&amp;4,OFFSET($B$15,$F$46-15,0,1,13),0)),"")&lt;&gt;"",IFERROR(INDEX(OFFSET($B$15,$D$46-15,0,1,13),MATCH(8&amp;","&amp;4,OFFSET($B$15,$F$46-15,0,1,13),0)),""),IF($B$46="Start",IFERROR(INDEX($B$39:$F$39,MATCH(8&amp;","&amp;4,$B$40:$F$40,0)),""),"")))</f>
        <v/>
      </c>
      <c r="J55" s="12" t="str">
        <f ca="1">IF(OR(9&gt;$B$5,4&gt;$B$6),"X",IF(IFERROR(INDEX(OFFSET($B$15,$D$46-15,0,1,13),MATCH(9&amp;","&amp;4,OFFSET($B$15,$F$46-15,0,1,13),0)),"")&lt;&gt;"",IFERROR(INDEX(OFFSET($B$15,$D$46-15,0,1,13),MATCH(9&amp;","&amp;4,OFFSET($B$15,$F$46-15,0,1,13),0)),""),IF($B$46="Start",IFERROR(INDEX($B$39:$F$39,MATCH(9&amp;","&amp;4,$B$40:$F$40,0)),""),"")))</f>
        <v>X</v>
      </c>
      <c r="K55" s="12" t="str">
        <f ca="1">IF(OR(10&gt;$B$5,4&gt;$B$6),"X",IF(IFERROR(INDEX(OFFSET($B$15,$D$46-15,0,1,13),MATCH(10&amp;","&amp;4,OFFSET($B$15,$F$46-15,0,1,13),0)),"")&lt;&gt;"",IFERROR(INDEX(OFFSET($B$15,$D$46-15,0,1,13),MATCH(10&amp;","&amp;4,OFFSET($B$15,$F$46-15,0,1,13),0)),""),IF($B$46="Start",IFERROR(INDEX($B$39:$F$39,MATCH(10&amp;","&amp;4,$B$40:$F$40,0)),""),"")))</f>
        <v>X</v>
      </c>
    </row>
    <row r="56" spans="1:11" x14ac:dyDescent="0.3">
      <c r="A56" s="11">
        <v>3</v>
      </c>
      <c r="B56" s="12" t="str">
        <f ca="1">IF(OR(1&gt;$B$5,3&gt;$B$6),"X",IF(IFERROR(INDEX(OFFSET($B$15,$D$46-15,0,1,13),MATCH(1&amp;","&amp;3,OFFSET($B$15,$F$46-15,0,1,13),0)),"")&lt;&gt;"",IFERROR(INDEX(OFFSET($B$15,$D$46-15,0,1,13),MATCH(1&amp;","&amp;3,OFFSET($B$15,$F$46-15,0,1,13),0)),""),IF($B$46="Start",IFERROR(INDEX($B$39:$F$39,MATCH(1&amp;","&amp;3,$B$40:$F$40,0)),""),"")))</f>
        <v/>
      </c>
      <c r="C56" s="12" t="str">
        <f ca="1">IF(OR(2&gt;$B$5,3&gt;$B$6),"X",IF(IFERROR(INDEX(OFFSET($B$15,$D$46-15,0,1,13),MATCH(2&amp;","&amp;3,OFFSET($B$15,$F$46-15,0,1,13),0)),"")&lt;&gt;"",IFERROR(INDEX(OFFSET($B$15,$D$46-15,0,1,13),MATCH(2&amp;","&amp;3,OFFSET($B$15,$F$46-15,0,1,13),0)),""),IF($B$46="Start",IFERROR(INDEX($B$39:$F$39,MATCH(2&amp;","&amp;3,$B$40:$F$40,0)),""),"")))</f>
        <v/>
      </c>
      <c r="D56" s="12" t="str">
        <f ca="1">IF(OR(3&gt;$B$5,3&gt;$B$6),"X",IF(IFERROR(INDEX(OFFSET($B$15,$D$46-15,0,1,13),MATCH(3&amp;","&amp;3,OFFSET($B$15,$F$46-15,0,1,13),0)),"")&lt;&gt;"",IFERROR(INDEX(OFFSET($B$15,$D$46-15,0,1,13),MATCH(3&amp;","&amp;3,OFFSET($B$15,$F$46-15,0,1,13),0)),""),IF($B$46="Start",IFERROR(INDEX($B$39:$F$39,MATCH(3&amp;","&amp;3,$B$40:$F$40,0)),""),"")))</f>
        <v/>
      </c>
      <c r="E56" s="12" t="str">
        <f ca="1">IF(OR(4&gt;$B$5,3&gt;$B$6),"X",IF(IFERROR(INDEX(OFFSET($B$15,$D$46-15,0,1,13),MATCH(4&amp;","&amp;3,OFFSET($B$15,$F$46-15,0,1,13),0)),"")&lt;&gt;"",IFERROR(INDEX(OFFSET($B$15,$D$46-15,0,1,13),MATCH(4&amp;","&amp;3,OFFSET($B$15,$F$46-15,0,1,13),0)),""),IF($B$46="Start",IFERROR(INDEX($B$39:$F$39,MATCH(4&amp;","&amp;3,$B$40:$F$40,0)),""),"")))</f>
        <v/>
      </c>
      <c r="F56" s="12" t="str">
        <f ca="1">IF(OR(5&gt;$B$5,3&gt;$B$6),"X",IF(IFERROR(INDEX(OFFSET($B$15,$D$46-15,0,1,13),MATCH(5&amp;","&amp;3,OFFSET($B$15,$F$46-15,0,1,13),0)),"")&lt;&gt;"",IFERROR(INDEX(OFFSET($B$15,$D$46-15,0,1,13),MATCH(5&amp;","&amp;3,OFFSET($B$15,$F$46-15,0,1,13),0)),""),IF($B$46="Start",IFERROR(INDEX($B$39:$F$39,MATCH(5&amp;","&amp;3,$B$40:$F$40,0)),""),"")))</f>
        <v/>
      </c>
      <c r="G56" s="12" t="str">
        <f ca="1">IF(OR(6&gt;$B$5,3&gt;$B$6),"X",IF(IFERROR(INDEX(OFFSET($B$15,$D$46-15,0,1,13),MATCH(6&amp;","&amp;3,OFFSET($B$15,$F$46-15,0,1,13),0)),"")&lt;&gt;"",IFERROR(INDEX(OFFSET($B$15,$D$46-15,0,1,13),MATCH(6&amp;","&amp;3,OFFSET($B$15,$F$46-15,0,1,13),0)),""),IF($B$46="Start",IFERROR(INDEX($B$39:$F$39,MATCH(6&amp;","&amp;3,$B$40:$F$40,0)),""),"")))</f>
        <v/>
      </c>
      <c r="H56" s="12" t="str">
        <f ca="1">IF(OR(7&gt;$B$5,3&gt;$B$6),"X",IF(IFERROR(INDEX(OFFSET($B$15,$D$46-15,0,1,13),MATCH(7&amp;","&amp;3,OFFSET($B$15,$F$46-15,0,1,13),0)),"")&lt;&gt;"",IFERROR(INDEX(OFFSET($B$15,$D$46-15,0,1,13),MATCH(7&amp;","&amp;3,OFFSET($B$15,$F$46-15,0,1,13),0)),""),IF($B$46="Start",IFERROR(INDEX($B$39:$F$39,MATCH(7&amp;","&amp;3,$B$40:$F$40,0)),""),"")))</f>
        <v/>
      </c>
      <c r="I56" s="12" t="str">
        <f ca="1">IF(OR(8&gt;$B$5,3&gt;$B$6),"X",IF(IFERROR(INDEX(OFFSET($B$15,$D$46-15,0,1,13),MATCH(8&amp;","&amp;3,OFFSET($B$15,$F$46-15,0,1,13),0)),"")&lt;&gt;"",IFERROR(INDEX(OFFSET($B$15,$D$46-15,0,1,13),MATCH(8&amp;","&amp;3,OFFSET($B$15,$F$46-15,0,1,13),0)),""),IF($B$46="Start",IFERROR(INDEX($B$39:$F$39,MATCH(8&amp;","&amp;3,$B$40:$F$40,0)),""),"")))</f>
        <v/>
      </c>
      <c r="J56" s="12" t="str">
        <f ca="1">IF(OR(9&gt;$B$5,3&gt;$B$6),"X",IF(IFERROR(INDEX(OFFSET($B$15,$D$46-15,0,1,13),MATCH(9&amp;","&amp;3,OFFSET($B$15,$F$46-15,0,1,13),0)),"")&lt;&gt;"",IFERROR(INDEX(OFFSET($B$15,$D$46-15,0,1,13),MATCH(9&amp;","&amp;3,OFFSET($B$15,$F$46-15,0,1,13),0)),""),IF($B$46="Start",IFERROR(INDEX($B$39:$F$39,MATCH(9&amp;","&amp;3,$B$40:$F$40,0)),""),"")))</f>
        <v>X</v>
      </c>
      <c r="K56" s="12" t="str">
        <f ca="1">IF(OR(10&gt;$B$5,3&gt;$B$6),"X",IF(IFERROR(INDEX(OFFSET($B$15,$D$46-15,0,1,13),MATCH(10&amp;","&amp;3,OFFSET($B$15,$F$46-15,0,1,13),0)),"")&lt;&gt;"",IFERROR(INDEX(OFFSET($B$15,$D$46-15,0,1,13),MATCH(10&amp;","&amp;3,OFFSET($B$15,$F$46-15,0,1,13),0)),""),IF($B$46="Start",IFERROR(INDEX($B$39:$F$39,MATCH(10&amp;","&amp;3,$B$40:$F$40,0)),""),"")))</f>
        <v>X</v>
      </c>
    </row>
    <row r="57" spans="1:11" x14ac:dyDescent="0.3">
      <c r="A57" s="11">
        <v>2</v>
      </c>
      <c r="B57" s="12" t="str">
        <f ca="1">IF(OR(1&gt;$B$5,2&gt;$B$6),"X",IF(IFERROR(INDEX(OFFSET($B$15,$D$46-15,0,1,13),MATCH(1&amp;","&amp;2,OFFSET($B$15,$F$46-15,0,1,13),0)),"")&lt;&gt;"",IFERROR(INDEX(OFFSET($B$15,$D$46-15,0,1,13),MATCH(1&amp;","&amp;2,OFFSET($B$15,$F$46-15,0,1,13),0)),""),IF($B$46="Start",IFERROR(INDEX($B$39:$F$39,MATCH(1&amp;","&amp;2,$B$40:$F$40,0)),""),"")))</f>
        <v/>
      </c>
      <c r="C57" s="12" t="str">
        <f ca="1">IF(OR(2&gt;$B$5,2&gt;$B$6),"X",IF(IFERROR(INDEX(OFFSET($B$15,$D$46-15,0,1,13),MATCH(2&amp;","&amp;2,OFFSET($B$15,$F$46-15,0,1,13),0)),"")&lt;&gt;"",IFERROR(INDEX(OFFSET($B$15,$D$46-15,0,1,13),MATCH(2&amp;","&amp;2,OFFSET($B$15,$F$46-15,0,1,13),0)),""),IF($B$46="Start",IFERROR(INDEX($B$39:$F$39,MATCH(2&amp;","&amp;2,$B$40:$F$40,0)),""),"")))</f>
        <v/>
      </c>
      <c r="D57" s="12" t="str">
        <f ca="1">IF(OR(3&gt;$B$5,2&gt;$B$6),"X",IF(IFERROR(INDEX(OFFSET($B$15,$D$46-15,0,1,13),MATCH(3&amp;","&amp;2,OFFSET($B$15,$F$46-15,0,1,13),0)),"")&lt;&gt;"",IFERROR(INDEX(OFFSET($B$15,$D$46-15,0,1,13),MATCH(3&amp;","&amp;2,OFFSET($B$15,$F$46-15,0,1,13),0)),""),IF($B$46="Start",IFERROR(INDEX($B$39:$F$39,MATCH(3&amp;","&amp;2,$B$40:$F$40,0)),""),"")))</f>
        <v/>
      </c>
      <c r="E57" s="12" t="str">
        <f ca="1">IF(OR(4&gt;$B$5,2&gt;$B$6),"X",IF(IFERROR(INDEX(OFFSET($B$15,$D$46-15,0,1,13),MATCH(4&amp;","&amp;2,OFFSET($B$15,$F$46-15,0,1,13),0)),"")&lt;&gt;"",IFERROR(INDEX(OFFSET($B$15,$D$46-15,0,1,13),MATCH(4&amp;","&amp;2,OFFSET($B$15,$F$46-15,0,1,13),0)),""),IF($B$46="Start",IFERROR(INDEX($B$39:$F$39,MATCH(4&amp;","&amp;2,$B$40:$F$40,0)),""),"")))</f>
        <v/>
      </c>
      <c r="F57" s="12" t="str">
        <f ca="1">IF(OR(5&gt;$B$5,2&gt;$B$6),"X",IF(IFERROR(INDEX(OFFSET($B$15,$D$46-15,0,1,13),MATCH(5&amp;","&amp;2,OFFSET($B$15,$F$46-15,0,1,13),0)),"")&lt;&gt;"",IFERROR(INDEX(OFFSET($B$15,$D$46-15,0,1,13),MATCH(5&amp;","&amp;2,OFFSET($B$15,$F$46-15,0,1,13),0)),""),IF($B$46="Start",IFERROR(INDEX($B$39:$F$39,MATCH(5&amp;","&amp;2,$B$40:$F$40,0)),""),"")))</f>
        <v/>
      </c>
      <c r="G57" s="12" t="str">
        <f ca="1">IF(OR(6&gt;$B$5,2&gt;$B$6),"X",IF(IFERROR(INDEX(OFFSET($B$15,$D$46-15,0,1,13),MATCH(6&amp;","&amp;2,OFFSET($B$15,$F$46-15,0,1,13),0)),"")&lt;&gt;"",IFERROR(INDEX(OFFSET($B$15,$D$46-15,0,1,13),MATCH(6&amp;","&amp;2,OFFSET($B$15,$F$46-15,0,1,13),0)),""),IF($B$46="Start",IFERROR(INDEX($B$39:$F$39,MATCH(6&amp;","&amp;2,$B$40:$F$40,0)),""),"")))</f>
        <v/>
      </c>
      <c r="H57" s="12" t="str">
        <f ca="1">IF(OR(7&gt;$B$5,2&gt;$B$6),"X",IF(IFERROR(INDEX(OFFSET($B$15,$D$46-15,0,1,13),MATCH(7&amp;","&amp;2,OFFSET($B$15,$F$46-15,0,1,13),0)),"")&lt;&gt;"",IFERROR(INDEX(OFFSET($B$15,$D$46-15,0,1,13),MATCH(7&amp;","&amp;2,OFFSET($B$15,$F$46-15,0,1,13),0)),""),IF($B$46="Start",IFERROR(INDEX($B$39:$F$39,MATCH(7&amp;","&amp;2,$B$40:$F$40,0)),""),"")))</f>
        <v/>
      </c>
      <c r="I57" s="12" t="str">
        <f ca="1">IF(OR(8&gt;$B$5,2&gt;$B$6),"X",IF(IFERROR(INDEX(OFFSET($B$15,$D$46-15,0,1,13),MATCH(8&amp;","&amp;2,OFFSET($B$15,$F$46-15,0,1,13),0)),"")&lt;&gt;"",IFERROR(INDEX(OFFSET($B$15,$D$46-15,0,1,13),MATCH(8&amp;","&amp;2,OFFSET($B$15,$F$46-15,0,1,13),0)),""),IF($B$46="Start",IFERROR(INDEX($B$39:$F$39,MATCH(8&amp;","&amp;2,$B$40:$F$40,0)),""),"")))</f>
        <v/>
      </c>
      <c r="J57" s="12" t="str">
        <f ca="1">IF(OR(9&gt;$B$5,2&gt;$B$6),"X",IF(IFERROR(INDEX(OFFSET($B$15,$D$46-15,0,1,13),MATCH(9&amp;","&amp;2,OFFSET($B$15,$F$46-15,0,1,13),0)),"")&lt;&gt;"",IFERROR(INDEX(OFFSET($B$15,$D$46-15,0,1,13),MATCH(9&amp;","&amp;2,OFFSET($B$15,$F$46-15,0,1,13),0)),""),IF($B$46="Start",IFERROR(INDEX($B$39:$F$39,MATCH(9&amp;","&amp;2,$B$40:$F$40,0)),""),"")))</f>
        <v>X</v>
      </c>
      <c r="K57" s="12" t="str">
        <f ca="1">IF(OR(10&gt;$B$5,2&gt;$B$6),"X",IF(IFERROR(INDEX(OFFSET($B$15,$D$46-15,0,1,13),MATCH(10&amp;","&amp;2,OFFSET($B$15,$F$46-15,0,1,13),0)),"")&lt;&gt;"",IFERROR(INDEX(OFFSET($B$15,$D$46-15,0,1,13),MATCH(10&amp;","&amp;2,OFFSET($B$15,$F$46-15,0,1,13),0)),""),IF($B$46="Start",IFERROR(INDEX($B$39:$F$39,MATCH(10&amp;","&amp;2,$B$40:$F$40,0)),""),"")))</f>
        <v>X</v>
      </c>
    </row>
    <row r="58" spans="1:11" x14ac:dyDescent="0.3">
      <c r="A58" s="11">
        <v>1</v>
      </c>
      <c r="B58" s="12" t="str">
        <f ca="1">IF(OR(1&gt;$B$5,1&gt;$B$6),"X",IF(IFERROR(INDEX(OFFSET($B$15,$D$46-15,0,1,13),MATCH(1&amp;","&amp;1,OFFSET($B$15,$F$46-15,0,1,13),0)),"")&lt;&gt;"",IFERROR(INDEX(OFFSET($B$15,$D$46-15,0,1,13),MATCH(1&amp;","&amp;1,OFFSET($B$15,$F$46-15,0,1,13),0)),""),IF($B$46="Start",IFERROR(INDEX($B$39:$F$39,MATCH(1&amp;","&amp;1,$B$40:$F$40,0)),""),"")))</f>
        <v/>
      </c>
      <c r="C58" s="12" t="str">
        <f ca="1">IF(OR(2&gt;$B$5,1&gt;$B$6),"X",IF(IFERROR(INDEX(OFFSET($B$15,$D$46-15,0,1,13),MATCH(2&amp;","&amp;1,OFFSET($B$15,$F$46-15,0,1,13),0)),"")&lt;&gt;"",IFERROR(INDEX(OFFSET($B$15,$D$46-15,0,1,13),MATCH(2&amp;","&amp;1,OFFSET($B$15,$F$46-15,0,1,13),0)),""),IF($B$46="Start",IFERROR(INDEX($B$39:$F$39,MATCH(2&amp;","&amp;1,$B$40:$F$40,0)),""),"")))</f>
        <v>P1</v>
      </c>
      <c r="D58" s="12" t="str">
        <f ca="1">IF(OR(3&gt;$B$5,1&gt;$B$6),"X",IF(IFERROR(INDEX(OFFSET($B$15,$D$46-15,0,1,13),MATCH(3&amp;","&amp;1,OFFSET($B$15,$F$46-15,0,1,13),0)),"")&lt;&gt;"",IFERROR(INDEX(OFFSET($B$15,$D$46-15,0,1,13),MATCH(3&amp;","&amp;1,OFFSET($B$15,$F$46-15,0,1,13),0)),""),IF($B$46="Start",IFERROR(INDEX($B$39:$F$39,MATCH(3&amp;","&amp;1,$B$40:$F$40,0)),""),"")))</f>
        <v/>
      </c>
      <c r="E58" s="12" t="str">
        <f ca="1">IF(OR(4&gt;$B$5,1&gt;$B$6),"X",IF(IFERROR(INDEX(OFFSET($B$15,$D$46-15,0,1,13),MATCH(4&amp;","&amp;1,OFFSET($B$15,$F$46-15,0,1,13),0)),"")&lt;&gt;"",IFERROR(INDEX(OFFSET($B$15,$D$46-15,0,1,13),MATCH(4&amp;","&amp;1,OFFSET($B$15,$F$46-15,0,1,13),0)),""),IF($B$46="Start",IFERROR(INDEX($B$39:$F$39,MATCH(4&amp;","&amp;1,$B$40:$F$40,0)),""),"")))</f>
        <v>P2</v>
      </c>
      <c r="F58" s="12" t="str">
        <f ca="1">IF(OR(5&gt;$B$5,1&gt;$B$6),"X",IF(IFERROR(INDEX(OFFSET($B$15,$D$46-15,0,1,13),MATCH(5&amp;","&amp;1,OFFSET($B$15,$F$46-15,0,1,13),0)),"")&lt;&gt;"",IFERROR(INDEX(OFFSET($B$15,$D$46-15,0,1,13),MATCH(5&amp;","&amp;1,OFFSET($B$15,$F$46-15,0,1,13),0)),""),IF($B$46="Start",IFERROR(INDEX($B$39:$F$39,MATCH(5&amp;","&amp;1,$B$40:$F$40,0)),""),"")))</f>
        <v/>
      </c>
      <c r="G58" s="12" t="str">
        <f ca="1">IF(OR(6&gt;$B$5,1&gt;$B$6),"X",IF(IFERROR(INDEX(OFFSET($B$15,$D$46-15,0,1,13),MATCH(6&amp;","&amp;1,OFFSET($B$15,$F$46-15,0,1,13),0)),"")&lt;&gt;"",IFERROR(INDEX(OFFSET($B$15,$D$46-15,0,1,13),MATCH(6&amp;","&amp;1,OFFSET($B$15,$F$46-15,0,1,13),0)),""),IF($B$46="Start",IFERROR(INDEX($B$39:$F$39,MATCH(6&amp;","&amp;1,$B$40:$F$40,0)),""),"")))</f>
        <v>P3</v>
      </c>
      <c r="H58" s="12" t="str">
        <f ca="1">IF(OR(7&gt;$B$5,1&gt;$B$6),"X",IF(IFERROR(INDEX(OFFSET($B$15,$D$46-15,0,1,13),MATCH(7&amp;","&amp;1,OFFSET($B$15,$F$46-15,0,1,13),0)),"")&lt;&gt;"",IFERROR(INDEX(OFFSET($B$15,$D$46-15,0,1,13),MATCH(7&amp;","&amp;1,OFFSET($B$15,$F$46-15,0,1,13),0)),""),IF($B$46="Start",IFERROR(INDEX($B$39:$F$39,MATCH(7&amp;","&amp;1,$B$40:$F$40,0)),""),"")))</f>
        <v/>
      </c>
      <c r="I58" s="12" t="str">
        <f ca="1">IF(OR(8&gt;$B$5,1&gt;$B$6),"X",IF(IFERROR(INDEX(OFFSET($B$15,$D$46-15,0,1,13),MATCH(8&amp;","&amp;1,OFFSET($B$15,$F$46-15,0,1,13),0)),"")&lt;&gt;"",IFERROR(INDEX(OFFSET($B$15,$D$46-15,0,1,13),MATCH(8&amp;","&amp;1,OFFSET($B$15,$F$46-15,0,1,13),0)),""),IF($B$46="Start",IFERROR(INDEX($B$39:$F$39,MATCH(8&amp;","&amp;1,$B$40:$F$40,0)),""),"")))</f>
        <v/>
      </c>
      <c r="J58" s="12" t="str">
        <f ca="1">IF(OR(9&gt;$B$5,1&gt;$B$6),"X",IF(IFERROR(INDEX(OFFSET($B$15,$D$46-15,0,1,13),MATCH(9&amp;","&amp;1,OFFSET($B$15,$F$46-15,0,1,13),0)),"")&lt;&gt;"",IFERROR(INDEX(OFFSET($B$15,$D$46-15,0,1,13),MATCH(9&amp;","&amp;1,OFFSET($B$15,$F$46-15,0,1,13),0)),""),IF($B$46="Start",IFERROR(INDEX($B$39:$F$39,MATCH(9&amp;","&amp;1,$B$40:$F$40,0)),""),"")))</f>
        <v>X</v>
      </c>
      <c r="K58" s="12" t="str">
        <f ca="1">IF(OR(10&gt;$B$5,1&gt;$B$6),"X",IF(IFERROR(INDEX(OFFSET($B$15,$D$46-15,0,1,13),MATCH(10&amp;","&amp;1,OFFSET($B$15,$F$46-15,0,1,13),0)),"")&lt;&gt;"",IFERROR(INDEX(OFFSET($B$15,$D$46-15,0,1,13),MATCH(10&amp;","&amp;1,OFFSET($B$15,$F$46-15,0,1,13),0)),""),IF($B$46="Start",IFERROR(INDEX($B$39:$F$39,MATCH(10&amp;","&amp;1,$B$40:$F$40,0)),""),"")))</f>
        <v>X</v>
      </c>
    </row>
    <row r="60" spans="1:11" x14ac:dyDescent="0.3">
      <c r="A60" s="1" t="s">
        <v>127</v>
      </c>
    </row>
    <row r="61" spans="1:11" x14ac:dyDescent="0.3">
      <c r="A61" t="s">
        <v>128</v>
      </c>
    </row>
    <row r="62" spans="1:11" x14ac:dyDescent="0.3">
      <c r="A62" t="s">
        <v>129</v>
      </c>
    </row>
    <row r="63" spans="1:11" x14ac:dyDescent="0.3">
      <c r="A63" t="s">
        <v>130</v>
      </c>
    </row>
    <row r="64" spans="1:11" x14ac:dyDescent="0.3">
      <c r="A64" t="s">
        <v>131</v>
      </c>
    </row>
    <row r="66" spans="1:3" x14ac:dyDescent="0.3">
      <c r="A66" s="1" t="s">
        <v>132</v>
      </c>
      <c r="B66" s="2"/>
    </row>
    <row r="68" spans="1:3" x14ac:dyDescent="0.3">
      <c r="A68" s="4" t="s">
        <v>133</v>
      </c>
    </row>
    <row r="69" spans="1:3" x14ac:dyDescent="0.3">
      <c r="A69" s="4" t="s">
        <v>134</v>
      </c>
      <c r="B69" s="4" t="s">
        <v>135</v>
      </c>
      <c r="C69" s="4" t="s">
        <v>136</v>
      </c>
    </row>
    <row r="70" spans="1:3" x14ac:dyDescent="0.3">
      <c r="A70" t="s">
        <v>95</v>
      </c>
      <c r="B70">
        <v>15</v>
      </c>
      <c r="C70">
        <v>16</v>
      </c>
    </row>
  </sheetData>
  <conditionalFormatting sqref="B48:K58">
    <cfRule type="cellIs" dxfId="5" priority="1" operator="equal">
      <formula>"X"</formula>
    </cfRule>
  </conditionalFormatting>
  <dataValidations count="3">
    <dataValidation type="list" allowBlank="1" sqref="B9:B10" xr:uid="{00000000-0002-0000-0300-000000000000}">
      <formula1>list_Loot</formula1>
    </dataValidation>
    <dataValidation type="list" allowBlank="1" sqref="B15:N15 B35:N35 B33:N33 B31:N31 B29:N29 B27:N27 B25:N25 B23:N23 B21:N21 B19:N19 B17:N17" xr:uid="{00000000-0002-0000-0300-000002000000}">
      <formula1>list_Prefab</formula1>
    </dataValidation>
    <dataValidation type="list" sqref="B46" xr:uid="{00000000-0002-0000-0300-00000D000000}">
      <formula1>$A$70:$A$70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79"/>
  <sheetViews>
    <sheetView workbookViewId="0">
      <pane xSplit="1" ySplit="14" topLeftCell="B24" activePane="bottomRight" state="frozen"/>
      <selection pane="topRight" activeCell="B1" sqref="B1"/>
      <selection pane="bottomLeft" activeCell="A15" sqref="A15"/>
      <selection pane="bottomRight"/>
    </sheetView>
  </sheetViews>
  <sheetFormatPr defaultRowHeight="14.4" x14ac:dyDescent="0.3"/>
  <cols>
    <col min="1" max="1" width="16" customWidth="1"/>
    <col min="2" max="11" width="14" customWidth="1"/>
  </cols>
  <sheetData>
    <row r="1" spans="1:4" x14ac:dyDescent="0.3">
      <c r="A1" s="1" t="s">
        <v>70</v>
      </c>
      <c r="B1" t="s">
        <v>29</v>
      </c>
    </row>
    <row r="2" spans="1:4" x14ac:dyDescent="0.3">
      <c r="A2" s="1" t="s">
        <v>3</v>
      </c>
      <c r="B2" t="s">
        <v>140</v>
      </c>
    </row>
    <row r="3" spans="1:4" x14ac:dyDescent="0.3">
      <c r="A3" s="1" t="s">
        <v>4</v>
      </c>
      <c r="B3" t="str">
        <f>IF($B$2="","NEW","Live")</f>
        <v>Live</v>
      </c>
    </row>
    <row r="4" spans="1:4" x14ac:dyDescent="0.3">
      <c r="A4" s="1" t="s">
        <v>72</v>
      </c>
    </row>
    <row r="5" spans="1:4" x14ac:dyDescent="0.3">
      <c r="A5" s="4" t="s">
        <v>73</v>
      </c>
      <c r="B5">
        <v>5</v>
      </c>
    </row>
    <row r="6" spans="1:4" x14ac:dyDescent="0.3">
      <c r="A6" s="4" t="s">
        <v>74</v>
      </c>
      <c r="B6">
        <v>6</v>
      </c>
    </row>
    <row r="7" spans="1:4" x14ac:dyDescent="0.3">
      <c r="A7" s="4" t="s">
        <v>75</v>
      </c>
      <c r="B7">
        <v>10</v>
      </c>
    </row>
    <row r="8" spans="1:4" x14ac:dyDescent="0.3">
      <c r="A8" s="4" t="s">
        <v>76</v>
      </c>
      <c r="B8">
        <v>5</v>
      </c>
    </row>
    <row r="9" spans="1:4" x14ac:dyDescent="0.3">
      <c r="A9" s="4" t="s">
        <v>77</v>
      </c>
      <c r="B9" t="s">
        <v>27</v>
      </c>
    </row>
    <row r="10" spans="1:4" x14ac:dyDescent="0.3">
      <c r="A10" s="4" t="s">
        <v>78</v>
      </c>
      <c r="B10" t="s">
        <v>30</v>
      </c>
    </row>
    <row r="11" spans="1:4" x14ac:dyDescent="0.3">
      <c r="A11" s="4" t="s">
        <v>79</v>
      </c>
      <c r="B11" t="s">
        <v>80</v>
      </c>
    </row>
    <row r="13" spans="1:4" x14ac:dyDescent="0.3">
      <c r="A13" s="1" t="s">
        <v>81</v>
      </c>
    </row>
    <row r="14" spans="1:4" x14ac:dyDescent="0.3">
      <c r="A14" s="4" t="s">
        <v>82</v>
      </c>
      <c r="B14" s="4" t="s">
        <v>83</v>
      </c>
      <c r="C14" s="4" t="s">
        <v>84</v>
      </c>
      <c r="D14" s="4" t="s">
        <v>85</v>
      </c>
    </row>
    <row r="15" spans="1:4" x14ac:dyDescent="0.3">
      <c r="A15" s="1" t="s">
        <v>95</v>
      </c>
      <c r="B15" t="s">
        <v>64</v>
      </c>
      <c r="C15" t="s">
        <v>64</v>
      </c>
      <c r="D15" t="s">
        <v>64</v>
      </c>
    </row>
    <row r="16" spans="1:4" x14ac:dyDescent="0.3">
      <c r="A16" s="4" t="s">
        <v>96</v>
      </c>
      <c r="B16" t="s">
        <v>141</v>
      </c>
      <c r="C16" t="s">
        <v>100</v>
      </c>
      <c r="D16" t="s">
        <v>142</v>
      </c>
    </row>
    <row r="17" spans="1:3" x14ac:dyDescent="0.3">
      <c r="A17" s="1">
        <v>2</v>
      </c>
      <c r="B17" t="s">
        <v>31</v>
      </c>
      <c r="C17" t="s">
        <v>31</v>
      </c>
    </row>
    <row r="18" spans="1:3" x14ac:dyDescent="0.3">
      <c r="A18" s="4" t="s">
        <v>96</v>
      </c>
      <c r="B18" t="s">
        <v>100</v>
      </c>
      <c r="C18" t="s">
        <v>142</v>
      </c>
    </row>
    <row r="19" spans="1:3" x14ac:dyDescent="0.3">
      <c r="A19" s="1">
        <v>3</v>
      </c>
      <c r="B19" t="s">
        <v>64</v>
      </c>
    </row>
    <row r="20" spans="1:3" x14ac:dyDescent="0.3">
      <c r="A20" s="4" t="s">
        <v>96</v>
      </c>
      <c r="B20" t="s">
        <v>143</v>
      </c>
    </row>
    <row r="21" spans="1:3" x14ac:dyDescent="0.3">
      <c r="A21" s="1">
        <v>5</v>
      </c>
      <c r="B21" t="s">
        <v>64</v>
      </c>
      <c r="C21" t="s">
        <v>64</v>
      </c>
    </row>
    <row r="22" spans="1:3" x14ac:dyDescent="0.3">
      <c r="A22" s="4" t="s">
        <v>96</v>
      </c>
      <c r="B22" t="s">
        <v>143</v>
      </c>
      <c r="C22" t="s">
        <v>142</v>
      </c>
    </row>
    <row r="23" spans="1:3" x14ac:dyDescent="0.3">
      <c r="A23" s="1">
        <v>6</v>
      </c>
      <c r="B23" t="s">
        <v>64</v>
      </c>
      <c r="C23" t="s">
        <v>64</v>
      </c>
    </row>
    <row r="24" spans="1:3" x14ac:dyDescent="0.3">
      <c r="A24" s="4" t="s">
        <v>96</v>
      </c>
      <c r="B24" t="s">
        <v>143</v>
      </c>
      <c r="C24" t="s">
        <v>142</v>
      </c>
    </row>
    <row r="25" spans="1:3" x14ac:dyDescent="0.3">
      <c r="A25" s="1">
        <v>8</v>
      </c>
      <c r="B25" t="s">
        <v>64</v>
      </c>
      <c r="C25" t="s">
        <v>64</v>
      </c>
    </row>
    <row r="26" spans="1:3" x14ac:dyDescent="0.3">
      <c r="A26" s="4" t="s">
        <v>96</v>
      </c>
      <c r="B26" t="s">
        <v>143</v>
      </c>
      <c r="C26" t="s">
        <v>142</v>
      </c>
    </row>
    <row r="27" spans="1:3" x14ac:dyDescent="0.3">
      <c r="A27" s="1">
        <v>9</v>
      </c>
      <c r="B27" t="s">
        <v>64</v>
      </c>
      <c r="C27" t="s">
        <v>64</v>
      </c>
    </row>
    <row r="28" spans="1:3" x14ac:dyDescent="0.3">
      <c r="A28" s="4" t="s">
        <v>96</v>
      </c>
      <c r="B28" t="s">
        <v>143</v>
      </c>
      <c r="C28" t="s">
        <v>142</v>
      </c>
    </row>
    <row r="29" spans="1:3" x14ac:dyDescent="0.3">
      <c r="A29" s="5"/>
    </row>
    <row r="30" spans="1:3" x14ac:dyDescent="0.3">
      <c r="A30" s="6" t="s">
        <v>96</v>
      </c>
    </row>
    <row r="31" spans="1:3" x14ac:dyDescent="0.3">
      <c r="A31" s="5"/>
    </row>
    <row r="32" spans="1:3" x14ac:dyDescent="0.3">
      <c r="A32" s="6" t="s">
        <v>96</v>
      </c>
    </row>
    <row r="33" spans="1:7" x14ac:dyDescent="0.3">
      <c r="A33" s="5"/>
    </row>
    <row r="34" spans="1:7" x14ac:dyDescent="0.3">
      <c r="A34" s="6" t="s">
        <v>96</v>
      </c>
    </row>
    <row r="35" spans="1:7" x14ac:dyDescent="0.3">
      <c r="A35" s="5"/>
    </row>
    <row r="36" spans="1:7" x14ac:dyDescent="0.3">
      <c r="A36" s="6" t="s">
        <v>96</v>
      </c>
    </row>
    <row r="38" spans="1:7" x14ac:dyDescent="0.3">
      <c r="A38" s="1" t="s">
        <v>109</v>
      </c>
    </row>
    <row r="39" spans="1:7" x14ac:dyDescent="0.3">
      <c r="B39" s="4" t="s">
        <v>110</v>
      </c>
      <c r="C39" s="4" t="s">
        <v>111</v>
      </c>
      <c r="D39" s="4" t="s">
        <v>112</v>
      </c>
      <c r="E39" s="4" t="s">
        <v>113</v>
      </c>
      <c r="F39" s="4" t="s">
        <v>114</v>
      </c>
      <c r="G39" s="4" t="s">
        <v>144</v>
      </c>
    </row>
    <row r="40" spans="1:7" x14ac:dyDescent="0.3">
      <c r="A40" s="1" t="s">
        <v>115</v>
      </c>
      <c r="B40" t="s">
        <v>145</v>
      </c>
      <c r="C40" t="s">
        <v>146</v>
      </c>
      <c r="D40" t="s">
        <v>117</v>
      </c>
      <c r="E40" t="s">
        <v>147</v>
      </c>
    </row>
    <row r="42" spans="1:7" x14ac:dyDescent="0.3">
      <c r="A42" s="1" t="s">
        <v>119</v>
      </c>
    </row>
    <row r="43" spans="1:7" x14ac:dyDescent="0.3">
      <c r="A43" s="4" t="s">
        <v>120</v>
      </c>
      <c r="B43" s="4" t="s">
        <v>121</v>
      </c>
      <c r="C43" s="4" t="s">
        <v>82</v>
      </c>
      <c r="D43" s="4" t="s">
        <v>122</v>
      </c>
    </row>
    <row r="44" spans="1:7" x14ac:dyDescent="0.3">
      <c r="A44">
        <v>3</v>
      </c>
      <c r="B44">
        <v>5</v>
      </c>
      <c r="C44">
        <v>0</v>
      </c>
      <c r="D44" t="s">
        <v>148</v>
      </c>
    </row>
    <row r="45" spans="1:7" x14ac:dyDescent="0.3">
      <c r="A45">
        <v>1</v>
      </c>
      <c r="B45">
        <v>6</v>
      </c>
      <c r="C45">
        <v>0</v>
      </c>
      <c r="D45" t="s">
        <v>148</v>
      </c>
    </row>
    <row r="46" spans="1:7" x14ac:dyDescent="0.3">
      <c r="A46">
        <v>5</v>
      </c>
      <c r="B46">
        <v>6</v>
      </c>
      <c r="C46">
        <v>0</v>
      </c>
      <c r="D46" t="s">
        <v>149</v>
      </c>
    </row>
    <row r="48" spans="1:7" x14ac:dyDescent="0.3">
      <c r="A48" s="1" t="s">
        <v>123</v>
      </c>
    </row>
    <row r="49" spans="1:11" x14ac:dyDescent="0.3">
      <c r="A49" s="1" t="s">
        <v>124</v>
      </c>
      <c r="B49" t="s">
        <v>95</v>
      </c>
      <c r="C49" s="7" t="s">
        <v>125</v>
      </c>
      <c r="D49" s="8">
        <f>INDEX($B$73:$B$79,MATCH($B$49,$A$73:$A$79,0))</f>
        <v>15</v>
      </c>
      <c r="E49" s="7" t="s">
        <v>126</v>
      </c>
      <c r="F49" s="8">
        <f>INDEX($C$73:$C$79,MATCH($B$49,$A$73:$A$79,0))</f>
        <v>16</v>
      </c>
    </row>
    <row r="51" spans="1:11" x14ac:dyDescent="0.3">
      <c r="A51" s="9"/>
      <c r="B51" s="10">
        <v>1</v>
      </c>
      <c r="C51" s="10">
        <v>2</v>
      </c>
      <c r="D51" s="10">
        <v>3</v>
      </c>
      <c r="E51" s="10">
        <v>4</v>
      </c>
      <c r="F51" s="10">
        <v>5</v>
      </c>
      <c r="G51" s="10">
        <v>6</v>
      </c>
      <c r="H51" s="10">
        <v>7</v>
      </c>
      <c r="I51" s="10">
        <v>8</v>
      </c>
      <c r="J51" s="10">
        <v>9</v>
      </c>
      <c r="K51" s="10">
        <v>10</v>
      </c>
    </row>
    <row r="52" spans="1:11" x14ac:dyDescent="0.3">
      <c r="A52" s="11">
        <v>10</v>
      </c>
      <c r="B52" s="12" t="str">
        <f ca="1">IF(OR(1&gt;$B$5,10&gt;$B$6),"X",IF(IFERROR(INDEX(OFFSET($B$15,$D$49-15,0,1,3),MATCH(1&amp;","&amp;10,OFFSET($B$15,$F$49-15,0,1,3),0)),"")&lt;&gt;"",IFERROR(INDEX(OFFSET($B$15,$D$49-15,0,1,3),MATCH(1&amp;","&amp;10,OFFSET($B$15,$F$49-15,0,1,3),0)),""),IF($B$49="Start",IFERROR(INDEX($B$39:$G$39,MATCH(1&amp;","&amp;10,$B$40:$G$40,0)),""),"")))</f>
        <v>X</v>
      </c>
      <c r="C52" s="12" t="str">
        <f ca="1">IF(OR(2&gt;$B$5,10&gt;$B$6),"X",IF(IFERROR(INDEX(OFFSET($B$15,$D$49-15,0,1,3),MATCH(2&amp;","&amp;10,OFFSET($B$15,$F$49-15,0,1,3),0)),"")&lt;&gt;"",IFERROR(INDEX(OFFSET($B$15,$D$49-15,0,1,3),MATCH(2&amp;","&amp;10,OFFSET($B$15,$F$49-15,0,1,3),0)),""),IF($B$49="Start",IFERROR(INDEX($B$39:$G$39,MATCH(2&amp;","&amp;10,$B$40:$G$40,0)),""),"")))</f>
        <v>X</v>
      </c>
      <c r="D52" s="12" t="str">
        <f ca="1">IF(OR(3&gt;$B$5,10&gt;$B$6),"X",IF(IFERROR(INDEX(OFFSET($B$15,$D$49-15,0,1,3),MATCH(3&amp;","&amp;10,OFFSET($B$15,$F$49-15,0,1,3),0)),"")&lt;&gt;"",IFERROR(INDEX(OFFSET($B$15,$D$49-15,0,1,3),MATCH(3&amp;","&amp;10,OFFSET($B$15,$F$49-15,0,1,3),0)),""),IF($B$49="Start",IFERROR(INDEX($B$39:$G$39,MATCH(3&amp;","&amp;10,$B$40:$G$40,0)),""),"")))</f>
        <v>X</v>
      </c>
      <c r="E52" s="12" t="str">
        <f ca="1">IF(OR(4&gt;$B$5,10&gt;$B$6),"X",IF(IFERROR(INDEX(OFFSET($B$15,$D$49-15,0,1,3),MATCH(4&amp;","&amp;10,OFFSET($B$15,$F$49-15,0,1,3),0)),"")&lt;&gt;"",IFERROR(INDEX(OFFSET($B$15,$D$49-15,0,1,3),MATCH(4&amp;","&amp;10,OFFSET($B$15,$F$49-15,0,1,3),0)),""),IF($B$49="Start",IFERROR(INDEX($B$39:$G$39,MATCH(4&amp;","&amp;10,$B$40:$G$40,0)),""),"")))</f>
        <v>X</v>
      </c>
      <c r="F52" s="12" t="str">
        <f ca="1">IF(OR(5&gt;$B$5,10&gt;$B$6),"X",IF(IFERROR(INDEX(OFFSET($B$15,$D$49-15,0,1,3),MATCH(5&amp;","&amp;10,OFFSET($B$15,$F$49-15,0,1,3),0)),"")&lt;&gt;"",IFERROR(INDEX(OFFSET($B$15,$D$49-15,0,1,3),MATCH(5&amp;","&amp;10,OFFSET($B$15,$F$49-15,0,1,3),0)),""),IF($B$49="Start",IFERROR(INDEX($B$39:$G$39,MATCH(5&amp;","&amp;10,$B$40:$G$40,0)),""),"")))</f>
        <v>X</v>
      </c>
      <c r="G52" s="12" t="str">
        <f ca="1">IF(OR(6&gt;$B$5,10&gt;$B$6),"X",IF(IFERROR(INDEX(OFFSET($B$15,$D$49-15,0,1,3),MATCH(6&amp;","&amp;10,OFFSET($B$15,$F$49-15,0,1,3),0)),"")&lt;&gt;"",IFERROR(INDEX(OFFSET($B$15,$D$49-15,0,1,3),MATCH(6&amp;","&amp;10,OFFSET($B$15,$F$49-15,0,1,3),0)),""),IF($B$49="Start",IFERROR(INDEX($B$39:$G$39,MATCH(6&amp;","&amp;10,$B$40:$G$40,0)),""),"")))</f>
        <v>X</v>
      </c>
      <c r="H52" s="12" t="str">
        <f ca="1">IF(OR(7&gt;$B$5,10&gt;$B$6),"X",IF(IFERROR(INDEX(OFFSET($B$15,$D$49-15,0,1,3),MATCH(7&amp;","&amp;10,OFFSET($B$15,$F$49-15,0,1,3),0)),"")&lt;&gt;"",IFERROR(INDEX(OFFSET($B$15,$D$49-15,0,1,3),MATCH(7&amp;","&amp;10,OFFSET($B$15,$F$49-15,0,1,3),0)),""),IF($B$49="Start",IFERROR(INDEX($B$39:$G$39,MATCH(7&amp;","&amp;10,$B$40:$G$40,0)),""),"")))</f>
        <v>X</v>
      </c>
      <c r="I52" s="12" t="str">
        <f ca="1">IF(OR(8&gt;$B$5,10&gt;$B$6),"X",IF(IFERROR(INDEX(OFFSET($B$15,$D$49-15,0,1,3),MATCH(8&amp;","&amp;10,OFFSET($B$15,$F$49-15,0,1,3),0)),"")&lt;&gt;"",IFERROR(INDEX(OFFSET($B$15,$D$49-15,0,1,3),MATCH(8&amp;","&amp;10,OFFSET($B$15,$F$49-15,0,1,3),0)),""),IF($B$49="Start",IFERROR(INDEX($B$39:$G$39,MATCH(8&amp;","&amp;10,$B$40:$G$40,0)),""),"")))</f>
        <v>X</v>
      </c>
      <c r="J52" s="12" t="str">
        <f ca="1">IF(OR(9&gt;$B$5,10&gt;$B$6),"X",IF(IFERROR(INDEX(OFFSET($B$15,$D$49-15,0,1,3),MATCH(9&amp;","&amp;10,OFFSET($B$15,$F$49-15,0,1,3),0)),"")&lt;&gt;"",IFERROR(INDEX(OFFSET($B$15,$D$49-15,0,1,3),MATCH(9&amp;","&amp;10,OFFSET($B$15,$F$49-15,0,1,3),0)),""),IF($B$49="Start",IFERROR(INDEX($B$39:$G$39,MATCH(9&amp;","&amp;10,$B$40:$G$40,0)),""),"")))</f>
        <v>X</v>
      </c>
      <c r="K52" s="12" t="str">
        <f ca="1">IF(OR(10&gt;$B$5,10&gt;$B$6),"X",IF(IFERROR(INDEX(OFFSET($B$15,$D$49-15,0,1,3),MATCH(10&amp;","&amp;10,OFFSET($B$15,$F$49-15,0,1,3),0)),"")&lt;&gt;"",IFERROR(INDEX(OFFSET($B$15,$D$49-15,0,1,3),MATCH(10&amp;","&amp;10,OFFSET($B$15,$F$49-15,0,1,3),0)),""),IF($B$49="Start",IFERROR(INDEX($B$39:$G$39,MATCH(10&amp;","&amp;10,$B$40:$G$40,0)),""),"")))</f>
        <v>X</v>
      </c>
    </row>
    <row r="53" spans="1:11" x14ac:dyDescent="0.3">
      <c r="A53" s="11">
        <v>9</v>
      </c>
      <c r="B53" s="12" t="str">
        <f ca="1">IF(OR(1&gt;$B$5,9&gt;$B$6),"X",IF(IFERROR(INDEX(OFFSET($B$15,$D$49-15,0,1,3),MATCH(1&amp;","&amp;9,OFFSET($B$15,$F$49-15,0,1,3),0)),"")&lt;&gt;"",IFERROR(INDEX(OFFSET($B$15,$D$49-15,0,1,3),MATCH(1&amp;","&amp;9,OFFSET($B$15,$F$49-15,0,1,3),0)),""),IF($B$49="Start",IFERROR(INDEX($B$39:$G$39,MATCH(1&amp;","&amp;9,$B$40:$G$40,0)),""),"")))</f>
        <v>X</v>
      </c>
      <c r="C53" s="12" t="str">
        <f ca="1">IF(OR(2&gt;$B$5,9&gt;$B$6),"X",IF(IFERROR(INDEX(OFFSET($B$15,$D$49-15,0,1,3),MATCH(2&amp;","&amp;9,OFFSET($B$15,$F$49-15,0,1,3),0)),"")&lt;&gt;"",IFERROR(INDEX(OFFSET($B$15,$D$49-15,0,1,3),MATCH(2&amp;","&amp;9,OFFSET($B$15,$F$49-15,0,1,3),0)),""),IF($B$49="Start",IFERROR(INDEX($B$39:$G$39,MATCH(2&amp;","&amp;9,$B$40:$G$40,0)),""),"")))</f>
        <v>X</v>
      </c>
      <c r="D53" s="12" t="str">
        <f ca="1">IF(OR(3&gt;$B$5,9&gt;$B$6),"X",IF(IFERROR(INDEX(OFFSET($B$15,$D$49-15,0,1,3),MATCH(3&amp;","&amp;9,OFFSET($B$15,$F$49-15,0,1,3),0)),"")&lt;&gt;"",IFERROR(INDEX(OFFSET($B$15,$D$49-15,0,1,3),MATCH(3&amp;","&amp;9,OFFSET($B$15,$F$49-15,0,1,3),0)),""),IF($B$49="Start",IFERROR(INDEX($B$39:$G$39,MATCH(3&amp;","&amp;9,$B$40:$G$40,0)),""),"")))</f>
        <v>X</v>
      </c>
      <c r="E53" s="12" t="str">
        <f ca="1">IF(OR(4&gt;$B$5,9&gt;$B$6),"X",IF(IFERROR(INDEX(OFFSET($B$15,$D$49-15,0,1,3),MATCH(4&amp;","&amp;9,OFFSET($B$15,$F$49-15,0,1,3),0)),"")&lt;&gt;"",IFERROR(INDEX(OFFSET($B$15,$D$49-15,0,1,3),MATCH(4&amp;","&amp;9,OFFSET($B$15,$F$49-15,0,1,3),0)),""),IF($B$49="Start",IFERROR(INDEX($B$39:$G$39,MATCH(4&amp;","&amp;9,$B$40:$G$40,0)),""),"")))</f>
        <v>X</v>
      </c>
      <c r="F53" s="12" t="str">
        <f ca="1">IF(OR(5&gt;$B$5,9&gt;$B$6),"X",IF(IFERROR(INDEX(OFFSET($B$15,$D$49-15,0,1,3),MATCH(5&amp;","&amp;9,OFFSET($B$15,$F$49-15,0,1,3),0)),"")&lt;&gt;"",IFERROR(INDEX(OFFSET($B$15,$D$49-15,0,1,3),MATCH(5&amp;","&amp;9,OFFSET($B$15,$F$49-15,0,1,3),0)),""),IF($B$49="Start",IFERROR(INDEX($B$39:$G$39,MATCH(5&amp;","&amp;9,$B$40:$G$40,0)),""),"")))</f>
        <v>X</v>
      </c>
      <c r="G53" s="12" t="str">
        <f ca="1">IF(OR(6&gt;$B$5,9&gt;$B$6),"X",IF(IFERROR(INDEX(OFFSET($B$15,$D$49-15,0,1,3),MATCH(6&amp;","&amp;9,OFFSET($B$15,$F$49-15,0,1,3),0)),"")&lt;&gt;"",IFERROR(INDEX(OFFSET($B$15,$D$49-15,0,1,3),MATCH(6&amp;","&amp;9,OFFSET($B$15,$F$49-15,0,1,3),0)),""),IF($B$49="Start",IFERROR(INDEX($B$39:$G$39,MATCH(6&amp;","&amp;9,$B$40:$G$40,0)),""),"")))</f>
        <v>X</v>
      </c>
      <c r="H53" s="12" t="str">
        <f ca="1">IF(OR(7&gt;$B$5,9&gt;$B$6),"X",IF(IFERROR(INDEX(OFFSET($B$15,$D$49-15,0,1,3),MATCH(7&amp;","&amp;9,OFFSET($B$15,$F$49-15,0,1,3),0)),"")&lt;&gt;"",IFERROR(INDEX(OFFSET($B$15,$D$49-15,0,1,3),MATCH(7&amp;","&amp;9,OFFSET($B$15,$F$49-15,0,1,3),0)),""),IF($B$49="Start",IFERROR(INDEX($B$39:$G$39,MATCH(7&amp;","&amp;9,$B$40:$G$40,0)),""),"")))</f>
        <v>X</v>
      </c>
      <c r="I53" s="12" t="str">
        <f ca="1">IF(OR(8&gt;$B$5,9&gt;$B$6),"X",IF(IFERROR(INDEX(OFFSET($B$15,$D$49-15,0,1,3),MATCH(8&amp;","&amp;9,OFFSET($B$15,$F$49-15,0,1,3),0)),"")&lt;&gt;"",IFERROR(INDEX(OFFSET($B$15,$D$49-15,0,1,3),MATCH(8&amp;","&amp;9,OFFSET($B$15,$F$49-15,0,1,3),0)),""),IF($B$49="Start",IFERROR(INDEX($B$39:$G$39,MATCH(8&amp;","&amp;9,$B$40:$G$40,0)),""),"")))</f>
        <v>X</v>
      </c>
      <c r="J53" s="12" t="str">
        <f ca="1">IF(OR(9&gt;$B$5,9&gt;$B$6),"X",IF(IFERROR(INDEX(OFFSET($B$15,$D$49-15,0,1,3),MATCH(9&amp;","&amp;9,OFFSET($B$15,$F$49-15,0,1,3),0)),"")&lt;&gt;"",IFERROR(INDEX(OFFSET($B$15,$D$49-15,0,1,3),MATCH(9&amp;","&amp;9,OFFSET($B$15,$F$49-15,0,1,3),0)),""),IF($B$49="Start",IFERROR(INDEX($B$39:$G$39,MATCH(9&amp;","&amp;9,$B$40:$G$40,0)),""),"")))</f>
        <v>X</v>
      </c>
      <c r="K53" s="12" t="str">
        <f ca="1">IF(OR(10&gt;$B$5,9&gt;$B$6),"X",IF(IFERROR(INDEX(OFFSET($B$15,$D$49-15,0,1,3),MATCH(10&amp;","&amp;9,OFFSET($B$15,$F$49-15,0,1,3),0)),"")&lt;&gt;"",IFERROR(INDEX(OFFSET($B$15,$D$49-15,0,1,3),MATCH(10&amp;","&amp;9,OFFSET($B$15,$F$49-15,0,1,3),0)),""),IF($B$49="Start",IFERROR(INDEX($B$39:$G$39,MATCH(10&amp;","&amp;9,$B$40:$G$40,0)),""),"")))</f>
        <v>X</v>
      </c>
    </row>
    <row r="54" spans="1:11" x14ac:dyDescent="0.3">
      <c r="A54" s="11">
        <v>8</v>
      </c>
      <c r="B54" s="12" t="str">
        <f ca="1">IF(OR(1&gt;$B$5,8&gt;$B$6),"X",IF(IFERROR(INDEX(OFFSET($B$15,$D$49-15,0,1,3),MATCH(1&amp;","&amp;8,OFFSET($B$15,$F$49-15,0,1,3),0)),"")&lt;&gt;"",IFERROR(INDEX(OFFSET($B$15,$D$49-15,0,1,3),MATCH(1&amp;","&amp;8,OFFSET($B$15,$F$49-15,0,1,3),0)),""),IF($B$49="Start",IFERROR(INDEX($B$39:$G$39,MATCH(1&amp;","&amp;8,$B$40:$G$40,0)),""),"")))</f>
        <v>X</v>
      </c>
      <c r="C54" s="12" t="str">
        <f ca="1">IF(OR(2&gt;$B$5,8&gt;$B$6),"X",IF(IFERROR(INDEX(OFFSET($B$15,$D$49-15,0,1,3),MATCH(2&amp;","&amp;8,OFFSET($B$15,$F$49-15,0,1,3),0)),"")&lt;&gt;"",IFERROR(INDEX(OFFSET($B$15,$D$49-15,0,1,3),MATCH(2&amp;","&amp;8,OFFSET($B$15,$F$49-15,0,1,3),0)),""),IF($B$49="Start",IFERROR(INDEX($B$39:$G$39,MATCH(2&amp;","&amp;8,$B$40:$G$40,0)),""),"")))</f>
        <v>X</v>
      </c>
      <c r="D54" s="12" t="str">
        <f ca="1">IF(OR(3&gt;$B$5,8&gt;$B$6),"X",IF(IFERROR(INDEX(OFFSET($B$15,$D$49-15,0,1,3),MATCH(3&amp;","&amp;8,OFFSET($B$15,$F$49-15,0,1,3),0)),"")&lt;&gt;"",IFERROR(INDEX(OFFSET($B$15,$D$49-15,0,1,3),MATCH(3&amp;","&amp;8,OFFSET($B$15,$F$49-15,0,1,3),0)),""),IF($B$49="Start",IFERROR(INDEX($B$39:$G$39,MATCH(3&amp;","&amp;8,$B$40:$G$40,0)),""),"")))</f>
        <v>X</v>
      </c>
      <c r="E54" s="12" t="str">
        <f ca="1">IF(OR(4&gt;$B$5,8&gt;$B$6),"X",IF(IFERROR(INDEX(OFFSET($B$15,$D$49-15,0,1,3),MATCH(4&amp;","&amp;8,OFFSET($B$15,$F$49-15,0,1,3),0)),"")&lt;&gt;"",IFERROR(INDEX(OFFSET($B$15,$D$49-15,0,1,3),MATCH(4&amp;","&amp;8,OFFSET($B$15,$F$49-15,0,1,3),0)),""),IF($B$49="Start",IFERROR(INDEX($B$39:$G$39,MATCH(4&amp;","&amp;8,$B$40:$G$40,0)),""),"")))</f>
        <v>X</v>
      </c>
      <c r="F54" s="12" t="str">
        <f ca="1">IF(OR(5&gt;$B$5,8&gt;$B$6),"X",IF(IFERROR(INDEX(OFFSET($B$15,$D$49-15,0,1,3),MATCH(5&amp;","&amp;8,OFFSET($B$15,$F$49-15,0,1,3),0)),"")&lt;&gt;"",IFERROR(INDEX(OFFSET($B$15,$D$49-15,0,1,3),MATCH(5&amp;","&amp;8,OFFSET($B$15,$F$49-15,0,1,3),0)),""),IF($B$49="Start",IFERROR(INDEX($B$39:$G$39,MATCH(5&amp;","&amp;8,$B$40:$G$40,0)),""),"")))</f>
        <v>X</v>
      </c>
      <c r="G54" s="12" t="str">
        <f ca="1">IF(OR(6&gt;$B$5,8&gt;$B$6),"X",IF(IFERROR(INDEX(OFFSET($B$15,$D$49-15,0,1,3),MATCH(6&amp;","&amp;8,OFFSET($B$15,$F$49-15,0,1,3),0)),"")&lt;&gt;"",IFERROR(INDEX(OFFSET($B$15,$D$49-15,0,1,3),MATCH(6&amp;","&amp;8,OFFSET($B$15,$F$49-15,0,1,3),0)),""),IF($B$49="Start",IFERROR(INDEX($B$39:$G$39,MATCH(6&amp;","&amp;8,$B$40:$G$40,0)),""),"")))</f>
        <v>X</v>
      </c>
      <c r="H54" s="12" t="str">
        <f ca="1">IF(OR(7&gt;$B$5,8&gt;$B$6),"X",IF(IFERROR(INDEX(OFFSET($B$15,$D$49-15,0,1,3),MATCH(7&amp;","&amp;8,OFFSET($B$15,$F$49-15,0,1,3),0)),"")&lt;&gt;"",IFERROR(INDEX(OFFSET($B$15,$D$49-15,0,1,3),MATCH(7&amp;","&amp;8,OFFSET($B$15,$F$49-15,0,1,3),0)),""),IF($B$49="Start",IFERROR(INDEX($B$39:$G$39,MATCH(7&amp;","&amp;8,$B$40:$G$40,0)),""),"")))</f>
        <v>X</v>
      </c>
      <c r="I54" s="12" t="str">
        <f ca="1">IF(OR(8&gt;$B$5,8&gt;$B$6),"X",IF(IFERROR(INDEX(OFFSET($B$15,$D$49-15,0,1,3),MATCH(8&amp;","&amp;8,OFFSET($B$15,$F$49-15,0,1,3),0)),"")&lt;&gt;"",IFERROR(INDEX(OFFSET($B$15,$D$49-15,0,1,3),MATCH(8&amp;","&amp;8,OFFSET($B$15,$F$49-15,0,1,3),0)),""),IF($B$49="Start",IFERROR(INDEX($B$39:$G$39,MATCH(8&amp;","&amp;8,$B$40:$G$40,0)),""),"")))</f>
        <v>X</v>
      </c>
      <c r="J54" s="12" t="str">
        <f ca="1">IF(OR(9&gt;$B$5,8&gt;$B$6),"X",IF(IFERROR(INDEX(OFFSET($B$15,$D$49-15,0,1,3),MATCH(9&amp;","&amp;8,OFFSET($B$15,$F$49-15,0,1,3),0)),"")&lt;&gt;"",IFERROR(INDEX(OFFSET($B$15,$D$49-15,0,1,3),MATCH(9&amp;","&amp;8,OFFSET($B$15,$F$49-15,0,1,3),0)),""),IF($B$49="Start",IFERROR(INDEX($B$39:$G$39,MATCH(9&amp;","&amp;8,$B$40:$G$40,0)),""),"")))</f>
        <v>X</v>
      </c>
      <c r="K54" s="12" t="str">
        <f ca="1">IF(OR(10&gt;$B$5,8&gt;$B$6),"X",IF(IFERROR(INDEX(OFFSET($B$15,$D$49-15,0,1,3),MATCH(10&amp;","&amp;8,OFFSET($B$15,$F$49-15,0,1,3),0)),"")&lt;&gt;"",IFERROR(INDEX(OFFSET($B$15,$D$49-15,0,1,3),MATCH(10&amp;","&amp;8,OFFSET($B$15,$F$49-15,0,1,3),0)),""),IF($B$49="Start",IFERROR(INDEX($B$39:$G$39,MATCH(10&amp;","&amp;8,$B$40:$G$40,0)),""),"")))</f>
        <v>X</v>
      </c>
    </row>
    <row r="55" spans="1:11" x14ac:dyDescent="0.3">
      <c r="A55" s="11">
        <v>7</v>
      </c>
      <c r="B55" s="12" t="str">
        <f ca="1">IF(OR(1&gt;$B$5,7&gt;$B$6),"X",IF(IFERROR(INDEX(OFFSET($B$15,$D$49-15,0,1,3),MATCH(1&amp;","&amp;7,OFFSET($B$15,$F$49-15,0,1,3),0)),"")&lt;&gt;"",IFERROR(INDEX(OFFSET($B$15,$D$49-15,0,1,3),MATCH(1&amp;","&amp;7,OFFSET($B$15,$F$49-15,0,1,3),0)),""),IF($B$49="Start",IFERROR(INDEX($B$39:$G$39,MATCH(1&amp;","&amp;7,$B$40:$G$40,0)),""),"")))</f>
        <v>X</v>
      </c>
      <c r="C55" s="12" t="str">
        <f ca="1">IF(OR(2&gt;$B$5,7&gt;$B$6),"X",IF(IFERROR(INDEX(OFFSET($B$15,$D$49-15,0,1,3),MATCH(2&amp;","&amp;7,OFFSET($B$15,$F$49-15,0,1,3),0)),"")&lt;&gt;"",IFERROR(INDEX(OFFSET($B$15,$D$49-15,0,1,3),MATCH(2&amp;","&amp;7,OFFSET($B$15,$F$49-15,0,1,3),0)),""),IF($B$49="Start",IFERROR(INDEX($B$39:$G$39,MATCH(2&amp;","&amp;7,$B$40:$G$40,0)),""),"")))</f>
        <v>X</v>
      </c>
      <c r="D55" s="12" t="str">
        <f ca="1">IF(OR(3&gt;$B$5,7&gt;$B$6),"X",IF(IFERROR(INDEX(OFFSET($B$15,$D$49-15,0,1,3),MATCH(3&amp;","&amp;7,OFFSET($B$15,$F$49-15,0,1,3),0)),"")&lt;&gt;"",IFERROR(INDEX(OFFSET($B$15,$D$49-15,0,1,3),MATCH(3&amp;","&amp;7,OFFSET($B$15,$F$49-15,0,1,3),0)),""),IF($B$49="Start",IFERROR(INDEX($B$39:$G$39,MATCH(3&amp;","&amp;7,$B$40:$G$40,0)),""),"")))</f>
        <v>X</v>
      </c>
      <c r="E55" s="12" t="str">
        <f ca="1">IF(OR(4&gt;$B$5,7&gt;$B$6),"X",IF(IFERROR(INDEX(OFFSET($B$15,$D$49-15,0,1,3),MATCH(4&amp;","&amp;7,OFFSET($B$15,$F$49-15,0,1,3),0)),"")&lt;&gt;"",IFERROR(INDEX(OFFSET($B$15,$D$49-15,0,1,3),MATCH(4&amp;","&amp;7,OFFSET($B$15,$F$49-15,0,1,3),0)),""),IF($B$49="Start",IFERROR(INDEX($B$39:$G$39,MATCH(4&amp;","&amp;7,$B$40:$G$40,0)),""),"")))</f>
        <v>X</v>
      </c>
      <c r="F55" s="12" t="str">
        <f ca="1">IF(OR(5&gt;$B$5,7&gt;$B$6),"X",IF(IFERROR(INDEX(OFFSET($B$15,$D$49-15,0,1,3),MATCH(5&amp;","&amp;7,OFFSET($B$15,$F$49-15,0,1,3),0)),"")&lt;&gt;"",IFERROR(INDEX(OFFSET($B$15,$D$49-15,0,1,3),MATCH(5&amp;","&amp;7,OFFSET($B$15,$F$49-15,0,1,3),0)),""),IF($B$49="Start",IFERROR(INDEX($B$39:$G$39,MATCH(5&amp;","&amp;7,$B$40:$G$40,0)),""),"")))</f>
        <v>X</v>
      </c>
      <c r="G55" s="12" t="str">
        <f ca="1">IF(OR(6&gt;$B$5,7&gt;$B$6),"X",IF(IFERROR(INDEX(OFFSET($B$15,$D$49-15,0,1,3),MATCH(6&amp;","&amp;7,OFFSET($B$15,$F$49-15,0,1,3),0)),"")&lt;&gt;"",IFERROR(INDEX(OFFSET($B$15,$D$49-15,0,1,3),MATCH(6&amp;","&amp;7,OFFSET($B$15,$F$49-15,0,1,3),0)),""),IF($B$49="Start",IFERROR(INDEX($B$39:$G$39,MATCH(6&amp;","&amp;7,$B$40:$G$40,0)),""),"")))</f>
        <v>X</v>
      </c>
      <c r="H55" s="12" t="str">
        <f ca="1">IF(OR(7&gt;$B$5,7&gt;$B$6),"X",IF(IFERROR(INDEX(OFFSET($B$15,$D$49-15,0,1,3),MATCH(7&amp;","&amp;7,OFFSET($B$15,$F$49-15,0,1,3),0)),"")&lt;&gt;"",IFERROR(INDEX(OFFSET($B$15,$D$49-15,0,1,3),MATCH(7&amp;","&amp;7,OFFSET($B$15,$F$49-15,0,1,3),0)),""),IF($B$49="Start",IFERROR(INDEX($B$39:$G$39,MATCH(7&amp;","&amp;7,$B$40:$G$40,0)),""),"")))</f>
        <v>X</v>
      </c>
      <c r="I55" s="12" t="str">
        <f ca="1">IF(OR(8&gt;$B$5,7&gt;$B$6),"X",IF(IFERROR(INDEX(OFFSET($B$15,$D$49-15,0,1,3),MATCH(8&amp;","&amp;7,OFFSET($B$15,$F$49-15,0,1,3),0)),"")&lt;&gt;"",IFERROR(INDEX(OFFSET($B$15,$D$49-15,0,1,3),MATCH(8&amp;","&amp;7,OFFSET($B$15,$F$49-15,0,1,3),0)),""),IF($B$49="Start",IFERROR(INDEX($B$39:$G$39,MATCH(8&amp;","&amp;7,$B$40:$G$40,0)),""),"")))</f>
        <v>X</v>
      </c>
      <c r="J55" s="12" t="str">
        <f ca="1">IF(OR(9&gt;$B$5,7&gt;$B$6),"X",IF(IFERROR(INDEX(OFFSET($B$15,$D$49-15,0,1,3),MATCH(9&amp;","&amp;7,OFFSET($B$15,$F$49-15,0,1,3),0)),"")&lt;&gt;"",IFERROR(INDEX(OFFSET($B$15,$D$49-15,0,1,3),MATCH(9&amp;","&amp;7,OFFSET($B$15,$F$49-15,0,1,3),0)),""),IF($B$49="Start",IFERROR(INDEX($B$39:$G$39,MATCH(9&amp;","&amp;7,$B$40:$G$40,0)),""),"")))</f>
        <v>X</v>
      </c>
      <c r="K55" s="12" t="str">
        <f ca="1">IF(OR(10&gt;$B$5,7&gt;$B$6),"X",IF(IFERROR(INDEX(OFFSET($B$15,$D$49-15,0,1,3),MATCH(10&amp;","&amp;7,OFFSET($B$15,$F$49-15,0,1,3),0)),"")&lt;&gt;"",IFERROR(INDEX(OFFSET($B$15,$D$49-15,0,1,3),MATCH(10&amp;","&amp;7,OFFSET($B$15,$F$49-15,0,1,3),0)),""),IF($B$49="Start",IFERROR(INDEX($B$39:$G$39,MATCH(10&amp;","&amp;7,$B$40:$G$40,0)),""),"")))</f>
        <v>X</v>
      </c>
    </row>
    <row r="56" spans="1:11" x14ac:dyDescent="0.3">
      <c r="A56" s="11">
        <v>6</v>
      </c>
      <c r="B56" s="12" t="str">
        <f ca="1">IF(OR(1&gt;$B$5,6&gt;$B$6),"X",IF(IFERROR(INDEX(OFFSET($B$15,$D$49-15,0,1,3),MATCH(1&amp;","&amp;6,OFFSET($B$15,$F$49-15,0,1,3),0)),"")&lt;&gt;"",IFERROR(INDEX(OFFSET($B$15,$D$49-15,0,1,3),MATCH(1&amp;","&amp;6,OFFSET($B$15,$F$49-15,0,1,3),0)),""),IF($B$49="Start",IFERROR(INDEX($B$39:$G$39,MATCH(1&amp;","&amp;6,$B$40:$G$40,0)),""),"")))</f>
        <v>SkeletonWarrior</v>
      </c>
      <c r="C56" s="12" t="str">
        <f ca="1">IF(OR(2&gt;$B$5,6&gt;$B$6),"X",IF(IFERROR(INDEX(OFFSET($B$15,$D$49-15,0,1,3),MATCH(2&amp;","&amp;6,OFFSET($B$15,$F$49-15,0,1,3),0)),"")&lt;&gt;"",IFERROR(INDEX(OFFSET($B$15,$D$49-15,0,1,3),MATCH(2&amp;","&amp;6,OFFSET($B$15,$F$49-15,0,1,3),0)),""),IF($B$49="Start",IFERROR(INDEX($B$39:$G$39,MATCH(2&amp;","&amp;6,$B$40:$G$40,0)),""),"")))</f>
        <v/>
      </c>
      <c r="D56" s="12" t="str">
        <f ca="1">IF(OR(3&gt;$B$5,6&gt;$B$6),"X",IF(IFERROR(INDEX(OFFSET($B$15,$D$49-15,0,1,3),MATCH(3&amp;","&amp;6,OFFSET($B$15,$F$49-15,0,1,3),0)),"")&lt;&gt;"",IFERROR(INDEX(OFFSET($B$15,$D$49-15,0,1,3),MATCH(3&amp;","&amp;6,OFFSET($B$15,$F$49-15,0,1,3),0)),""),IF($B$49="Start",IFERROR(INDEX($B$39:$G$39,MATCH(3&amp;","&amp;6,$B$40:$G$40,0)),""),"")))</f>
        <v/>
      </c>
      <c r="E56" s="12" t="str">
        <f ca="1">IF(OR(4&gt;$B$5,6&gt;$B$6),"X",IF(IFERROR(INDEX(OFFSET($B$15,$D$49-15,0,1,3),MATCH(4&amp;","&amp;6,OFFSET($B$15,$F$49-15,0,1,3),0)),"")&lt;&gt;"",IFERROR(INDEX(OFFSET($B$15,$D$49-15,0,1,3),MATCH(4&amp;","&amp;6,OFFSET($B$15,$F$49-15,0,1,3),0)),""),IF($B$49="Start",IFERROR(INDEX($B$39:$G$39,MATCH(4&amp;","&amp;6,$B$40:$G$40,0)),""),"")))</f>
        <v/>
      </c>
      <c r="F56" s="12" t="str">
        <f ca="1">IF(OR(5&gt;$B$5,6&gt;$B$6),"X",IF(IFERROR(INDEX(OFFSET($B$15,$D$49-15,0,1,3),MATCH(5&amp;","&amp;6,OFFSET($B$15,$F$49-15,0,1,3),0)),"")&lt;&gt;"",IFERROR(INDEX(OFFSET($B$15,$D$49-15,0,1,3),MATCH(5&amp;","&amp;6,OFFSET($B$15,$F$49-15,0,1,3),0)),""),IF($B$49="Start",IFERROR(INDEX($B$39:$G$39,MATCH(5&amp;","&amp;6,$B$40:$G$40,0)),""),"")))</f>
        <v>SkeletonWarrior</v>
      </c>
      <c r="G56" s="12" t="str">
        <f ca="1">IF(OR(6&gt;$B$5,6&gt;$B$6),"X",IF(IFERROR(INDEX(OFFSET($B$15,$D$49-15,0,1,3),MATCH(6&amp;","&amp;6,OFFSET($B$15,$F$49-15,0,1,3),0)),"")&lt;&gt;"",IFERROR(INDEX(OFFSET($B$15,$D$49-15,0,1,3),MATCH(6&amp;","&amp;6,OFFSET($B$15,$F$49-15,0,1,3),0)),""),IF($B$49="Start",IFERROR(INDEX($B$39:$G$39,MATCH(6&amp;","&amp;6,$B$40:$G$40,0)),""),"")))</f>
        <v>X</v>
      </c>
      <c r="H56" s="12" t="str">
        <f ca="1">IF(OR(7&gt;$B$5,6&gt;$B$6),"X",IF(IFERROR(INDEX(OFFSET($B$15,$D$49-15,0,1,3),MATCH(7&amp;","&amp;6,OFFSET($B$15,$F$49-15,0,1,3),0)),"")&lt;&gt;"",IFERROR(INDEX(OFFSET($B$15,$D$49-15,0,1,3),MATCH(7&amp;","&amp;6,OFFSET($B$15,$F$49-15,0,1,3),0)),""),IF($B$49="Start",IFERROR(INDEX($B$39:$G$39,MATCH(7&amp;","&amp;6,$B$40:$G$40,0)),""),"")))</f>
        <v>X</v>
      </c>
      <c r="I56" s="12" t="str">
        <f ca="1">IF(OR(8&gt;$B$5,6&gt;$B$6),"X",IF(IFERROR(INDEX(OFFSET($B$15,$D$49-15,0,1,3),MATCH(8&amp;","&amp;6,OFFSET($B$15,$F$49-15,0,1,3),0)),"")&lt;&gt;"",IFERROR(INDEX(OFFSET($B$15,$D$49-15,0,1,3),MATCH(8&amp;","&amp;6,OFFSET($B$15,$F$49-15,0,1,3),0)),""),IF($B$49="Start",IFERROR(INDEX($B$39:$G$39,MATCH(8&amp;","&amp;6,$B$40:$G$40,0)),""),"")))</f>
        <v>X</v>
      </c>
      <c r="J56" s="12" t="str">
        <f ca="1">IF(OR(9&gt;$B$5,6&gt;$B$6),"X",IF(IFERROR(INDEX(OFFSET($B$15,$D$49-15,0,1,3),MATCH(9&amp;","&amp;6,OFFSET($B$15,$F$49-15,0,1,3),0)),"")&lt;&gt;"",IFERROR(INDEX(OFFSET($B$15,$D$49-15,0,1,3),MATCH(9&amp;","&amp;6,OFFSET($B$15,$F$49-15,0,1,3),0)),""),IF($B$49="Start",IFERROR(INDEX($B$39:$G$39,MATCH(9&amp;","&amp;6,$B$40:$G$40,0)),""),"")))</f>
        <v>X</v>
      </c>
      <c r="K56" s="12" t="str">
        <f ca="1">IF(OR(10&gt;$B$5,6&gt;$B$6),"X",IF(IFERROR(INDEX(OFFSET($B$15,$D$49-15,0,1,3),MATCH(10&amp;","&amp;6,OFFSET($B$15,$F$49-15,0,1,3),0)),"")&lt;&gt;"",IFERROR(INDEX(OFFSET($B$15,$D$49-15,0,1,3),MATCH(10&amp;","&amp;6,OFFSET($B$15,$F$49-15,0,1,3),0)),""),IF($B$49="Start",IFERROR(INDEX($B$39:$G$39,MATCH(10&amp;","&amp;6,$B$40:$G$40,0)),""),"")))</f>
        <v>X</v>
      </c>
    </row>
    <row r="57" spans="1:11" x14ac:dyDescent="0.3">
      <c r="A57" s="11">
        <v>5</v>
      </c>
      <c r="B57" s="12" t="str">
        <f ca="1">IF(OR(1&gt;$B$5,5&gt;$B$6),"X",IF(IFERROR(INDEX(OFFSET($B$15,$D$49-15,0,1,3),MATCH(1&amp;","&amp;5,OFFSET($B$15,$F$49-15,0,1,3),0)),"")&lt;&gt;"",IFERROR(INDEX(OFFSET($B$15,$D$49-15,0,1,3),MATCH(1&amp;","&amp;5,OFFSET($B$15,$F$49-15,0,1,3),0)),""),IF($B$49="Start",IFERROR(INDEX($B$39:$G$39,MATCH(1&amp;","&amp;5,$B$40:$G$40,0)),""),"")))</f>
        <v/>
      </c>
      <c r="C57" s="12" t="str">
        <f ca="1">IF(OR(2&gt;$B$5,5&gt;$B$6),"X",IF(IFERROR(INDEX(OFFSET($B$15,$D$49-15,0,1,3),MATCH(2&amp;","&amp;5,OFFSET($B$15,$F$49-15,0,1,3),0)),"")&lt;&gt;"",IFERROR(INDEX(OFFSET($B$15,$D$49-15,0,1,3),MATCH(2&amp;","&amp;5,OFFSET($B$15,$F$49-15,0,1,3),0)),""),IF($B$49="Start",IFERROR(INDEX($B$39:$G$39,MATCH(2&amp;","&amp;5,$B$40:$G$40,0)),""),"")))</f>
        <v/>
      </c>
      <c r="D57" s="12" t="str">
        <f ca="1">IF(OR(3&gt;$B$5,5&gt;$B$6),"X",IF(IFERROR(INDEX(OFFSET($B$15,$D$49-15,0,1,3),MATCH(3&amp;","&amp;5,OFFSET($B$15,$F$49-15,0,1,3),0)),"")&lt;&gt;"",IFERROR(INDEX(OFFSET($B$15,$D$49-15,0,1,3),MATCH(3&amp;","&amp;5,OFFSET($B$15,$F$49-15,0,1,3),0)),""),IF($B$49="Start",IFERROR(INDEX($B$39:$G$39,MATCH(3&amp;","&amp;5,$B$40:$G$40,0)),""),"")))</f>
        <v>SkeletonWarrior</v>
      </c>
      <c r="E57" s="12" t="str">
        <f ca="1">IF(OR(4&gt;$B$5,5&gt;$B$6),"X",IF(IFERROR(INDEX(OFFSET($B$15,$D$49-15,0,1,3),MATCH(4&amp;","&amp;5,OFFSET($B$15,$F$49-15,0,1,3),0)),"")&lt;&gt;"",IFERROR(INDEX(OFFSET($B$15,$D$49-15,0,1,3),MATCH(4&amp;","&amp;5,OFFSET($B$15,$F$49-15,0,1,3),0)),""),IF($B$49="Start",IFERROR(INDEX($B$39:$G$39,MATCH(4&amp;","&amp;5,$B$40:$G$40,0)),""),"")))</f>
        <v/>
      </c>
      <c r="F57" s="12" t="str">
        <f ca="1">IF(OR(5&gt;$B$5,5&gt;$B$6),"X",IF(IFERROR(INDEX(OFFSET($B$15,$D$49-15,0,1,3),MATCH(5&amp;","&amp;5,OFFSET($B$15,$F$49-15,0,1,3),0)),"")&lt;&gt;"",IFERROR(INDEX(OFFSET($B$15,$D$49-15,0,1,3),MATCH(5&amp;","&amp;5,OFFSET($B$15,$F$49-15,0,1,3),0)),""),IF($B$49="Start",IFERROR(INDEX($B$39:$G$39,MATCH(5&amp;","&amp;5,$B$40:$G$40,0)),""),"")))</f>
        <v/>
      </c>
      <c r="G57" s="12" t="str">
        <f ca="1">IF(OR(6&gt;$B$5,5&gt;$B$6),"X",IF(IFERROR(INDEX(OFFSET($B$15,$D$49-15,0,1,3),MATCH(6&amp;","&amp;5,OFFSET($B$15,$F$49-15,0,1,3),0)),"")&lt;&gt;"",IFERROR(INDEX(OFFSET($B$15,$D$49-15,0,1,3),MATCH(6&amp;","&amp;5,OFFSET($B$15,$F$49-15,0,1,3),0)),""),IF($B$49="Start",IFERROR(INDEX($B$39:$G$39,MATCH(6&amp;","&amp;5,$B$40:$G$40,0)),""),"")))</f>
        <v>X</v>
      </c>
      <c r="H57" s="12" t="str">
        <f ca="1">IF(OR(7&gt;$B$5,5&gt;$B$6),"X",IF(IFERROR(INDEX(OFFSET($B$15,$D$49-15,0,1,3),MATCH(7&amp;","&amp;5,OFFSET($B$15,$F$49-15,0,1,3),0)),"")&lt;&gt;"",IFERROR(INDEX(OFFSET($B$15,$D$49-15,0,1,3),MATCH(7&amp;","&amp;5,OFFSET($B$15,$F$49-15,0,1,3),0)),""),IF($B$49="Start",IFERROR(INDEX($B$39:$G$39,MATCH(7&amp;","&amp;5,$B$40:$G$40,0)),""),"")))</f>
        <v>X</v>
      </c>
      <c r="I57" s="12" t="str">
        <f ca="1">IF(OR(8&gt;$B$5,5&gt;$B$6),"X",IF(IFERROR(INDEX(OFFSET($B$15,$D$49-15,0,1,3),MATCH(8&amp;","&amp;5,OFFSET($B$15,$F$49-15,0,1,3),0)),"")&lt;&gt;"",IFERROR(INDEX(OFFSET($B$15,$D$49-15,0,1,3),MATCH(8&amp;","&amp;5,OFFSET($B$15,$F$49-15,0,1,3),0)),""),IF($B$49="Start",IFERROR(INDEX($B$39:$G$39,MATCH(8&amp;","&amp;5,$B$40:$G$40,0)),""),"")))</f>
        <v>X</v>
      </c>
      <c r="J57" s="12" t="str">
        <f ca="1">IF(OR(9&gt;$B$5,5&gt;$B$6),"X",IF(IFERROR(INDEX(OFFSET($B$15,$D$49-15,0,1,3),MATCH(9&amp;","&amp;5,OFFSET($B$15,$F$49-15,0,1,3),0)),"")&lt;&gt;"",IFERROR(INDEX(OFFSET($B$15,$D$49-15,0,1,3),MATCH(9&amp;","&amp;5,OFFSET($B$15,$F$49-15,0,1,3),0)),""),IF($B$49="Start",IFERROR(INDEX($B$39:$G$39,MATCH(9&amp;","&amp;5,$B$40:$G$40,0)),""),"")))</f>
        <v>X</v>
      </c>
      <c r="K57" s="12" t="str">
        <f ca="1">IF(OR(10&gt;$B$5,5&gt;$B$6),"X",IF(IFERROR(INDEX(OFFSET($B$15,$D$49-15,0,1,3),MATCH(10&amp;","&amp;5,OFFSET($B$15,$F$49-15,0,1,3),0)),"")&lt;&gt;"",IFERROR(INDEX(OFFSET($B$15,$D$49-15,0,1,3),MATCH(10&amp;","&amp;5,OFFSET($B$15,$F$49-15,0,1,3),0)),""),IF($B$49="Start",IFERROR(INDEX($B$39:$G$39,MATCH(10&amp;","&amp;5,$B$40:$G$40,0)),""),"")))</f>
        <v>X</v>
      </c>
    </row>
    <row r="58" spans="1:11" x14ac:dyDescent="0.3">
      <c r="A58" s="11">
        <v>4</v>
      </c>
      <c r="B58" s="12" t="str">
        <f ca="1">IF(OR(1&gt;$B$5,4&gt;$B$6),"X",IF(IFERROR(INDEX(OFFSET($B$15,$D$49-15,0,1,3),MATCH(1&amp;","&amp;4,OFFSET($B$15,$F$49-15,0,1,3),0)),"")&lt;&gt;"",IFERROR(INDEX(OFFSET($B$15,$D$49-15,0,1,3),MATCH(1&amp;","&amp;4,OFFSET($B$15,$F$49-15,0,1,3),0)),""),IF($B$49="Start",IFERROR(INDEX($B$39:$G$39,MATCH(1&amp;","&amp;4,$B$40:$G$40,0)),""),"")))</f>
        <v/>
      </c>
      <c r="C58" s="12" t="str">
        <f ca="1">IF(OR(2&gt;$B$5,4&gt;$B$6),"X",IF(IFERROR(INDEX(OFFSET($B$15,$D$49-15,0,1,3),MATCH(2&amp;","&amp;4,OFFSET($B$15,$F$49-15,0,1,3),0)),"")&lt;&gt;"",IFERROR(INDEX(OFFSET($B$15,$D$49-15,0,1,3),MATCH(2&amp;","&amp;4,OFFSET($B$15,$F$49-15,0,1,3),0)),""),IF($B$49="Start",IFERROR(INDEX($B$39:$G$39,MATCH(2&amp;","&amp;4,$B$40:$G$40,0)),""),"")))</f>
        <v/>
      </c>
      <c r="D58" s="12" t="str">
        <f ca="1">IF(OR(3&gt;$B$5,4&gt;$B$6),"X",IF(IFERROR(INDEX(OFFSET($B$15,$D$49-15,0,1,3),MATCH(3&amp;","&amp;4,OFFSET($B$15,$F$49-15,0,1,3),0)),"")&lt;&gt;"",IFERROR(INDEX(OFFSET($B$15,$D$49-15,0,1,3),MATCH(3&amp;","&amp;4,OFFSET($B$15,$F$49-15,0,1,3),0)),""),IF($B$49="Start",IFERROR(INDEX($B$39:$G$39,MATCH(3&amp;","&amp;4,$B$40:$G$40,0)),""),"")))</f>
        <v>P1</v>
      </c>
      <c r="E58" s="12" t="str">
        <f ca="1">IF(OR(4&gt;$B$5,4&gt;$B$6),"X",IF(IFERROR(INDEX(OFFSET($B$15,$D$49-15,0,1,3),MATCH(4&amp;","&amp;4,OFFSET($B$15,$F$49-15,0,1,3),0)),"")&lt;&gt;"",IFERROR(INDEX(OFFSET($B$15,$D$49-15,0,1,3),MATCH(4&amp;","&amp;4,OFFSET($B$15,$F$49-15,0,1,3),0)),""),IF($B$49="Start",IFERROR(INDEX($B$39:$G$39,MATCH(4&amp;","&amp;4,$B$40:$G$40,0)),""),"")))</f>
        <v/>
      </c>
      <c r="F58" s="12" t="str">
        <f ca="1">IF(OR(5&gt;$B$5,4&gt;$B$6),"X",IF(IFERROR(INDEX(OFFSET($B$15,$D$49-15,0,1,3),MATCH(5&amp;","&amp;4,OFFSET($B$15,$F$49-15,0,1,3),0)),"")&lt;&gt;"",IFERROR(INDEX(OFFSET($B$15,$D$49-15,0,1,3),MATCH(5&amp;","&amp;4,OFFSET($B$15,$F$49-15,0,1,3),0)),""),IF($B$49="Start",IFERROR(INDEX($B$39:$G$39,MATCH(5&amp;","&amp;4,$B$40:$G$40,0)),""),"")))</f>
        <v/>
      </c>
      <c r="G58" s="12" t="str">
        <f ca="1">IF(OR(6&gt;$B$5,4&gt;$B$6),"X",IF(IFERROR(INDEX(OFFSET($B$15,$D$49-15,0,1,3),MATCH(6&amp;","&amp;4,OFFSET($B$15,$F$49-15,0,1,3),0)),"")&lt;&gt;"",IFERROR(INDEX(OFFSET($B$15,$D$49-15,0,1,3),MATCH(6&amp;","&amp;4,OFFSET($B$15,$F$49-15,0,1,3),0)),""),IF($B$49="Start",IFERROR(INDEX($B$39:$G$39,MATCH(6&amp;","&amp;4,$B$40:$G$40,0)),""),"")))</f>
        <v>X</v>
      </c>
      <c r="H58" s="12" t="str">
        <f ca="1">IF(OR(7&gt;$B$5,4&gt;$B$6),"X",IF(IFERROR(INDEX(OFFSET($B$15,$D$49-15,0,1,3),MATCH(7&amp;","&amp;4,OFFSET($B$15,$F$49-15,0,1,3),0)),"")&lt;&gt;"",IFERROR(INDEX(OFFSET($B$15,$D$49-15,0,1,3),MATCH(7&amp;","&amp;4,OFFSET($B$15,$F$49-15,0,1,3),0)),""),IF($B$49="Start",IFERROR(INDEX($B$39:$G$39,MATCH(7&amp;","&amp;4,$B$40:$G$40,0)),""),"")))</f>
        <v>X</v>
      </c>
      <c r="I58" s="12" t="str">
        <f ca="1">IF(OR(8&gt;$B$5,4&gt;$B$6),"X",IF(IFERROR(INDEX(OFFSET($B$15,$D$49-15,0,1,3),MATCH(8&amp;","&amp;4,OFFSET($B$15,$F$49-15,0,1,3),0)),"")&lt;&gt;"",IFERROR(INDEX(OFFSET($B$15,$D$49-15,0,1,3),MATCH(8&amp;","&amp;4,OFFSET($B$15,$F$49-15,0,1,3),0)),""),IF($B$49="Start",IFERROR(INDEX($B$39:$G$39,MATCH(8&amp;","&amp;4,$B$40:$G$40,0)),""),"")))</f>
        <v>X</v>
      </c>
      <c r="J58" s="12" t="str">
        <f ca="1">IF(OR(9&gt;$B$5,4&gt;$B$6),"X",IF(IFERROR(INDEX(OFFSET($B$15,$D$49-15,0,1,3),MATCH(9&amp;","&amp;4,OFFSET($B$15,$F$49-15,0,1,3),0)),"")&lt;&gt;"",IFERROR(INDEX(OFFSET($B$15,$D$49-15,0,1,3),MATCH(9&amp;","&amp;4,OFFSET($B$15,$F$49-15,0,1,3),0)),""),IF($B$49="Start",IFERROR(INDEX($B$39:$G$39,MATCH(9&amp;","&amp;4,$B$40:$G$40,0)),""),"")))</f>
        <v>X</v>
      </c>
      <c r="K58" s="12" t="str">
        <f ca="1">IF(OR(10&gt;$B$5,4&gt;$B$6),"X",IF(IFERROR(INDEX(OFFSET($B$15,$D$49-15,0,1,3),MATCH(10&amp;","&amp;4,OFFSET($B$15,$F$49-15,0,1,3),0)),"")&lt;&gt;"",IFERROR(INDEX(OFFSET($B$15,$D$49-15,0,1,3),MATCH(10&amp;","&amp;4,OFFSET($B$15,$F$49-15,0,1,3),0)),""),IF($B$49="Start",IFERROR(INDEX($B$39:$G$39,MATCH(10&amp;","&amp;4,$B$40:$G$40,0)),""),"")))</f>
        <v>X</v>
      </c>
    </row>
    <row r="59" spans="1:11" x14ac:dyDescent="0.3">
      <c r="A59" s="11">
        <v>3</v>
      </c>
      <c r="B59" s="12" t="str">
        <f ca="1">IF(OR(1&gt;$B$5,3&gt;$B$6),"X",IF(IFERROR(INDEX(OFFSET($B$15,$D$49-15,0,1,3),MATCH(1&amp;","&amp;3,OFFSET($B$15,$F$49-15,0,1,3),0)),"")&lt;&gt;"",IFERROR(INDEX(OFFSET($B$15,$D$49-15,0,1,3),MATCH(1&amp;","&amp;3,OFFSET($B$15,$F$49-15,0,1,3),0)),""),IF($B$49="Start",IFERROR(INDEX($B$39:$G$39,MATCH(1&amp;","&amp;3,$B$40:$G$40,0)),""),"")))</f>
        <v/>
      </c>
      <c r="C59" s="12" t="str">
        <f ca="1">IF(OR(2&gt;$B$5,3&gt;$B$6),"X",IF(IFERROR(INDEX(OFFSET($B$15,$D$49-15,0,1,3),MATCH(2&amp;","&amp;3,OFFSET($B$15,$F$49-15,0,1,3),0)),"")&lt;&gt;"",IFERROR(INDEX(OFFSET($B$15,$D$49-15,0,1,3),MATCH(2&amp;","&amp;3,OFFSET($B$15,$F$49-15,0,1,3),0)),""),IF($B$49="Start",IFERROR(INDEX($B$39:$G$39,MATCH(2&amp;","&amp;3,$B$40:$G$40,0)),""),"")))</f>
        <v/>
      </c>
      <c r="D59" s="12" t="str">
        <f ca="1">IF(OR(3&gt;$B$5,3&gt;$B$6),"X",IF(IFERROR(INDEX(OFFSET($B$15,$D$49-15,0,1,3),MATCH(3&amp;","&amp;3,OFFSET($B$15,$F$49-15,0,1,3),0)),"")&lt;&gt;"",IFERROR(INDEX(OFFSET($B$15,$D$49-15,0,1,3),MATCH(3&amp;","&amp;3,OFFSET($B$15,$F$49-15,0,1,3),0)),""),IF($B$49="Start",IFERROR(INDEX($B$39:$G$39,MATCH(3&amp;","&amp;3,$B$40:$G$40,0)),""),"")))</f>
        <v>P2</v>
      </c>
      <c r="E59" s="12" t="str">
        <f ca="1">IF(OR(4&gt;$B$5,3&gt;$B$6),"X",IF(IFERROR(INDEX(OFFSET($B$15,$D$49-15,0,1,3),MATCH(4&amp;","&amp;3,OFFSET($B$15,$F$49-15,0,1,3),0)),"")&lt;&gt;"",IFERROR(INDEX(OFFSET($B$15,$D$49-15,0,1,3),MATCH(4&amp;","&amp;3,OFFSET($B$15,$F$49-15,0,1,3),0)),""),IF($B$49="Start",IFERROR(INDEX($B$39:$G$39,MATCH(4&amp;","&amp;3,$B$40:$G$40,0)),""),"")))</f>
        <v/>
      </c>
      <c r="F59" s="12" t="str">
        <f ca="1">IF(OR(5&gt;$B$5,3&gt;$B$6),"X",IF(IFERROR(INDEX(OFFSET($B$15,$D$49-15,0,1,3),MATCH(5&amp;","&amp;3,OFFSET($B$15,$F$49-15,0,1,3),0)),"")&lt;&gt;"",IFERROR(INDEX(OFFSET($B$15,$D$49-15,0,1,3),MATCH(5&amp;","&amp;3,OFFSET($B$15,$F$49-15,0,1,3),0)),""),IF($B$49="Start",IFERROR(INDEX($B$39:$G$39,MATCH(5&amp;","&amp;3,$B$40:$G$40,0)),""),"")))</f>
        <v/>
      </c>
      <c r="G59" s="12" t="str">
        <f ca="1">IF(OR(6&gt;$B$5,3&gt;$B$6),"X",IF(IFERROR(INDEX(OFFSET($B$15,$D$49-15,0,1,3),MATCH(6&amp;","&amp;3,OFFSET($B$15,$F$49-15,0,1,3),0)),"")&lt;&gt;"",IFERROR(INDEX(OFFSET($B$15,$D$49-15,0,1,3),MATCH(6&amp;","&amp;3,OFFSET($B$15,$F$49-15,0,1,3),0)),""),IF($B$49="Start",IFERROR(INDEX($B$39:$G$39,MATCH(6&amp;","&amp;3,$B$40:$G$40,0)),""),"")))</f>
        <v>X</v>
      </c>
      <c r="H59" s="12" t="str">
        <f ca="1">IF(OR(7&gt;$B$5,3&gt;$B$6),"X",IF(IFERROR(INDEX(OFFSET($B$15,$D$49-15,0,1,3),MATCH(7&amp;","&amp;3,OFFSET($B$15,$F$49-15,0,1,3),0)),"")&lt;&gt;"",IFERROR(INDEX(OFFSET($B$15,$D$49-15,0,1,3),MATCH(7&amp;","&amp;3,OFFSET($B$15,$F$49-15,0,1,3),0)),""),IF($B$49="Start",IFERROR(INDEX($B$39:$G$39,MATCH(7&amp;","&amp;3,$B$40:$G$40,0)),""),"")))</f>
        <v>X</v>
      </c>
      <c r="I59" s="12" t="str">
        <f ca="1">IF(OR(8&gt;$B$5,3&gt;$B$6),"X",IF(IFERROR(INDEX(OFFSET($B$15,$D$49-15,0,1,3),MATCH(8&amp;","&amp;3,OFFSET($B$15,$F$49-15,0,1,3),0)),"")&lt;&gt;"",IFERROR(INDEX(OFFSET($B$15,$D$49-15,0,1,3),MATCH(8&amp;","&amp;3,OFFSET($B$15,$F$49-15,0,1,3),0)),""),IF($B$49="Start",IFERROR(INDEX($B$39:$G$39,MATCH(8&amp;","&amp;3,$B$40:$G$40,0)),""),"")))</f>
        <v>X</v>
      </c>
      <c r="J59" s="12" t="str">
        <f ca="1">IF(OR(9&gt;$B$5,3&gt;$B$6),"X",IF(IFERROR(INDEX(OFFSET($B$15,$D$49-15,0,1,3),MATCH(9&amp;","&amp;3,OFFSET($B$15,$F$49-15,0,1,3),0)),"")&lt;&gt;"",IFERROR(INDEX(OFFSET($B$15,$D$49-15,0,1,3),MATCH(9&amp;","&amp;3,OFFSET($B$15,$F$49-15,0,1,3),0)),""),IF($B$49="Start",IFERROR(INDEX($B$39:$G$39,MATCH(9&amp;","&amp;3,$B$40:$G$40,0)),""),"")))</f>
        <v>X</v>
      </c>
      <c r="K59" s="12" t="str">
        <f ca="1">IF(OR(10&gt;$B$5,3&gt;$B$6),"X",IF(IFERROR(INDEX(OFFSET($B$15,$D$49-15,0,1,3),MATCH(10&amp;","&amp;3,OFFSET($B$15,$F$49-15,0,1,3),0)),"")&lt;&gt;"",IFERROR(INDEX(OFFSET($B$15,$D$49-15,0,1,3),MATCH(10&amp;","&amp;3,OFFSET($B$15,$F$49-15,0,1,3),0)),""),IF($B$49="Start",IFERROR(INDEX($B$39:$G$39,MATCH(10&amp;","&amp;3,$B$40:$G$40,0)),""),"")))</f>
        <v>X</v>
      </c>
    </row>
    <row r="60" spans="1:11" x14ac:dyDescent="0.3">
      <c r="A60" s="11">
        <v>2</v>
      </c>
      <c r="B60" s="12" t="str">
        <f ca="1">IF(OR(1&gt;$B$5,2&gt;$B$6),"X",IF(IFERROR(INDEX(OFFSET($B$15,$D$49-15,0,1,3),MATCH(1&amp;","&amp;2,OFFSET($B$15,$F$49-15,0,1,3),0)),"")&lt;&gt;"",IFERROR(INDEX(OFFSET($B$15,$D$49-15,0,1,3),MATCH(1&amp;","&amp;2,OFFSET($B$15,$F$49-15,0,1,3),0)),""),IF($B$49="Start",IFERROR(INDEX($B$39:$G$39,MATCH(1&amp;","&amp;2,$B$40:$G$40,0)),""),"")))</f>
        <v/>
      </c>
      <c r="C60" s="12" t="str">
        <f ca="1">IF(OR(2&gt;$B$5,2&gt;$B$6),"X",IF(IFERROR(INDEX(OFFSET($B$15,$D$49-15,0,1,3),MATCH(2&amp;","&amp;2,OFFSET($B$15,$F$49-15,0,1,3),0)),"")&lt;&gt;"",IFERROR(INDEX(OFFSET($B$15,$D$49-15,0,1,3),MATCH(2&amp;","&amp;2,OFFSET($B$15,$F$49-15,0,1,3),0)),""),IF($B$49="Start",IFERROR(INDEX($B$39:$G$39,MATCH(2&amp;","&amp;2,$B$40:$G$40,0)),""),"")))</f>
        <v/>
      </c>
      <c r="D60" s="12" t="str">
        <f ca="1">IF(OR(3&gt;$B$5,2&gt;$B$6),"X",IF(IFERROR(INDEX(OFFSET($B$15,$D$49-15,0,1,3),MATCH(3&amp;","&amp;2,OFFSET($B$15,$F$49-15,0,1,3),0)),"")&lt;&gt;"",IFERROR(INDEX(OFFSET($B$15,$D$49-15,0,1,3),MATCH(3&amp;","&amp;2,OFFSET($B$15,$F$49-15,0,1,3),0)),""),IF($B$49="Start",IFERROR(INDEX($B$39:$G$39,MATCH(3&amp;","&amp;2,$B$40:$G$40,0)),""),"")))</f>
        <v/>
      </c>
      <c r="E60" s="12" t="str">
        <f ca="1">IF(OR(4&gt;$B$5,2&gt;$B$6),"X",IF(IFERROR(INDEX(OFFSET($B$15,$D$49-15,0,1,3),MATCH(4&amp;","&amp;2,OFFSET($B$15,$F$49-15,0,1,3),0)),"")&lt;&gt;"",IFERROR(INDEX(OFFSET($B$15,$D$49-15,0,1,3),MATCH(4&amp;","&amp;2,OFFSET($B$15,$F$49-15,0,1,3),0)),""),IF($B$49="Start",IFERROR(INDEX($B$39:$G$39,MATCH(4&amp;","&amp;2,$B$40:$G$40,0)),""),"")))</f>
        <v/>
      </c>
      <c r="F60" s="12" t="str">
        <f ca="1">IF(OR(5&gt;$B$5,2&gt;$B$6),"X",IF(IFERROR(INDEX(OFFSET($B$15,$D$49-15,0,1,3),MATCH(5&amp;","&amp;2,OFFSET($B$15,$F$49-15,0,1,3),0)),"")&lt;&gt;"",IFERROR(INDEX(OFFSET($B$15,$D$49-15,0,1,3),MATCH(5&amp;","&amp;2,OFFSET($B$15,$F$49-15,0,1,3),0)),""),IF($B$49="Start",IFERROR(INDEX($B$39:$G$39,MATCH(5&amp;","&amp;2,$B$40:$G$40,0)),""),"")))</f>
        <v/>
      </c>
      <c r="G60" s="12" t="str">
        <f ca="1">IF(OR(6&gt;$B$5,2&gt;$B$6),"X",IF(IFERROR(INDEX(OFFSET($B$15,$D$49-15,0,1,3),MATCH(6&amp;","&amp;2,OFFSET($B$15,$F$49-15,0,1,3),0)),"")&lt;&gt;"",IFERROR(INDEX(OFFSET($B$15,$D$49-15,0,1,3),MATCH(6&amp;","&amp;2,OFFSET($B$15,$F$49-15,0,1,3),0)),""),IF($B$49="Start",IFERROR(INDEX($B$39:$G$39,MATCH(6&amp;","&amp;2,$B$40:$G$40,0)),""),"")))</f>
        <v>X</v>
      </c>
      <c r="H60" s="12" t="str">
        <f ca="1">IF(OR(7&gt;$B$5,2&gt;$B$6),"X",IF(IFERROR(INDEX(OFFSET($B$15,$D$49-15,0,1,3),MATCH(7&amp;","&amp;2,OFFSET($B$15,$F$49-15,0,1,3),0)),"")&lt;&gt;"",IFERROR(INDEX(OFFSET($B$15,$D$49-15,0,1,3),MATCH(7&amp;","&amp;2,OFFSET($B$15,$F$49-15,0,1,3),0)),""),IF($B$49="Start",IFERROR(INDEX($B$39:$G$39,MATCH(7&amp;","&amp;2,$B$40:$G$40,0)),""),"")))</f>
        <v>X</v>
      </c>
      <c r="I60" s="12" t="str">
        <f ca="1">IF(OR(8&gt;$B$5,2&gt;$B$6),"X",IF(IFERROR(INDEX(OFFSET($B$15,$D$49-15,0,1,3),MATCH(8&amp;","&amp;2,OFFSET($B$15,$F$49-15,0,1,3),0)),"")&lt;&gt;"",IFERROR(INDEX(OFFSET($B$15,$D$49-15,0,1,3),MATCH(8&amp;","&amp;2,OFFSET($B$15,$F$49-15,0,1,3),0)),""),IF($B$49="Start",IFERROR(INDEX($B$39:$G$39,MATCH(8&amp;","&amp;2,$B$40:$G$40,0)),""),"")))</f>
        <v>X</v>
      </c>
      <c r="J60" s="12" t="str">
        <f ca="1">IF(OR(9&gt;$B$5,2&gt;$B$6),"X",IF(IFERROR(INDEX(OFFSET($B$15,$D$49-15,0,1,3),MATCH(9&amp;","&amp;2,OFFSET($B$15,$F$49-15,0,1,3),0)),"")&lt;&gt;"",IFERROR(INDEX(OFFSET($B$15,$D$49-15,0,1,3),MATCH(9&amp;","&amp;2,OFFSET($B$15,$F$49-15,0,1,3),0)),""),IF($B$49="Start",IFERROR(INDEX($B$39:$G$39,MATCH(9&amp;","&amp;2,$B$40:$G$40,0)),""),"")))</f>
        <v>X</v>
      </c>
      <c r="K60" s="12" t="str">
        <f ca="1">IF(OR(10&gt;$B$5,2&gt;$B$6),"X",IF(IFERROR(INDEX(OFFSET($B$15,$D$49-15,0,1,3),MATCH(10&amp;","&amp;2,OFFSET($B$15,$F$49-15,0,1,3),0)),"")&lt;&gt;"",IFERROR(INDEX(OFFSET($B$15,$D$49-15,0,1,3),MATCH(10&amp;","&amp;2,OFFSET($B$15,$F$49-15,0,1,3),0)),""),IF($B$49="Start",IFERROR(INDEX($B$39:$G$39,MATCH(10&amp;","&amp;2,$B$40:$G$40,0)),""),"")))</f>
        <v>X</v>
      </c>
    </row>
    <row r="61" spans="1:11" x14ac:dyDescent="0.3">
      <c r="A61" s="11">
        <v>1</v>
      </c>
      <c r="B61" s="12" t="str">
        <f ca="1">IF(OR(1&gt;$B$5,1&gt;$B$6),"X",IF(IFERROR(INDEX(OFFSET($B$15,$D$49-15,0,1,3),MATCH(1&amp;","&amp;1,OFFSET($B$15,$F$49-15,0,1,3),0)),"")&lt;&gt;"",IFERROR(INDEX(OFFSET($B$15,$D$49-15,0,1,3),MATCH(1&amp;","&amp;1,OFFSET($B$15,$F$49-15,0,1,3),0)),""),IF($B$49="Start",IFERROR(INDEX($B$39:$G$39,MATCH(1&amp;","&amp;1,$B$40:$G$40,0)),""),"")))</f>
        <v/>
      </c>
      <c r="C61" s="12" t="str">
        <f ca="1">IF(OR(2&gt;$B$5,1&gt;$B$6),"X",IF(IFERROR(INDEX(OFFSET($B$15,$D$49-15,0,1,3),MATCH(2&amp;","&amp;1,OFFSET($B$15,$F$49-15,0,1,3),0)),"")&lt;&gt;"",IFERROR(INDEX(OFFSET($B$15,$D$49-15,0,1,3),MATCH(2&amp;","&amp;1,OFFSET($B$15,$F$49-15,0,1,3),0)),""),IF($B$49="Start",IFERROR(INDEX($B$39:$G$39,MATCH(2&amp;","&amp;1,$B$40:$G$40,0)),""),"")))</f>
        <v/>
      </c>
      <c r="D61" s="12" t="str">
        <f ca="1">IF(OR(3&gt;$B$5,1&gt;$B$6),"X",IF(IFERROR(INDEX(OFFSET($B$15,$D$49-15,0,1,3),MATCH(3&amp;","&amp;1,OFFSET($B$15,$F$49-15,0,1,3),0)),"")&lt;&gt;"",IFERROR(INDEX(OFFSET($B$15,$D$49-15,0,1,3),MATCH(3&amp;","&amp;1,OFFSET($B$15,$F$49-15,0,1,3),0)),""),IF($B$49="Start",IFERROR(INDEX($B$39:$G$39,MATCH(3&amp;","&amp;1,$B$40:$G$40,0)),""),"")))</f>
        <v/>
      </c>
      <c r="E61" s="12" t="str">
        <f ca="1">IF(OR(4&gt;$B$5,1&gt;$B$6),"X",IF(IFERROR(INDEX(OFFSET($B$15,$D$49-15,0,1,3),MATCH(4&amp;","&amp;1,OFFSET($B$15,$F$49-15,0,1,3),0)),"")&lt;&gt;"",IFERROR(INDEX(OFFSET($B$15,$D$49-15,0,1,3),MATCH(4&amp;","&amp;1,OFFSET($B$15,$F$49-15,0,1,3),0)),""),IF($B$49="Start",IFERROR(INDEX($B$39:$G$39,MATCH(4&amp;","&amp;1,$B$40:$G$40,0)),""),"")))</f>
        <v>P3</v>
      </c>
      <c r="F61" s="12" t="str">
        <f ca="1">IF(OR(5&gt;$B$5,1&gt;$B$6),"X",IF(IFERROR(INDEX(OFFSET($B$15,$D$49-15,0,1,3),MATCH(5&amp;","&amp;1,OFFSET($B$15,$F$49-15,0,1,3),0)),"")&lt;&gt;"",IFERROR(INDEX(OFFSET($B$15,$D$49-15,0,1,3),MATCH(5&amp;","&amp;1,OFFSET($B$15,$F$49-15,0,1,3),0)),""),IF($B$49="Start",IFERROR(INDEX($B$39:$G$39,MATCH(5&amp;","&amp;1,$B$40:$G$40,0)),""),"")))</f>
        <v>P4</v>
      </c>
      <c r="G61" s="12" t="str">
        <f ca="1">IF(OR(6&gt;$B$5,1&gt;$B$6),"X",IF(IFERROR(INDEX(OFFSET($B$15,$D$49-15,0,1,3),MATCH(6&amp;","&amp;1,OFFSET($B$15,$F$49-15,0,1,3),0)),"")&lt;&gt;"",IFERROR(INDEX(OFFSET($B$15,$D$49-15,0,1,3),MATCH(6&amp;","&amp;1,OFFSET($B$15,$F$49-15,0,1,3),0)),""),IF($B$49="Start",IFERROR(INDEX($B$39:$G$39,MATCH(6&amp;","&amp;1,$B$40:$G$40,0)),""),"")))</f>
        <v>X</v>
      </c>
      <c r="H61" s="12" t="str">
        <f ca="1">IF(OR(7&gt;$B$5,1&gt;$B$6),"X",IF(IFERROR(INDEX(OFFSET($B$15,$D$49-15,0,1,3),MATCH(7&amp;","&amp;1,OFFSET($B$15,$F$49-15,0,1,3),0)),"")&lt;&gt;"",IFERROR(INDEX(OFFSET($B$15,$D$49-15,0,1,3),MATCH(7&amp;","&amp;1,OFFSET($B$15,$F$49-15,0,1,3),0)),""),IF($B$49="Start",IFERROR(INDEX($B$39:$G$39,MATCH(7&amp;","&amp;1,$B$40:$G$40,0)),""),"")))</f>
        <v>X</v>
      </c>
      <c r="I61" s="12" t="str">
        <f ca="1">IF(OR(8&gt;$B$5,1&gt;$B$6),"X",IF(IFERROR(INDEX(OFFSET($B$15,$D$49-15,0,1,3),MATCH(8&amp;","&amp;1,OFFSET($B$15,$F$49-15,0,1,3),0)),"")&lt;&gt;"",IFERROR(INDEX(OFFSET($B$15,$D$49-15,0,1,3),MATCH(8&amp;","&amp;1,OFFSET($B$15,$F$49-15,0,1,3),0)),""),IF($B$49="Start",IFERROR(INDEX($B$39:$G$39,MATCH(8&amp;","&amp;1,$B$40:$G$40,0)),""),"")))</f>
        <v>X</v>
      </c>
      <c r="J61" s="12" t="str">
        <f ca="1">IF(OR(9&gt;$B$5,1&gt;$B$6),"X",IF(IFERROR(INDEX(OFFSET($B$15,$D$49-15,0,1,3),MATCH(9&amp;","&amp;1,OFFSET($B$15,$F$49-15,0,1,3),0)),"")&lt;&gt;"",IFERROR(INDEX(OFFSET($B$15,$D$49-15,0,1,3),MATCH(9&amp;","&amp;1,OFFSET($B$15,$F$49-15,0,1,3),0)),""),IF($B$49="Start",IFERROR(INDEX($B$39:$G$39,MATCH(9&amp;","&amp;1,$B$40:$G$40,0)),""),"")))</f>
        <v>X</v>
      </c>
      <c r="K61" s="12" t="str">
        <f ca="1">IF(OR(10&gt;$B$5,1&gt;$B$6),"X",IF(IFERROR(INDEX(OFFSET($B$15,$D$49-15,0,1,3),MATCH(10&amp;","&amp;1,OFFSET($B$15,$F$49-15,0,1,3),0)),"")&lt;&gt;"",IFERROR(INDEX(OFFSET($B$15,$D$49-15,0,1,3),MATCH(10&amp;","&amp;1,OFFSET($B$15,$F$49-15,0,1,3),0)),""),IF($B$49="Start",IFERROR(INDEX($B$39:$G$39,MATCH(10&amp;","&amp;1,$B$40:$G$40,0)),""),"")))</f>
        <v>X</v>
      </c>
    </row>
    <row r="63" spans="1:11" x14ac:dyDescent="0.3">
      <c r="A63" s="1" t="s">
        <v>127</v>
      </c>
    </row>
    <row r="64" spans="1:11" x14ac:dyDescent="0.3">
      <c r="A64" t="s">
        <v>128</v>
      </c>
    </row>
    <row r="65" spans="1:3" x14ac:dyDescent="0.3">
      <c r="A65" t="s">
        <v>129</v>
      </c>
    </row>
    <row r="66" spans="1:3" x14ac:dyDescent="0.3">
      <c r="A66" t="s">
        <v>130</v>
      </c>
    </row>
    <row r="67" spans="1:3" x14ac:dyDescent="0.3">
      <c r="A67" t="s">
        <v>131</v>
      </c>
    </row>
    <row r="69" spans="1:3" x14ac:dyDescent="0.3">
      <c r="A69" s="1" t="s">
        <v>132</v>
      </c>
      <c r="B69" s="2"/>
    </row>
    <row r="71" spans="1:3" x14ac:dyDescent="0.3">
      <c r="A71" s="4" t="s">
        <v>133</v>
      </c>
    </row>
    <row r="72" spans="1:3" x14ac:dyDescent="0.3">
      <c r="A72" s="4" t="s">
        <v>134</v>
      </c>
      <c r="B72" s="4" t="s">
        <v>135</v>
      </c>
      <c r="C72" s="4" t="s">
        <v>136</v>
      </c>
    </row>
    <row r="73" spans="1:3" x14ac:dyDescent="0.3">
      <c r="A73" t="s">
        <v>95</v>
      </c>
      <c r="B73">
        <v>15</v>
      </c>
      <c r="C73">
        <v>16</v>
      </c>
    </row>
    <row r="74" spans="1:3" x14ac:dyDescent="0.3">
      <c r="A74" t="s">
        <v>150</v>
      </c>
      <c r="B74">
        <v>17</v>
      </c>
      <c r="C74">
        <v>18</v>
      </c>
    </row>
    <row r="75" spans="1:3" x14ac:dyDescent="0.3">
      <c r="A75" t="s">
        <v>151</v>
      </c>
      <c r="B75">
        <v>19</v>
      </c>
      <c r="C75">
        <v>20</v>
      </c>
    </row>
    <row r="76" spans="1:3" x14ac:dyDescent="0.3">
      <c r="A76" t="s">
        <v>152</v>
      </c>
      <c r="B76">
        <v>21</v>
      </c>
      <c r="C76">
        <v>22</v>
      </c>
    </row>
    <row r="77" spans="1:3" x14ac:dyDescent="0.3">
      <c r="A77" t="s">
        <v>153</v>
      </c>
      <c r="B77">
        <v>23</v>
      </c>
      <c r="C77">
        <v>24</v>
      </c>
    </row>
    <row r="78" spans="1:3" x14ac:dyDescent="0.3">
      <c r="A78" t="s">
        <v>154</v>
      </c>
      <c r="B78">
        <v>25</v>
      </c>
      <c r="C78">
        <v>26</v>
      </c>
    </row>
    <row r="79" spans="1:3" x14ac:dyDescent="0.3">
      <c r="A79" t="s">
        <v>155</v>
      </c>
      <c r="B79">
        <v>27</v>
      </c>
      <c r="C79">
        <v>28</v>
      </c>
    </row>
  </sheetData>
  <conditionalFormatting sqref="B51:K61">
    <cfRule type="cellIs" dxfId="4" priority="1" operator="equal">
      <formula>"X"</formula>
    </cfRule>
  </conditionalFormatting>
  <dataValidations count="3">
    <dataValidation type="list" allowBlank="1" sqref="B9:B10" xr:uid="{00000000-0002-0000-0400-000000000000}">
      <formula1>list_Loot</formula1>
    </dataValidation>
    <dataValidation type="list" allowBlank="1" sqref="B15:D15 B35:D35 B33:D33 B31:D31 B29:D29 B27:D27 B25:D25 B23:D23 B21:D21 B19:D19 B17:D17" xr:uid="{00000000-0002-0000-0400-000002000000}">
      <formula1>list_Prefab</formula1>
    </dataValidation>
    <dataValidation type="list" sqref="B49" xr:uid="{00000000-0002-0000-0400-00000D000000}">
      <formula1>$A$73:$A$79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70"/>
  <sheetViews>
    <sheetView tabSelected="1" workbookViewId="0">
      <pane xSplit="1" ySplit="14" topLeftCell="B15" activePane="bottomRight" state="frozen"/>
      <selection pane="topRight" activeCell="B1" sqref="B1"/>
      <selection pane="bottomLeft" activeCell="A15" sqref="A15"/>
      <selection pane="bottomRight" activeCell="C18" sqref="C18"/>
    </sheetView>
  </sheetViews>
  <sheetFormatPr defaultRowHeight="14.4" x14ac:dyDescent="0.3"/>
  <cols>
    <col min="1" max="1" width="16" customWidth="1"/>
    <col min="2" max="11" width="14" customWidth="1"/>
  </cols>
  <sheetData>
    <row r="1" spans="1:5" x14ac:dyDescent="0.3">
      <c r="A1" s="1" t="s">
        <v>70</v>
      </c>
      <c r="B1" t="s">
        <v>32</v>
      </c>
    </row>
    <row r="2" spans="1:5" x14ac:dyDescent="0.3">
      <c r="A2" s="1" t="s">
        <v>3</v>
      </c>
      <c r="B2" t="s">
        <v>156</v>
      </c>
    </row>
    <row r="3" spans="1:5" x14ac:dyDescent="0.3">
      <c r="A3" s="1" t="s">
        <v>4</v>
      </c>
      <c r="B3" t="str">
        <f>IF($B$2="","NEW","Live")</f>
        <v>Live</v>
      </c>
    </row>
    <row r="4" spans="1:5" x14ac:dyDescent="0.3">
      <c r="A4" s="1" t="s">
        <v>72</v>
      </c>
    </row>
    <row r="5" spans="1:5" x14ac:dyDescent="0.3">
      <c r="A5" s="4" t="s">
        <v>73</v>
      </c>
      <c r="B5">
        <v>6</v>
      </c>
    </row>
    <row r="6" spans="1:5" x14ac:dyDescent="0.3">
      <c r="A6" s="4" t="s">
        <v>74</v>
      </c>
      <c r="B6">
        <v>6</v>
      </c>
    </row>
    <row r="7" spans="1:5" x14ac:dyDescent="0.3">
      <c r="A7" s="4" t="s">
        <v>75</v>
      </c>
      <c r="B7">
        <v>10</v>
      </c>
    </row>
    <row r="8" spans="1:5" x14ac:dyDescent="0.3">
      <c r="A8" s="4" t="s">
        <v>76</v>
      </c>
      <c r="B8">
        <v>5</v>
      </c>
    </row>
    <row r="9" spans="1:5" x14ac:dyDescent="0.3">
      <c r="A9" s="4" t="s">
        <v>77</v>
      </c>
      <c r="B9" t="s">
        <v>27</v>
      </c>
    </row>
    <row r="10" spans="1:5" x14ac:dyDescent="0.3">
      <c r="A10" s="4" t="s">
        <v>78</v>
      </c>
      <c r="B10" t="s">
        <v>30</v>
      </c>
    </row>
    <row r="11" spans="1:5" x14ac:dyDescent="0.3">
      <c r="A11" s="4" t="s">
        <v>79</v>
      </c>
      <c r="B11" t="s">
        <v>80</v>
      </c>
    </row>
    <row r="13" spans="1:5" x14ac:dyDescent="0.3">
      <c r="A13" s="1" t="s">
        <v>81</v>
      </c>
    </row>
    <row r="14" spans="1:5" x14ac:dyDescent="0.3">
      <c r="A14" s="4" t="s">
        <v>82</v>
      </c>
      <c r="B14" s="4" t="s">
        <v>83</v>
      </c>
      <c r="C14" s="4" t="s">
        <v>84</v>
      </c>
      <c r="D14" s="4" t="s">
        <v>85</v>
      </c>
      <c r="E14" s="4" t="s">
        <v>86</v>
      </c>
    </row>
    <row r="15" spans="1:5" x14ac:dyDescent="0.3">
      <c r="A15" s="1" t="s">
        <v>95</v>
      </c>
      <c r="B15" t="s">
        <v>64</v>
      </c>
      <c r="C15" t="s">
        <v>64</v>
      </c>
      <c r="D15" t="s">
        <v>31</v>
      </c>
      <c r="E15" t="s">
        <v>31</v>
      </c>
    </row>
    <row r="16" spans="1:5" x14ac:dyDescent="0.3">
      <c r="A16" s="4" t="s">
        <v>96</v>
      </c>
      <c r="B16" t="s">
        <v>97</v>
      </c>
      <c r="C16" t="s">
        <v>98</v>
      </c>
      <c r="D16" t="s">
        <v>100</v>
      </c>
      <c r="E16" t="s">
        <v>157</v>
      </c>
    </row>
    <row r="17" spans="1:1" x14ac:dyDescent="0.3">
      <c r="A17" s="5"/>
    </row>
    <row r="18" spans="1:1" x14ac:dyDescent="0.3">
      <c r="A18" s="6" t="s">
        <v>96</v>
      </c>
    </row>
    <row r="19" spans="1:1" x14ac:dyDescent="0.3">
      <c r="A19" s="5"/>
    </row>
    <row r="20" spans="1:1" x14ac:dyDescent="0.3">
      <c r="A20" s="6" t="s">
        <v>96</v>
      </c>
    </row>
    <row r="21" spans="1:1" x14ac:dyDescent="0.3">
      <c r="A21" s="5"/>
    </row>
    <row r="22" spans="1:1" x14ac:dyDescent="0.3">
      <c r="A22" s="6" t="s">
        <v>96</v>
      </c>
    </row>
    <row r="23" spans="1:1" x14ac:dyDescent="0.3">
      <c r="A23" s="5"/>
    </row>
    <row r="24" spans="1:1" x14ac:dyDescent="0.3">
      <c r="A24" s="6" t="s">
        <v>96</v>
      </c>
    </row>
    <row r="25" spans="1:1" x14ac:dyDescent="0.3">
      <c r="A25" s="5"/>
    </row>
    <row r="26" spans="1:1" x14ac:dyDescent="0.3">
      <c r="A26" s="6" t="s">
        <v>96</v>
      </c>
    </row>
    <row r="27" spans="1:1" x14ac:dyDescent="0.3">
      <c r="A27" s="5"/>
    </row>
    <row r="28" spans="1:1" x14ac:dyDescent="0.3">
      <c r="A28" s="6" t="s">
        <v>96</v>
      </c>
    </row>
    <row r="29" spans="1:1" x14ac:dyDescent="0.3">
      <c r="A29" s="5"/>
    </row>
    <row r="30" spans="1:1" x14ac:dyDescent="0.3">
      <c r="A30" s="6" t="s">
        <v>96</v>
      </c>
    </row>
    <row r="31" spans="1:1" x14ac:dyDescent="0.3">
      <c r="A31" s="5"/>
    </row>
    <row r="32" spans="1:1" x14ac:dyDescent="0.3">
      <c r="A32" s="6" t="s">
        <v>96</v>
      </c>
    </row>
    <row r="33" spans="1:11" x14ac:dyDescent="0.3">
      <c r="A33" s="5"/>
    </row>
    <row r="34" spans="1:11" x14ac:dyDescent="0.3">
      <c r="A34" s="6" t="s">
        <v>96</v>
      </c>
    </row>
    <row r="35" spans="1:11" x14ac:dyDescent="0.3">
      <c r="A35" s="5"/>
    </row>
    <row r="36" spans="1:11" x14ac:dyDescent="0.3">
      <c r="A36" s="6" t="s">
        <v>96</v>
      </c>
    </row>
    <row r="38" spans="1:11" x14ac:dyDescent="0.3">
      <c r="A38" s="1" t="s">
        <v>109</v>
      </c>
    </row>
    <row r="39" spans="1:11" x14ac:dyDescent="0.3">
      <c r="B39" s="4" t="s">
        <v>110</v>
      </c>
      <c r="C39" s="4" t="s">
        <v>111</v>
      </c>
      <c r="D39" s="4" t="s">
        <v>112</v>
      </c>
      <c r="E39" s="4" t="s">
        <v>113</v>
      </c>
      <c r="F39" s="4" t="s">
        <v>114</v>
      </c>
      <c r="G39" s="4" t="s">
        <v>144</v>
      </c>
    </row>
    <row r="40" spans="1:11" x14ac:dyDescent="0.3">
      <c r="A40" s="1" t="s">
        <v>115</v>
      </c>
      <c r="B40" t="s">
        <v>145</v>
      </c>
      <c r="C40" t="s">
        <v>146</v>
      </c>
      <c r="D40" t="s">
        <v>139</v>
      </c>
      <c r="E40" t="s">
        <v>158</v>
      </c>
    </row>
    <row r="42" spans="1:11" x14ac:dyDescent="0.3">
      <c r="A42" s="1" t="s">
        <v>119</v>
      </c>
    </row>
    <row r="43" spans="1:11" x14ac:dyDescent="0.3">
      <c r="A43" s="4" t="s">
        <v>120</v>
      </c>
      <c r="B43" s="4" t="s">
        <v>121</v>
      </c>
      <c r="C43" s="4" t="s">
        <v>82</v>
      </c>
      <c r="D43" s="4" t="s">
        <v>122</v>
      </c>
    </row>
    <row r="45" spans="1:11" x14ac:dyDescent="0.3">
      <c r="A45" s="1" t="s">
        <v>123</v>
      </c>
    </row>
    <row r="46" spans="1:11" x14ac:dyDescent="0.3">
      <c r="A46" s="1" t="s">
        <v>124</v>
      </c>
      <c r="B46" t="s">
        <v>95</v>
      </c>
      <c r="C46" s="7" t="s">
        <v>125</v>
      </c>
      <c r="D46" s="8">
        <f>INDEX($B$70:$B$70,MATCH($B$46,$A$70:$A$70,0))</f>
        <v>15</v>
      </c>
      <c r="E46" s="7" t="s">
        <v>126</v>
      </c>
      <c r="F46" s="8">
        <f>INDEX($C$70:$C$70,MATCH($B$46,$A$70:$A$70,0))</f>
        <v>16</v>
      </c>
    </row>
    <row r="48" spans="1:11" x14ac:dyDescent="0.3">
      <c r="A48" s="9"/>
      <c r="B48" s="10">
        <v>1</v>
      </c>
      <c r="C48" s="10">
        <v>2</v>
      </c>
      <c r="D48" s="10">
        <v>3</v>
      </c>
      <c r="E48" s="10">
        <v>4</v>
      </c>
      <c r="F48" s="10">
        <v>5</v>
      </c>
      <c r="G48" s="10">
        <v>6</v>
      </c>
      <c r="H48" s="10">
        <v>7</v>
      </c>
      <c r="I48" s="10">
        <v>8</v>
      </c>
      <c r="J48" s="10">
        <v>9</v>
      </c>
      <c r="K48" s="10">
        <v>10</v>
      </c>
    </row>
    <row r="49" spans="1:11" x14ac:dyDescent="0.3">
      <c r="A49" s="11">
        <v>10</v>
      </c>
      <c r="B49" s="12" t="str">
        <f ca="1">IF(OR(1&gt;$B$5,10&gt;$B$6),"X",IF(IFERROR(INDEX(OFFSET($B$15,$D$46-15,0,1,4),MATCH(1&amp;","&amp;10,OFFSET($B$15,$F$46-15,0,1,4),0)),"")&lt;&gt;"",IFERROR(INDEX(OFFSET($B$15,$D$46-15,0,1,4),MATCH(1&amp;","&amp;10,OFFSET($B$15,$F$46-15,0,1,4),0)),""),IF($B$46="Start",IFERROR(INDEX($B$39:$G$39,MATCH(1&amp;","&amp;10,$B$40:$G$40,0)),""),"")))</f>
        <v>X</v>
      </c>
      <c r="C49" s="12" t="str">
        <f ca="1">IF(OR(2&gt;$B$5,10&gt;$B$6),"X",IF(IFERROR(INDEX(OFFSET($B$15,$D$46-15,0,1,4),MATCH(2&amp;","&amp;10,OFFSET($B$15,$F$46-15,0,1,4),0)),"")&lt;&gt;"",IFERROR(INDEX(OFFSET($B$15,$D$46-15,0,1,4),MATCH(2&amp;","&amp;10,OFFSET($B$15,$F$46-15,0,1,4),0)),""),IF($B$46="Start",IFERROR(INDEX($B$39:$G$39,MATCH(2&amp;","&amp;10,$B$40:$G$40,0)),""),"")))</f>
        <v>X</v>
      </c>
      <c r="D49" s="12" t="str">
        <f ca="1">IF(OR(3&gt;$B$5,10&gt;$B$6),"X",IF(IFERROR(INDEX(OFFSET($B$15,$D$46-15,0,1,4),MATCH(3&amp;","&amp;10,OFFSET($B$15,$F$46-15,0,1,4),0)),"")&lt;&gt;"",IFERROR(INDEX(OFFSET($B$15,$D$46-15,0,1,4),MATCH(3&amp;","&amp;10,OFFSET($B$15,$F$46-15,0,1,4),0)),""),IF($B$46="Start",IFERROR(INDEX($B$39:$G$39,MATCH(3&amp;","&amp;10,$B$40:$G$40,0)),""),"")))</f>
        <v>X</v>
      </c>
      <c r="E49" s="12" t="str">
        <f ca="1">IF(OR(4&gt;$B$5,10&gt;$B$6),"X",IF(IFERROR(INDEX(OFFSET($B$15,$D$46-15,0,1,4),MATCH(4&amp;","&amp;10,OFFSET($B$15,$F$46-15,0,1,4),0)),"")&lt;&gt;"",IFERROR(INDEX(OFFSET($B$15,$D$46-15,0,1,4),MATCH(4&amp;","&amp;10,OFFSET($B$15,$F$46-15,0,1,4),0)),""),IF($B$46="Start",IFERROR(INDEX($B$39:$G$39,MATCH(4&amp;","&amp;10,$B$40:$G$40,0)),""),"")))</f>
        <v>X</v>
      </c>
      <c r="F49" s="12" t="str">
        <f ca="1">IF(OR(5&gt;$B$5,10&gt;$B$6),"X",IF(IFERROR(INDEX(OFFSET($B$15,$D$46-15,0,1,4),MATCH(5&amp;","&amp;10,OFFSET($B$15,$F$46-15,0,1,4),0)),"")&lt;&gt;"",IFERROR(INDEX(OFFSET($B$15,$D$46-15,0,1,4),MATCH(5&amp;","&amp;10,OFFSET($B$15,$F$46-15,0,1,4),0)),""),IF($B$46="Start",IFERROR(INDEX($B$39:$G$39,MATCH(5&amp;","&amp;10,$B$40:$G$40,0)),""),"")))</f>
        <v>X</v>
      </c>
      <c r="G49" s="12" t="str">
        <f ca="1">IF(OR(6&gt;$B$5,10&gt;$B$6),"X",IF(IFERROR(INDEX(OFFSET($B$15,$D$46-15,0,1,4),MATCH(6&amp;","&amp;10,OFFSET($B$15,$F$46-15,0,1,4),0)),"")&lt;&gt;"",IFERROR(INDEX(OFFSET($B$15,$D$46-15,0,1,4),MATCH(6&amp;","&amp;10,OFFSET($B$15,$F$46-15,0,1,4),0)),""),IF($B$46="Start",IFERROR(INDEX($B$39:$G$39,MATCH(6&amp;","&amp;10,$B$40:$G$40,0)),""),"")))</f>
        <v>X</v>
      </c>
      <c r="H49" s="12" t="str">
        <f ca="1">IF(OR(7&gt;$B$5,10&gt;$B$6),"X",IF(IFERROR(INDEX(OFFSET($B$15,$D$46-15,0,1,4),MATCH(7&amp;","&amp;10,OFFSET($B$15,$F$46-15,0,1,4),0)),"")&lt;&gt;"",IFERROR(INDEX(OFFSET($B$15,$D$46-15,0,1,4),MATCH(7&amp;","&amp;10,OFFSET($B$15,$F$46-15,0,1,4),0)),""),IF($B$46="Start",IFERROR(INDEX($B$39:$G$39,MATCH(7&amp;","&amp;10,$B$40:$G$40,0)),""),"")))</f>
        <v>X</v>
      </c>
      <c r="I49" s="12" t="str">
        <f ca="1">IF(OR(8&gt;$B$5,10&gt;$B$6),"X",IF(IFERROR(INDEX(OFFSET($B$15,$D$46-15,0,1,4),MATCH(8&amp;","&amp;10,OFFSET($B$15,$F$46-15,0,1,4),0)),"")&lt;&gt;"",IFERROR(INDEX(OFFSET($B$15,$D$46-15,0,1,4),MATCH(8&amp;","&amp;10,OFFSET($B$15,$F$46-15,0,1,4),0)),""),IF($B$46="Start",IFERROR(INDEX($B$39:$G$39,MATCH(8&amp;","&amp;10,$B$40:$G$40,0)),""),"")))</f>
        <v>X</v>
      </c>
      <c r="J49" s="12" t="str">
        <f ca="1">IF(OR(9&gt;$B$5,10&gt;$B$6),"X",IF(IFERROR(INDEX(OFFSET($B$15,$D$46-15,0,1,4),MATCH(9&amp;","&amp;10,OFFSET($B$15,$F$46-15,0,1,4),0)),"")&lt;&gt;"",IFERROR(INDEX(OFFSET($B$15,$D$46-15,0,1,4),MATCH(9&amp;","&amp;10,OFFSET($B$15,$F$46-15,0,1,4),0)),""),IF($B$46="Start",IFERROR(INDEX($B$39:$G$39,MATCH(9&amp;","&amp;10,$B$40:$G$40,0)),""),"")))</f>
        <v>X</v>
      </c>
      <c r="K49" s="12" t="str">
        <f ca="1">IF(OR(10&gt;$B$5,10&gt;$B$6),"X",IF(IFERROR(INDEX(OFFSET($B$15,$D$46-15,0,1,4),MATCH(10&amp;","&amp;10,OFFSET($B$15,$F$46-15,0,1,4),0)),"")&lt;&gt;"",IFERROR(INDEX(OFFSET($B$15,$D$46-15,0,1,4),MATCH(10&amp;","&amp;10,OFFSET($B$15,$F$46-15,0,1,4),0)),""),IF($B$46="Start",IFERROR(INDEX($B$39:$G$39,MATCH(10&amp;","&amp;10,$B$40:$G$40,0)),""),"")))</f>
        <v>X</v>
      </c>
    </row>
    <row r="50" spans="1:11" x14ac:dyDescent="0.3">
      <c r="A50" s="11">
        <v>9</v>
      </c>
      <c r="B50" s="12" t="str">
        <f ca="1">IF(OR(1&gt;$B$5,9&gt;$B$6),"X",IF(IFERROR(INDEX(OFFSET($B$15,$D$46-15,0,1,4),MATCH(1&amp;","&amp;9,OFFSET($B$15,$F$46-15,0,1,4),0)),"")&lt;&gt;"",IFERROR(INDEX(OFFSET($B$15,$D$46-15,0,1,4),MATCH(1&amp;","&amp;9,OFFSET($B$15,$F$46-15,0,1,4),0)),""),IF($B$46="Start",IFERROR(INDEX($B$39:$G$39,MATCH(1&amp;","&amp;9,$B$40:$G$40,0)),""),"")))</f>
        <v>X</v>
      </c>
      <c r="C50" s="12" t="str">
        <f ca="1">IF(OR(2&gt;$B$5,9&gt;$B$6),"X",IF(IFERROR(INDEX(OFFSET($B$15,$D$46-15,0,1,4),MATCH(2&amp;","&amp;9,OFFSET($B$15,$F$46-15,0,1,4),0)),"")&lt;&gt;"",IFERROR(INDEX(OFFSET($B$15,$D$46-15,0,1,4),MATCH(2&amp;","&amp;9,OFFSET($B$15,$F$46-15,0,1,4),0)),""),IF($B$46="Start",IFERROR(INDEX($B$39:$G$39,MATCH(2&amp;","&amp;9,$B$40:$G$40,0)),""),"")))</f>
        <v>X</v>
      </c>
      <c r="D50" s="12" t="str">
        <f ca="1">IF(OR(3&gt;$B$5,9&gt;$B$6),"X",IF(IFERROR(INDEX(OFFSET($B$15,$D$46-15,0,1,4),MATCH(3&amp;","&amp;9,OFFSET($B$15,$F$46-15,0,1,4),0)),"")&lt;&gt;"",IFERROR(INDEX(OFFSET($B$15,$D$46-15,0,1,4),MATCH(3&amp;","&amp;9,OFFSET($B$15,$F$46-15,0,1,4),0)),""),IF($B$46="Start",IFERROR(INDEX($B$39:$G$39,MATCH(3&amp;","&amp;9,$B$40:$G$40,0)),""),"")))</f>
        <v>X</v>
      </c>
      <c r="E50" s="12" t="str">
        <f ca="1">IF(OR(4&gt;$B$5,9&gt;$B$6),"X",IF(IFERROR(INDEX(OFFSET($B$15,$D$46-15,0,1,4),MATCH(4&amp;","&amp;9,OFFSET($B$15,$F$46-15,0,1,4),0)),"")&lt;&gt;"",IFERROR(INDEX(OFFSET($B$15,$D$46-15,0,1,4),MATCH(4&amp;","&amp;9,OFFSET($B$15,$F$46-15,0,1,4),0)),""),IF($B$46="Start",IFERROR(INDEX($B$39:$G$39,MATCH(4&amp;","&amp;9,$B$40:$G$40,0)),""),"")))</f>
        <v>X</v>
      </c>
      <c r="F50" s="12" t="str">
        <f ca="1">IF(OR(5&gt;$B$5,9&gt;$B$6),"X",IF(IFERROR(INDEX(OFFSET($B$15,$D$46-15,0,1,4),MATCH(5&amp;","&amp;9,OFFSET($B$15,$F$46-15,0,1,4),0)),"")&lt;&gt;"",IFERROR(INDEX(OFFSET($B$15,$D$46-15,0,1,4),MATCH(5&amp;","&amp;9,OFFSET($B$15,$F$46-15,0,1,4),0)),""),IF($B$46="Start",IFERROR(INDEX($B$39:$G$39,MATCH(5&amp;","&amp;9,$B$40:$G$40,0)),""),"")))</f>
        <v>X</v>
      </c>
      <c r="G50" s="12" t="str">
        <f ca="1">IF(OR(6&gt;$B$5,9&gt;$B$6),"X",IF(IFERROR(INDEX(OFFSET($B$15,$D$46-15,0,1,4),MATCH(6&amp;","&amp;9,OFFSET($B$15,$F$46-15,0,1,4),0)),"")&lt;&gt;"",IFERROR(INDEX(OFFSET($B$15,$D$46-15,0,1,4),MATCH(6&amp;","&amp;9,OFFSET($B$15,$F$46-15,0,1,4),0)),""),IF($B$46="Start",IFERROR(INDEX($B$39:$G$39,MATCH(6&amp;","&amp;9,$B$40:$G$40,0)),""),"")))</f>
        <v>X</v>
      </c>
      <c r="H50" s="12" t="str">
        <f ca="1">IF(OR(7&gt;$B$5,9&gt;$B$6),"X",IF(IFERROR(INDEX(OFFSET($B$15,$D$46-15,0,1,4),MATCH(7&amp;","&amp;9,OFFSET($B$15,$F$46-15,0,1,4),0)),"")&lt;&gt;"",IFERROR(INDEX(OFFSET($B$15,$D$46-15,0,1,4),MATCH(7&amp;","&amp;9,OFFSET($B$15,$F$46-15,0,1,4),0)),""),IF($B$46="Start",IFERROR(INDEX($B$39:$G$39,MATCH(7&amp;","&amp;9,$B$40:$G$40,0)),""),"")))</f>
        <v>X</v>
      </c>
      <c r="I50" s="12" t="str">
        <f ca="1">IF(OR(8&gt;$B$5,9&gt;$B$6),"X",IF(IFERROR(INDEX(OFFSET($B$15,$D$46-15,0,1,4),MATCH(8&amp;","&amp;9,OFFSET($B$15,$F$46-15,0,1,4),0)),"")&lt;&gt;"",IFERROR(INDEX(OFFSET($B$15,$D$46-15,0,1,4),MATCH(8&amp;","&amp;9,OFFSET($B$15,$F$46-15,0,1,4),0)),""),IF($B$46="Start",IFERROR(INDEX($B$39:$G$39,MATCH(8&amp;","&amp;9,$B$40:$G$40,0)),""),"")))</f>
        <v>X</v>
      </c>
      <c r="J50" s="12" t="str">
        <f ca="1">IF(OR(9&gt;$B$5,9&gt;$B$6),"X",IF(IFERROR(INDEX(OFFSET($B$15,$D$46-15,0,1,4),MATCH(9&amp;","&amp;9,OFFSET($B$15,$F$46-15,0,1,4),0)),"")&lt;&gt;"",IFERROR(INDEX(OFFSET($B$15,$D$46-15,0,1,4),MATCH(9&amp;","&amp;9,OFFSET($B$15,$F$46-15,0,1,4),0)),""),IF($B$46="Start",IFERROR(INDEX($B$39:$G$39,MATCH(9&amp;","&amp;9,$B$40:$G$40,0)),""),"")))</f>
        <v>X</v>
      </c>
      <c r="K50" s="12" t="str">
        <f ca="1">IF(OR(10&gt;$B$5,9&gt;$B$6),"X",IF(IFERROR(INDEX(OFFSET($B$15,$D$46-15,0,1,4),MATCH(10&amp;","&amp;9,OFFSET($B$15,$F$46-15,0,1,4),0)),"")&lt;&gt;"",IFERROR(INDEX(OFFSET($B$15,$D$46-15,0,1,4),MATCH(10&amp;","&amp;9,OFFSET($B$15,$F$46-15,0,1,4),0)),""),IF($B$46="Start",IFERROR(INDEX($B$39:$G$39,MATCH(10&amp;","&amp;9,$B$40:$G$40,0)),""),"")))</f>
        <v>X</v>
      </c>
    </row>
    <row r="51" spans="1:11" x14ac:dyDescent="0.3">
      <c r="A51" s="11">
        <v>8</v>
      </c>
      <c r="B51" s="12" t="str">
        <f ca="1">IF(OR(1&gt;$B$5,8&gt;$B$6),"X",IF(IFERROR(INDEX(OFFSET($B$15,$D$46-15,0,1,4),MATCH(1&amp;","&amp;8,OFFSET($B$15,$F$46-15,0,1,4),0)),"")&lt;&gt;"",IFERROR(INDEX(OFFSET($B$15,$D$46-15,0,1,4),MATCH(1&amp;","&amp;8,OFFSET($B$15,$F$46-15,0,1,4),0)),""),IF($B$46="Start",IFERROR(INDEX($B$39:$G$39,MATCH(1&amp;","&amp;8,$B$40:$G$40,0)),""),"")))</f>
        <v>X</v>
      </c>
      <c r="C51" s="12" t="str">
        <f ca="1">IF(OR(2&gt;$B$5,8&gt;$B$6),"X",IF(IFERROR(INDEX(OFFSET($B$15,$D$46-15,0,1,4),MATCH(2&amp;","&amp;8,OFFSET($B$15,$F$46-15,0,1,4),0)),"")&lt;&gt;"",IFERROR(INDEX(OFFSET($B$15,$D$46-15,0,1,4),MATCH(2&amp;","&amp;8,OFFSET($B$15,$F$46-15,0,1,4),0)),""),IF($B$46="Start",IFERROR(INDEX($B$39:$G$39,MATCH(2&amp;","&amp;8,$B$40:$G$40,0)),""),"")))</f>
        <v>X</v>
      </c>
      <c r="D51" s="12" t="str">
        <f ca="1">IF(OR(3&gt;$B$5,8&gt;$B$6),"X",IF(IFERROR(INDEX(OFFSET($B$15,$D$46-15,0,1,4),MATCH(3&amp;","&amp;8,OFFSET($B$15,$F$46-15,0,1,4),0)),"")&lt;&gt;"",IFERROR(INDEX(OFFSET($B$15,$D$46-15,0,1,4),MATCH(3&amp;","&amp;8,OFFSET($B$15,$F$46-15,0,1,4),0)),""),IF($B$46="Start",IFERROR(INDEX($B$39:$G$39,MATCH(3&amp;","&amp;8,$B$40:$G$40,0)),""),"")))</f>
        <v>X</v>
      </c>
      <c r="E51" s="12" t="str">
        <f ca="1">IF(OR(4&gt;$B$5,8&gt;$B$6),"X",IF(IFERROR(INDEX(OFFSET($B$15,$D$46-15,0,1,4),MATCH(4&amp;","&amp;8,OFFSET($B$15,$F$46-15,0,1,4),0)),"")&lt;&gt;"",IFERROR(INDEX(OFFSET($B$15,$D$46-15,0,1,4),MATCH(4&amp;","&amp;8,OFFSET($B$15,$F$46-15,0,1,4),0)),""),IF($B$46="Start",IFERROR(INDEX($B$39:$G$39,MATCH(4&amp;","&amp;8,$B$40:$G$40,0)),""),"")))</f>
        <v>X</v>
      </c>
      <c r="F51" s="12" t="str">
        <f ca="1">IF(OR(5&gt;$B$5,8&gt;$B$6),"X",IF(IFERROR(INDEX(OFFSET($B$15,$D$46-15,0,1,4),MATCH(5&amp;","&amp;8,OFFSET($B$15,$F$46-15,0,1,4),0)),"")&lt;&gt;"",IFERROR(INDEX(OFFSET($B$15,$D$46-15,0,1,4),MATCH(5&amp;","&amp;8,OFFSET($B$15,$F$46-15,0,1,4),0)),""),IF($B$46="Start",IFERROR(INDEX($B$39:$G$39,MATCH(5&amp;","&amp;8,$B$40:$G$40,0)),""),"")))</f>
        <v>X</v>
      </c>
      <c r="G51" s="12" t="str">
        <f ca="1">IF(OR(6&gt;$B$5,8&gt;$B$6),"X",IF(IFERROR(INDEX(OFFSET($B$15,$D$46-15,0,1,4),MATCH(6&amp;","&amp;8,OFFSET($B$15,$F$46-15,0,1,4),0)),"")&lt;&gt;"",IFERROR(INDEX(OFFSET($B$15,$D$46-15,0,1,4),MATCH(6&amp;","&amp;8,OFFSET($B$15,$F$46-15,0,1,4),0)),""),IF($B$46="Start",IFERROR(INDEX($B$39:$G$39,MATCH(6&amp;","&amp;8,$B$40:$G$40,0)),""),"")))</f>
        <v>X</v>
      </c>
      <c r="H51" s="12" t="str">
        <f ca="1">IF(OR(7&gt;$B$5,8&gt;$B$6),"X",IF(IFERROR(INDEX(OFFSET($B$15,$D$46-15,0,1,4),MATCH(7&amp;","&amp;8,OFFSET($B$15,$F$46-15,0,1,4),0)),"")&lt;&gt;"",IFERROR(INDEX(OFFSET($B$15,$D$46-15,0,1,4),MATCH(7&amp;","&amp;8,OFFSET($B$15,$F$46-15,0,1,4),0)),""),IF($B$46="Start",IFERROR(INDEX($B$39:$G$39,MATCH(7&amp;","&amp;8,$B$40:$G$40,0)),""),"")))</f>
        <v>X</v>
      </c>
      <c r="I51" s="12" t="str">
        <f ca="1">IF(OR(8&gt;$B$5,8&gt;$B$6),"X",IF(IFERROR(INDEX(OFFSET($B$15,$D$46-15,0,1,4),MATCH(8&amp;","&amp;8,OFFSET($B$15,$F$46-15,0,1,4),0)),"")&lt;&gt;"",IFERROR(INDEX(OFFSET($B$15,$D$46-15,0,1,4),MATCH(8&amp;","&amp;8,OFFSET($B$15,$F$46-15,0,1,4),0)),""),IF($B$46="Start",IFERROR(INDEX($B$39:$G$39,MATCH(8&amp;","&amp;8,$B$40:$G$40,0)),""),"")))</f>
        <v>X</v>
      </c>
      <c r="J51" s="12" t="str">
        <f ca="1">IF(OR(9&gt;$B$5,8&gt;$B$6),"X",IF(IFERROR(INDEX(OFFSET($B$15,$D$46-15,0,1,4),MATCH(9&amp;","&amp;8,OFFSET($B$15,$F$46-15,0,1,4),0)),"")&lt;&gt;"",IFERROR(INDEX(OFFSET($B$15,$D$46-15,0,1,4),MATCH(9&amp;","&amp;8,OFFSET($B$15,$F$46-15,0,1,4),0)),""),IF($B$46="Start",IFERROR(INDEX($B$39:$G$39,MATCH(9&amp;","&amp;8,$B$40:$G$40,0)),""),"")))</f>
        <v>X</v>
      </c>
      <c r="K51" s="12" t="str">
        <f ca="1">IF(OR(10&gt;$B$5,8&gt;$B$6),"X",IF(IFERROR(INDEX(OFFSET($B$15,$D$46-15,0,1,4),MATCH(10&amp;","&amp;8,OFFSET($B$15,$F$46-15,0,1,4),0)),"")&lt;&gt;"",IFERROR(INDEX(OFFSET($B$15,$D$46-15,0,1,4),MATCH(10&amp;","&amp;8,OFFSET($B$15,$F$46-15,0,1,4),0)),""),IF($B$46="Start",IFERROR(INDEX($B$39:$G$39,MATCH(10&amp;","&amp;8,$B$40:$G$40,0)),""),"")))</f>
        <v>X</v>
      </c>
    </row>
    <row r="52" spans="1:11" x14ac:dyDescent="0.3">
      <c r="A52" s="11">
        <v>7</v>
      </c>
      <c r="B52" s="12" t="str">
        <f ca="1">IF(OR(1&gt;$B$5,7&gt;$B$6),"X",IF(IFERROR(INDEX(OFFSET($B$15,$D$46-15,0,1,4),MATCH(1&amp;","&amp;7,OFFSET($B$15,$F$46-15,0,1,4),0)),"")&lt;&gt;"",IFERROR(INDEX(OFFSET($B$15,$D$46-15,0,1,4),MATCH(1&amp;","&amp;7,OFFSET($B$15,$F$46-15,0,1,4),0)),""),IF($B$46="Start",IFERROR(INDEX($B$39:$G$39,MATCH(1&amp;","&amp;7,$B$40:$G$40,0)),""),"")))</f>
        <v>X</v>
      </c>
      <c r="C52" s="12" t="str">
        <f ca="1">IF(OR(2&gt;$B$5,7&gt;$B$6),"X",IF(IFERROR(INDEX(OFFSET($B$15,$D$46-15,0,1,4),MATCH(2&amp;","&amp;7,OFFSET($B$15,$F$46-15,0,1,4),0)),"")&lt;&gt;"",IFERROR(INDEX(OFFSET($B$15,$D$46-15,0,1,4),MATCH(2&amp;","&amp;7,OFFSET($B$15,$F$46-15,0,1,4),0)),""),IF($B$46="Start",IFERROR(INDEX($B$39:$G$39,MATCH(2&amp;","&amp;7,$B$40:$G$40,0)),""),"")))</f>
        <v>X</v>
      </c>
      <c r="D52" s="12" t="str">
        <f ca="1">IF(OR(3&gt;$B$5,7&gt;$B$6),"X",IF(IFERROR(INDEX(OFFSET($B$15,$D$46-15,0,1,4),MATCH(3&amp;","&amp;7,OFFSET($B$15,$F$46-15,0,1,4),0)),"")&lt;&gt;"",IFERROR(INDEX(OFFSET($B$15,$D$46-15,0,1,4),MATCH(3&amp;","&amp;7,OFFSET($B$15,$F$46-15,0,1,4),0)),""),IF($B$46="Start",IFERROR(INDEX($B$39:$G$39,MATCH(3&amp;","&amp;7,$B$40:$G$40,0)),""),"")))</f>
        <v>X</v>
      </c>
      <c r="E52" s="12" t="str">
        <f ca="1">IF(OR(4&gt;$B$5,7&gt;$B$6),"X",IF(IFERROR(INDEX(OFFSET($B$15,$D$46-15,0,1,4),MATCH(4&amp;","&amp;7,OFFSET($B$15,$F$46-15,0,1,4),0)),"")&lt;&gt;"",IFERROR(INDEX(OFFSET($B$15,$D$46-15,0,1,4),MATCH(4&amp;","&amp;7,OFFSET($B$15,$F$46-15,0,1,4),0)),""),IF($B$46="Start",IFERROR(INDEX($B$39:$G$39,MATCH(4&amp;","&amp;7,$B$40:$G$40,0)),""),"")))</f>
        <v>X</v>
      </c>
      <c r="F52" s="12" t="str">
        <f ca="1">IF(OR(5&gt;$B$5,7&gt;$B$6),"X",IF(IFERROR(INDEX(OFFSET($B$15,$D$46-15,0,1,4),MATCH(5&amp;","&amp;7,OFFSET($B$15,$F$46-15,0,1,4),0)),"")&lt;&gt;"",IFERROR(INDEX(OFFSET($B$15,$D$46-15,0,1,4),MATCH(5&amp;","&amp;7,OFFSET($B$15,$F$46-15,0,1,4),0)),""),IF($B$46="Start",IFERROR(INDEX($B$39:$G$39,MATCH(5&amp;","&amp;7,$B$40:$G$40,0)),""),"")))</f>
        <v>X</v>
      </c>
      <c r="G52" s="12" t="str">
        <f ca="1">IF(OR(6&gt;$B$5,7&gt;$B$6),"X",IF(IFERROR(INDEX(OFFSET($B$15,$D$46-15,0,1,4),MATCH(6&amp;","&amp;7,OFFSET($B$15,$F$46-15,0,1,4),0)),"")&lt;&gt;"",IFERROR(INDEX(OFFSET($B$15,$D$46-15,0,1,4),MATCH(6&amp;","&amp;7,OFFSET($B$15,$F$46-15,0,1,4),0)),""),IF($B$46="Start",IFERROR(INDEX($B$39:$G$39,MATCH(6&amp;","&amp;7,$B$40:$G$40,0)),""),"")))</f>
        <v>X</v>
      </c>
      <c r="H52" s="12" t="str">
        <f ca="1">IF(OR(7&gt;$B$5,7&gt;$B$6),"X",IF(IFERROR(INDEX(OFFSET($B$15,$D$46-15,0,1,4),MATCH(7&amp;","&amp;7,OFFSET($B$15,$F$46-15,0,1,4),0)),"")&lt;&gt;"",IFERROR(INDEX(OFFSET($B$15,$D$46-15,0,1,4),MATCH(7&amp;","&amp;7,OFFSET($B$15,$F$46-15,0,1,4),0)),""),IF($B$46="Start",IFERROR(INDEX($B$39:$G$39,MATCH(7&amp;","&amp;7,$B$40:$G$40,0)),""),"")))</f>
        <v>X</v>
      </c>
      <c r="I52" s="12" t="str">
        <f ca="1">IF(OR(8&gt;$B$5,7&gt;$B$6),"X",IF(IFERROR(INDEX(OFFSET($B$15,$D$46-15,0,1,4),MATCH(8&amp;","&amp;7,OFFSET($B$15,$F$46-15,0,1,4),0)),"")&lt;&gt;"",IFERROR(INDEX(OFFSET($B$15,$D$46-15,0,1,4),MATCH(8&amp;","&amp;7,OFFSET($B$15,$F$46-15,0,1,4),0)),""),IF($B$46="Start",IFERROR(INDEX($B$39:$G$39,MATCH(8&amp;","&amp;7,$B$40:$G$40,0)),""),"")))</f>
        <v>X</v>
      </c>
      <c r="J52" s="12" t="str">
        <f ca="1">IF(OR(9&gt;$B$5,7&gt;$B$6),"X",IF(IFERROR(INDEX(OFFSET($B$15,$D$46-15,0,1,4),MATCH(9&amp;","&amp;7,OFFSET($B$15,$F$46-15,0,1,4),0)),"")&lt;&gt;"",IFERROR(INDEX(OFFSET($B$15,$D$46-15,0,1,4),MATCH(9&amp;","&amp;7,OFFSET($B$15,$F$46-15,0,1,4),0)),""),IF($B$46="Start",IFERROR(INDEX($B$39:$G$39,MATCH(9&amp;","&amp;7,$B$40:$G$40,0)),""),"")))</f>
        <v>X</v>
      </c>
      <c r="K52" s="12" t="str">
        <f ca="1">IF(OR(10&gt;$B$5,7&gt;$B$6),"X",IF(IFERROR(INDEX(OFFSET($B$15,$D$46-15,0,1,4),MATCH(10&amp;","&amp;7,OFFSET($B$15,$F$46-15,0,1,4),0)),"")&lt;&gt;"",IFERROR(INDEX(OFFSET($B$15,$D$46-15,0,1,4),MATCH(10&amp;","&amp;7,OFFSET($B$15,$F$46-15,0,1,4),0)),""),IF($B$46="Start",IFERROR(INDEX($B$39:$G$39,MATCH(10&amp;","&amp;7,$B$40:$G$40,0)),""),"")))</f>
        <v>X</v>
      </c>
    </row>
    <row r="53" spans="1:11" x14ac:dyDescent="0.3">
      <c r="A53" s="11">
        <v>6</v>
      </c>
      <c r="B53" s="12" t="str">
        <f ca="1">IF(OR(1&gt;$B$5,6&gt;$B$6),"X",IF(IFERROR(INDEX(OFFSET($B$15,$D$46-15,0,1,4),MATCH(1&amp;","&amp;6,OFFSET($B$15,$F$46-15,0,1,4),0)),"")&lt;&gt;"",IFERROR(INDEX(OFFSET($B$15,$D$46-15,0,1,4),MATCH(1&amp;","&amp;6,OFFSET($B$15,$F$46-15,0,1,4),0)),""),IF($B$46="Start",IFERROR(INDEX($B$39:$G$39,MATCH(1&amp;","&amp;6,$B$40:$G$40,0)),""),"")))</f>
        <v>EnemyRanger</v>
      </c>
      <c r="C53" s="12" t="str">
        <f ca="1">IF(OR(2&gt;$B$5,6&gt;$B$6),"X",IF(IFERROR(INDEX(OFFSET($B$15,$D$46-15,0,1,4),MATCH(2&amp;","&amp;6,OFFSET($B$15,$F$46-15,0,1,4),0)),"")&lt;&gt;"",IFERROR(INDEX(OFFSET($B$15,$D$46-15,0,1,4),MATCH(2&amp;","&amp;6,OFFSET($B$15,$F$46-15,0,1,4),0)),""),IF($B$46="Start",IFERROR(INDEX($B$39:$G$39,MATCH(2&amp;","&amp;6,$B$40:$G$40,0)),""),"")))</f>
        <v/>
      </c>
      <c r="D53" s="12" t="str">
        <f ca="1">IF(OR(3&gt;$B$5,6&gt;$B$6),"X",IF(IFERROR(INDEX(OFFSET($B$15,$D$46-15,0,1,4),MATCH(3&amp;","&amp;6,OFFSET($B$15,$F$46-15,0,1,4),0)),"")&lt;&gt;"",IFERROR(INDEX(OFFSET($B$15,$D$46-15,0,1,4),MATCH(3&amp;","&amp;6,OFFSET($B$15,$F$46-15,0,1,4),0)),""),IF($B$46="Start",IFERROR(INDEX($B$39:$G$39,MATCH(3&amp;","&amp;6,$B$40:$G$40,0)),""),"")))</f>
        <v/>
      </c>
      <c r="E53" s="12" t="str">
        <f ca="1">IF(OR(4&gt;$B$5,6&gt;$B$6),"X",IF(IFERROR(INDEX(OFFSET($B$15,$D$46-15,0,1,4),MATCH(4&amp;","&amp;6,OFFSET($B$15,$F$46-15,0,1,4),0)),"")&lt;&gt;"",IFERROR(INDEX(OFFSET($B$15,$D$46-15,0,1,4),MATCH(4&amp;","&amp;6,OFFSET($B$15,$F$46-15,0,1,4),0)),""),IF($B$46="Start",IFERROR(INDEX($B$39:$G$39,MATCH(4&amp;","&amp;6,$B$40:$G$40,0)),""),"")))</f>
        <v/>
      </c>
      <c r="F53" s="12" t="str">
        <f ca="1">IF(OR(5&gt;$B$5,6&gt;$B$6),"X",IF(IFERROR(INDEX(OFFSET($B$15,$D$46-15,0,1,4),MATCH(5&amp;","&amp;6,OFFSET($B$15,$F$46-15,0,1,4),0)),"")&lt;&gt;"",IFERROR(INDEX(OFFSET($B$15,$D$46-15,0,1,4),MATCH(5&amp;","&amp;6,OFFSET($B$15,$F$46-15,0,1,4),0)),""),IF($B$46="Start",IFERROR(INDEX($B$39:$G$39,MATCH(5&amp;","&amp;6,$B$40:$G$40,0)),""),"")))</f>
        <v/>
      </c>
      <c r="G53" s="12" t="str">
        <f ca="1">IF(OR(6&gt;$B$5,6&gt;$B$6),"X",IF(IFERROR(INDEX(OFFSET($B$15,$D$46-15,0,1,4),MATCH(6&amp;","&amp;6,OFFSET($B$15,$F$46-15,0,1,4),0)),"")&lt;&gt;"",IFERROR(INDEX(OFFSET($B$15,$D$46-15,0,1,4),MATCH(6&amp;","&amp;6,OFFSET($B$15,$F$46-15,0,1,4),0)),""),IF($B$46="Start",IFERROR(INDEX($B$39:$G$39,MATCH(6&amp;","&amp;6,$B$40:$G$40,0)),""),"")))</f>
        <v>EnemyRanger</v>
      </c>
      <c r="H53" s="12" t="str">
        <f ca="1">IF(OR(7&gt;$B$5,6&gt;$B$6),"X",IF(IFERROR(INDEX(OFFSET($B$15,$D$46-15,0,1,4),MATCH(7&amp;","&amp;6,OFFSET($B$15,$F$46-15,0,1,4),0)),"")&lt;&gt;"",IFERROR(INDEX(OFFSET($B$15,$D$46-15,0,1,4),MATCH(7&amp;","&amp;6,OFFSET($B$15,$F$46-15,0,1,4),0)),""),IF($B$46="Start",IFERROR(INDEX($B$39:$G$39,MATCH(7&amp;","&amp;6,$B$40:$G$40,0)),""),"")))</f>
        <v>X</v>
      </c>
      <c r="I53" s="12" t="str">
        <f ca="1">IF(OR(8&gt;$B$5,6&gt;$B$6),"X",IF(IFERROR(INDEX(OFFSET($B$15,$D$46-15,0,1,4),MATCH(8&amp;","&amp;6,OFFSET($B$15,$F$46-15,0,1,4),0)),"")&lt;&gt;"",IFERROR(INDEX(OFFSET($B$15,$D$46-15,0,1,4),MATCH(8&amp;","&amp;6,OFFSET($B$15,$F$46-15,0,1,4),0)),""),IF($B$46="Start",IFERROR(INDEX($B$39:$G$39,MATCH(8&amp;","&amp;6,$B$40:$G$40,0)),""),"")))</f>
        <v>X</v>
      </c>
      <c r="J53" s="12" t="str">
        <f ca="1">IF(OR(9&gt;$B$5,6&gt;$B$6),"X",IF(IFERROR(INDEX(OFFSET($B$15,$D$46-15,0,1,4),MATCH(9&amp;","&amp;6,OFFSET($B$15,$F$46-15,0,1,4),0)),"")&lt;&gt;"",IFERROR(INDEX(OFFSET($B$15,$D$46-15,0,1,4),MATCH(9&amp;","&amp;6,OFFSET($B$15,$F$46-15,0,1,4),0)),""),IF($B$46="Start",IFERROR(INDEX($B$39:$G$39,MATCH(9&amp;","&amp;6,$B$40:$G$40,0)),""),"")))</f>
        <v>X</v>
      </c>
      <c r="K53" s="12" t="str">
        <f ca="1">IF(OR(10&gt;$B$5,6&gt;$B$6),"X",IF(IFERROR(INDEX(OFFSET($B$15,$D$46-15,0,1,4),MATCH(10&amp;","&amp;6,OFFSET($B$15,$F$46-15,0,1,4),0)),"")&lt;&gt;"",IFERROR(INDEX(OFFSET($B$15,$D$46-15,0,1,4),MATCH(10&amp;","&amp;6,OFFSET($B$15,$F$46-15,0,1,4),0)),""),IF($B$46="Start",IFERROR(INDEX($B$39:$G$39,MATCH(10&amp;","&amp;6,$B$40:$G$40,0)),""),"")))</f>
        <v>X</v>
      </c>
    </row>
    <row r="54" spans="1:11" x14ac:dyDescent="0.3">
      <c r="A54" s="11">
        <v>5</v>
      </c>
      <c r="B54" s="12" t="str">
        <f ca="1">IF(OR(1&gt;$B$5,5&gt;$B$6),"X",IF(IFERROR(INDEX(OFFSET($B$15,$D$46-15,0,1,4),MATCH(1&amp;","&amp;5,OFFSET($B$15,$F$46-15,0,1,4),0)),"")&lt;&gt;"",IFERROR(INDEX(OFFSET($B$15,$D$46-15,0,1,4),MATCH(1&amp;","&amp;5,OFFSET($B$15,$F$46-15,0,1,4),0)),""),IF($B$46="Start",IFERROR(INDEX($B$39:$G$39,MATCH(1&amp;","&amp;5,$B$40:$G$40,0)),""),"")))</f>
        <v/>
      </c>
      <c r="C54" s="12" t="str">
        <f ca="1">IF(OR(2&gt;$B$5,5&gt;$B$6),"X",IF(IFERROR(INDEX(OFFSET($B$15,$D$46-15,0,1,4),MATCH(2&amp;","&amp;5,OFFSET($B$15,$F$46-15,0,1,4),0)),"")&lt;&gt;"",IFERROR(INDEX(OFFSET($B$15,$D$46-15,0,1,4),MATCH(2&amp;","&amp;5,OFFSET($B$15,$F$46-15,0,1,4),0)),""),IF($B$46="Start",IFERROR(INDEX($B$39:$G$39,MATCH(2&amp;","&amp;5,$B$40:$G$40,0)),""),"")))</f>
        <v>SkeletonWarrior</v>
      </c>
      <c r="D54" s="12" t="str">
        <f ca="1">IF(OR(3&gt;$B$5,5&gt;$B$6),"X",IF(IFERROR(INDEX(OFFSET($B$15,$D$46-15,0,1,4),MATCH(3&amp;","&amp;5,OFFSET($B$15,$F$46-15,0,1,4),0)),"")&lt;&gt;"",IFERROR(INDEX(OFFSET($B$15,$D$46-15,0,1,4),MATCH(3&amp;","&amp;5,OFFSET($B$15,$F$46-15,0,1,4),0)),""),IF($B$46="Start",IFERROR(INDEX($B$39:$G$39,MATCH(3&amp;","&amp;5,$B$40:$G$40,0)),""),"")))</f>
        <v/>
      </c>
      <c r="E54" s="12" t="str">
        <f ca="1">IF(OR(4&gt;$B$5,5&gt;$B$6),"X",IF(IFERROR(INDEX(OFFSET($B$15,$D$46-15,0,1,4),MATCH(4&amp;","&amp;5,OFFSET($B$15,$F$46-15,0,1,4),0)),"")&lt;&gt;"",IFERROR(INDEX(OFFSET($B$15,$D$46-15,0,1,4),MATCH(4&amp;","&amp;5,OFFSET($B$15,$F$46-15,0,1,4),0)),""),IF($B$46="Start",IFERROR(INDEX($B$39:$G$39,MATCH(4&amp;","&amp;5,$B$40:$G$40,0)),""),"")))</f>
        <v/>
      </c>
      <c r="F54" s="12" t="str">
        <f ca="1">IF(OR(5&gt;$B$5,5&gt;$B$6),"X",IF(IFERROR(INDEX(OFFSET($B$15,$D$46-15,0,1,4),MATCH(5&amp;","&amp;5,OFFSET($B$15,$F$46-15,0,1,4),0)),"")&lt;&gt;"",IFERROR(INDEX(OFFSET($B$15,$D$46-15,0,1,4),MATCH(5&amp;","&amp;5,OFFSET($B$15,$F$46-15,0,1,4),0)),""),IF($B$46="Start",IFERROR(INDEX($B$39:$G$39,MATCH(5&amp;","&amp;5,$B$40:$G$40,0)),""),"")))</f>
        <v>SkeletonWarrior</v>
      </c>
      <c r="G54" s="12" t="str">
        <f ca="1">IF(OR(6&gt;$B$5,5&gt;$B$6),"X",IF(IFERROR(INDEX(OFFSET($B$15,$D$46-15,0,1,4),MATCH(6&amp;","&amp;5,OFFSET($B$15,$F$46-15,0,1,4),0)),"")&lt;&gt;"",IFERROR(INDEX(OFFSET($B$15,$D$46-15,0,1,4),MATCH(6&amp;","&amp;5,OFFSET($B$15,$F$46-15,0,1,4),0)),""),IF($B$46="Start",IFERROR(INDEX($B$39:$G$39,MATCH(6&amp;","&amp;5,$B$40:$G$40,0)),""),"")))</f>
        <v/>
      </c>
      <c r="H54" s="12" t="str">
        <f ca="1">IF(OR(7&gt;$B$5,5&gt;$B$6),"X",IF(IFERROR(INDEX(OFFSET($B$15,$D$46-15,0,1,4),MATCH(7&amp;","&amp;5,OFFSET($B$15,$F$46-15,0,1,4),0)),"")&lt;&gt;"",IFERROR(INDEX(OFFSET($B$15,$D$46-15,0,1,4),MATCH(7&amp;","&amp;5,OFFSET($B$15,$F$46-15,0,1,4),0)),""),IF($B$46="Start",IFERROR(INDEX($B$39:$G$39,MATCH(7&amp;","&amp;5,$B$40:$G$40,0)),""),"")))</f>
        <v>X</v>
      </c>
      <c r="I54" s="12" t="str">
        <f ca="1">IF(OR(8&gt;$B$5,5&gt;$B$6),"X",IF(IFERROR(INDEX(OFFSET($B$15,$D$46-15,0,1,4),MATCH(8&amp;","&amp;5,OFFSET($B$15,$F$46-15,0,1,4),0)),"")&lt;&gt;"",IFERROR(INDEX(OFFSET($B$15,$D$46-15,0,1,4),MATCH(8&amp;","&amp;5,OFFSET($B$15,$F$46-15,0,1,4),0)),""),IF($B$46="Start",IFERROR(INDEX($B$39:$G$39,MATCH(8&amp;","&amp;5,$B$40:$G$40,0)),""),"")))</f>
        <v>X</v>
      </c>
      <c r="J54" s="12" t="str">
        <f ca="1">IF(OR(9&gt;$B$5,5&gt;$B$6),"X",IF(IFERROR(INDEX(OFFSET($B$15,$D$46-15,0,1,4),MATCH(9&amp;","&amp;5,OFFSET($B$15,$F$46-15,0,1,4),0)),"")&lt;&gt;"",IFERROR(INDEX(OFFSET($B$15,$D$46-15,0,1,4),MATCH(9&amp;","&amp;5,OFFSET($B$15,$F$46-15,0,1,4),0)),""),IF($B$46="Start",IFERROR(INDEX($B$39:$G$39,MATCH(9&amp;","&amp;5,$B$40:$G$40,0)),""),"")))</f>
        <v>X</v>
      </c>
      <c r="K54" s="12" t="str">
        <f ca="1">IF(OR(10&gt;$B$5,5&gt;$B$6),"X",IF(IFERROR(INDEX(OFFSET($B$15,$D$46-15,0,1,4),MATCH(10&amp;","&amp;5,OFFSET($B$15,$F$46-15,0,1,4),0)),"")&lt;&gt;"",IFERROR(INDEX(OFFSET($B$15,$D$46-15,0,1,4),MATCH(10&amp;","&amp;5,OFFSET($B$15,$F$46-15,0,1,4),0)),""),IF($B$46="Start",IFERROR(INDEX($B$39:$G$39,MATCH(10&amp;","&amp;5,$B$40:$G$40,0)),""),"")))</f>
        <v>X</v>
      </c>
    </row>
    <row r="55" spans="1:11" x14ac:dyDescent="0.3">
      <c r="A55" s="11">
        <v>4</v>
      </c>
      <c r="B55" s="12" t="str">
        <f ca="1">IF(OR(1&gt;$B$5,4&gt;$B$6),"X",IF(IFERROR(INDEX(OFFSET($B$15,$D$46-15,0,1,4),MATCH(1&amp;","&amp;4,OFFSET($B$15,$F$46-15,0,1,4),0)),"")&lt;&gt;"",IFERROR(INDEX(OFFSET($B$15,$D$46-15,0,1,4),MATCH(1&amp;","&amp;4,OFFSET($B$15,$F$46-15,0,1,4),0)),""),IF($B$46="Start",IFERROR(INDEX($B$39:$G$39,MATCH(1&amp;","&amp;4,$B$40:$G$40,0)),""),"")))</f>
        <v/>
      </c>
      <c r="C55" s="12" t="str">
        <f ca="1">IF(OR(2&gt;$B$5,4&gt;$B$6),"X",IF(IFERROR(INDEX(OFFSET($B$15,$D$46-15,0,1,4),MATCH(2&amp;","&amp;4,OFFSET($B$15,$F$46-15,0,1,4),0)),"")&lt;&gt;"",IFERROR(INDEX(OFFSET($B$15,$D$46-15,0,1,4),MATCH(2&amp;","&amp;4,OFFSET($B$15,$F$46-15,0,1,4),0)),""),IF($B$46="Start",IFERROR(INDEX($B$39:$G$39,MATCH(2&amp;","&amp;4,$B$40:$G$40,0)),""),"")))</f>
        <v/>
      </c>
      <c r="D55" s="12" t="str">
        <f ca="1">IF(OR(3&gt;$B$5,4&gt;$B$6),"X",IF(IFERROR(INDEX(OFFSET($B$15,$D$46-15,0,1,4),MATCH(3&amp;","&amp;4,OFFSET($B$15,$F$46-15,0,1,4),0)),"")&lt;&gt;"",IFERROR(INDEX(OFFSET($B$15,$D$46-15,0,1,4),MATCH(3&amp;","&amp;4,OFFSET($B$15,$F$46-15,0,1,4),0)),""),IF($B$46="Start",IFERROR(INDEX($B$39:$G$39,MATCH(3&amp;","&amp;4,$B$40:$G$40,0)),""),"")))</f>
        <v>P1</v>
      </c>
      <c r="E55" s="12" t="str">
        <f ca="1">IF(OR(4&gt;$B$5,4&gt;$B$6),"X",IF(IFERROR(INDEX(OFFSET($B$15,$D$46-15,0,1,4),MATCH(4&amp;","&amp;4,OFFSET($B$15,$F$46-15,0,1,4),0)),"")&lt;&gt;"",IFERROR(INDEX(OFFSET($B$15,$D$46-15,0,1,4),MATCH(4&amp;","&amp;4,OFFSET($B$15,$F$46-15,0,1,4),0)),""),IF($B$46="Start",IFERROR(INDEX($B$39:$G$39,MATCH(4&amp;","&amp;4,$B$40:$G$40,0)),""),"")))</f>
        <v>P3</v>
      </c>
      <c r="F55" s="12" t="str">
        <f ca="1">IF(OR(5&gt;$B$5,4&gt;$B$6),"X",IF(IFERROR(INDEX(OFFSET($B$15,$D$46-15,0,1,4),MATCH(5&amp;","&amp;4,OFFSET($B$15,$F$46-15,0,1,4),0)),"")&lt;&gt;"",IFERROR(INDEX(OFFSET($B$15,$D$46-15,0,1,4),MATCH(5&amp;","&amp;4,OFFSET($B$15,$F$46-15,0,1,4),0)),""),IF($B$46="Start",IFERROR(INDEX($B$39:$G$39,MATCH(5&amp;","&amp;4,$B$40:$G$40,0)),""),"")))</f>
        <v/>
      </c>
      <c r="G55" s="12" t="str">
        <f ca="1">IF(OR(6&gt;$B$5,4&gt;$B$6),"X",IF(IFERROR(INDEX(OFFSET($B$15,$D$46-15,0,1,4),MATCH(6&amp;","&amp;4,OFFSET($B$15,$F$46-15,0,1,4),0)),"")&lt;&gt;"",IFERROR(INDEX(OFFSET($B$15,$D$46-15,0,1,4),MATCH(6&amp;","&amp;4,OFFSET($B$15,$F$46-15,0,1,4),0)),""),IF($B$46="Start",IFERROR(INDEX($B$39:$G$39,MATCH(6&amp;","&amp;4,$B$40:$G$40,0)),""),"")))</f>
        <v/>
      </c>
      <c r="H55" s="12" t="str">
        <f ca="1">IF(OR(7&gt;$B$5,4&gt;$B$6),"X",IF(IFERROR(INDEX(OFFSET($B$15,$D$46-15,0,1,4),MATCH(7&amp;","&amp;4,OFFSET($B$15,$F$46-15,0,1,4),0)),"")&lt;&gt;"",IFERROR(INDEX(OFFSET($B$15,$D$46-15,0,1,4),MATCH(7&amp;","&amp;4,OFFSET($B$15,$F$46-15,0,1,4),0)),""),IF($B$46="Start",IFERROR(INDEX($B$39:$G$39,MATCH(7&amp;","&amp;4,$B$40:$G$40,0)),""),"")))</f>
        <v>X</v>
      </c>
      <c r="I55" s="12" t="str">
        <f ca="1">IF(OR(8&gt;$B$5,4&gt;$B$6),"X",IF(IFERROR(INDEX(OFFSET($B$15,$D$46-15,0,1,4),MATCH(8&amp;","&amp;4,OFFSET($B$15,$F$46-15,0,1,4),0)),"")&lt;&gt;"",IFERROR(INDEX(OFFSET($B$15,$D$46-15,0,1,4),MATCH(8&amp;","&amp;4,OFFSET($B$15,$F$46-15,0,1,4),0)),""),IF($B$46="Start",IFERROR(INDEX($B$39:$G$39,MATCH(8&amp;","&amp;4,$B$40:$G$40,0)),""),"")))</f>
        <v>X</v>
      </c>
      <c r="J55" s="12" t="str">
        <f ca="1">IF(OR(9&gt;$B$5,4&gt;$B$6),"X",IF(IFERROR(INDEX(OFFSET($B$15,$D$46-15,0,1,4),MATCH(9&amp;","&amp;4,OFFSET($B$15,$F$46-15,0,1,4),0)),"")&lt;&gt;"",IFERROR(INDEX(OFFSET($B$15,$D$46-15,0,1,4),MATCH(9&amp;","&amp;4,OFFSET($B$15,$F$46-15,0,1,4),0)),""),IF($B$46="Start",IFERROR(INDEX($B$39:$G$39,MATCH(9&amp;","&amp;4,$B$40:$G$40,0)),""),"")))</f>
        <v>X</v>
      </c>
      <c r="K55" s="12" t="str">
        <f ca="1">IF(OR(10&gt;$B$5,4&gt;$B$6),"X",IF(IFERROR(INDEX(OFFSET($B$15,$D$46-15,0,1,4),MATCH(10&amp;","&amp;4,OFFSET($B$15,$F$46-15,0,1,4),0)),"")&lt;&gt;"",IFERROR(INDEX(OFFSET($B$15,$D$46-15,0,1,4),MATCH(10&amp;","&amp;4,OFFSET($B$15,$F$46-15,0,1,4),0)),""),IF($B$46="Start",IFERROR(INDEX($B$39:$G$39,MATCH(10&amp;","&amp;4,$B$40:$G$40,0)),""),"")))</f>
        <v>X</v>
      </c>
    </row>
    <row r="56" spans="1:11" x14ac:dyDescent="0.3">
      <c r="A56" s="11">
        <v>3</v>
      </c>
      <c r="B56" s="12" t="str">
        <f ca="1">IF(OR(1&gt;$B$5,3&gt;$B$6),"X",IF(IFERROR(INDEX(OFFSET($B$15,$D$46-15,0,1,4),MATCH(1&amp;","&amp;3,OFFSET($B$15,$F$46-15,0,1,4),0)),"")&lt;&gt;"",IFERROR(INDEX(OFFSET($B$15,$D$46-15,0,1,4),MATCH(1&amp;","&amp;3,OFFSET($B$15,$F$46-15,0,1,4),0)),""),IF($B$46="Start",IFERROR(INDEX($B$39:$G$39,MATCH(1&amp;","&amp;3,$B$40:$G$40,0)),""),"")))</f>
        <v/>
      </c>
      <c r="C56" s="12" t="str">
        <f ca="1">IF(OR(2&gt;$B$5,3&gt;$B$6),"X",IF(IFERROR(INDEX(OFFSET($B$15,$D$46-15,0,1,4),MATCH(2&amp;","&amp;3,OFFSET($B$15,$F$46-15,0,1,4),0)),"")&lt;&gt;"",IFERROR(INDEX(OFFSET($B$15,$D$46-15,0,1,4),MATCH(2&amp;","&amp;3,OFFSET($B$15,$F$46-15,0,1,4),0)),""),IF($B$46="Start",IFERROR(INDEX($B$39:$G$39,MATCH(2&amp;","&amp;3,$B$40:$G$40,0)),""),"")))</f>
        <v/>
      </c>
      <c r="D56" s="12" t="str">
        <f ca="1">IF(OR(3&gt;$B$5,3&gt;$B$6),"X",IF(IFERROR(INDEX(OFFSET($B$15,$D$46-15,0,1,4),MATCH(3&amp;","&amp;3,OFFSET($B$15,$F$46-15,0,1,4),0)),"")&lt;&gt;"",IFERROR(INDEX(OFFSET($B$15,$D$46-15,0,1,4),MATCH(3&amp;","&amp;3,OFFSET($B$15,$F$46-15,0,1,4),0)),""),IF($B$46="Start",IFERROR(INDEX($B$39:$G$39,MATCH(3&amp;","&amp;3,$B$40:$G$40,0)),""),"")))</f>
        <v>P2</v>
      </c>
      <c r="E56" s="12" t="str">
        <f ca="1">IF(OR(4&gt;$B$5,3&gt;$B$6),"X",IF(IFERROR(INDEX(OFFSET($B$15,$D$46-15,0,1,4),MATCH(4&amp;","&amp;3,OFFSET($B$15,$F$46-15,0,1,4),0)),"")&lt;&gt;"",IFERROR(INDEX(OFFSET($B$15,$D$46-15,0,1,4),MATCH(4&amp;","&amp;3,OFFSET($B$15,$F$46-15,0,1,4),0)),""),IF($B$46="Start",IFERROR(INDEX($B$39:$G$39,MATCH(4&amp;","&amp;3,$B$40:$G$40,0)),""),"")))</f>
        <v>P4</v>
      </c>
      <c r="F56" s="12" t="str">
        <f ca="1">IF(OR(5&gt;$B$5,3&gt;$B$6),"X",IF(IFERROR(INDEX(OFFSET($B$15,$D$46-15,0,1,4),MATCH(5&amp;","&amp;3,OFFSET($B$15,$F$46-15,0,1,4),0)),"")&lt;&gt;"",IFERROR(INDEX(OFFSET($B$15,$D$46-15,0,1,4),MATCH(5&amp;","&amp;3,OFFSET($B$15,$F$46-15,0,1,4),0)),""),IF($B$46="Start",IFERROR(INDEX($B$39:$G$39,MATCH(5&amp;","&amp;3,$B$40:$G$40,0)),""),"")))</f>
        <v/>
      </c>
      <c r="G56" s="12" t="str">
        <f ca="1">IF(OR(6&gt;$B$5,3&gt;$B$6),"X",IF(IFERROR(INDEX(OFFSET($B$15,$D$46-15,0,1,4),MATCH(6&amp;","&amp;3,OFFSET($B$15,$F$46-15,0,1,4),0)),"")&lt;&gt;"",IFERROR(INDEX(OFFSET($B$15,$D$46-15,0,1,4),MATCH(6&amp;","&amp;3,OFFSET($B$15,$F$46-15,0,1,4),0)),""),IF($B$46="Start",IFERROR(INDEX($B$39:$G$39,MATCH(6&amp;","&amp;3,$B$40:$G$40,0)),""),"")))</f>
        <v/>
      </c>
      <c r="H56" s="12" t="str">
        <f ca="1">IF(OR(7&gt;$B$5,3&gt;$B$6),"X",IF(IFERROR(INDEX(OFFSET($B$15,$D$46-15,0,1,4),MATCH(7&amp;","&amp;3,OFFSET($B$15,$F$46-15,0,1,4),0)),"")&lt;&gt;"",IFERROR(INDEX(OFFSET($B$15,$D$46-15,0,1,4),MATCH(7&amp;","&amp;3,OFFSET($B$15,$F$46-15,0,1,4),0)),""),IF($B$46="Start",IFERROR(INDEX($B$39:$G$39,MATCH(7&amp;","&amp;3,$B$40:$G$40,0)),""),"")))</f>
        <v>X</v>
      </c>
      <c r="I56" s="12" t="str">
        <f ca="1">IF(OR(8&gt;$B$5,3&gt;$B$6),"X",IF(IFERROR(INDEX(OFFSET($B$15,$D$46-15,0,1,4),MATCH(8&amp;","&amp;3,OFFSET($B$15,$F$46-15,0,1,4),0)),"")&lt;&gt;"",IFERROR(INDEX(OFFSET($B$15,$D$46-15,0,1,4),MATCH(8&amp;","&amp;3,OFFSET($B$15,$F$46-15,0,1,4),0)),""),IF($B$46="Start",IFERROR(INDEX($B$39:$G$39,MATCH(8&amp;","&amp;3,$B$40:$G$40,0)),""),"")))</f>
        <v>X</v>
      </c>
      <c r="J56" s="12" t="str">
        <f ca="1">IF(OR(9&gt;$B$5,3&gt;$B$6),"X",IF(IFERROR(INDEX(OFFSET($B$15,$D$46-15,0,1,4),MATCH(9&amp;","&amp;3,OFFSET($B$15,$F$46-15,0,1,4),0)),"")&lt;&gt;"",IFERROR(INDEX(OFFSET($B$15,$D$46-15,0,1,4),MATCH(9&amp;","&amp;3,OFFSET($B$15,$F$46-15,0,1,4),0)),""),IF($B$46="Start",IFERROR(INDEX($B$39:$G$39,MATCH(9&amp;","&amp;3,$B$40:$G$40,0)),""),"")))</f>
        <v>X</v>
      </c>
      <c r="K56" s="12" t="str">
        <f ca="1">IF(OR(10&gt;$B$5,3&gt;$B$6),"X",IF(IFERROR(INDEX(OFFSET($B$15,$D$46-15,0,1,4),MATCH(10&amp;","&amp;3,OFFSET($B$15,$F$46-15,0,1,4),0)),"")&lt;&gt;"",IFERROR(INDEX(OFFSET($B$15,$D$46-15,0,1,4),MATCH(10&amp;","&amp;3,OFFSET($B$15,$F$46-15,0,1,4),0)),""),IF($B$46="Start",IFERROR(INDEX($B$39:$G$39,MATCH(10&amp;","&amp;3,$B$40:$G$40,0)),""),"")))</f>
        <v>X</v>
      </c>
    </row>
    <row r="57" spans="1:11" x14ac:dyDescent="0.3">
      <c r="A57" s="11">
        <v>2</v>
      </c>
      <c r="B57" s="12" t="str">
        <f ca="1">IF(OR(1&gt;$B$5,2&gt;$B$6),"X",IF(IFERROR(INDEX(OFFSET($B$15,$D$46-15,0,1,4),MATCH(1&amp;","&amp;2,OFFSET($B$15,$F$46-15,0,1,4),0)),"")&lt;&gt;"",IFERROR(INDEX(OFFSET($B$15,$D$46-15,0,1,4),MATCH(1&amp;","&amp;2,OFFSET($B$15,$F$46-15,0,1,4),0)),""),IF($B$46="Start",IFERROR(INDEX($B$39:$G$39,MATCH(1&amp;","&amp;2,$B$40:$G$40,0)),""),"")))</f>
        <v/>
      </c>
      <c r="C57" s="12" t="str">
        <f ca="1">IF(OR(2&gt;$B$5,2&gt;$B$6),"X",IF(IFERROR(INDEX(OFFSET($B$15,$D$46-15,0,1,4),MATCH(2&amp;","&amp;2,OFFSET($B$15,$F$46-15,0,1,4),0)),"")&lt;&gt;"",IFERROR(INDEX(OFFSET($B$15,$D$46-15,0,1,4),MATCH(2&amp;","&amp;2,OFFSET($B$15,$F$46-15,0,1,4),0)),""),IF($B$46="Start",IFERROR(INDEX($B$39:$G$39,MATCH(2&amp;","&amp;2,$B$40:$G$40,0)),""),"")))</f>
        <v/>
      </c>
      <c r="D57" s="12" t="str">
        <f ca="1">IF(OR(3&gt;$B$5,2&gt;$B$6),"X",IF(IFERROR(INDEX(OFFSET($B$15,$D$46-15,0,1,4),MATCH(3&amp;","&amp;2,OFFSET($B$15,$F$46-15,0,1,4),0)),"")&lt;&gt;"",IFERROR(INDEX(OFFSET($B$15,$D$46-15,0,1,4),MATCH(3&amp;","&amp;2,OFFSET($B$15,$F$46-15,0,1,4),0)),""),IF($B$46="Start",IFERROR(INDEX($B$39:$G$39,MATCH(3&amp;","&amp;2,$B$40:$G$40,0)),""),"")))</f>
        <v/>
      </c>
      <c r="E57" s="12" t="str">
        <f ca="1">IF(OR(4&gt;$B$5,2&gt;$B$6),"X",IF(IFERROR(INDEX(OFFSET($B$15,$D$46-15,0,1,4),MATCH(4&amp;","&amp;2,OFFSET($B$15,$F$46-15,0,1,4),0)),"")&lt;&gt;"",IFERROR(INDEX(OFFSET($B$15,$D$46-15,0,1,4),MATCH(4&amp;","&amp;2,OFFSET($B$15,$F$46-15,0,1,4),0)),""),IF($B$46="Start",IFERROR(INDEX($B$39:$G$39,MATCH(4&amp;","&amp;2,$B$40:$G$40,0)),""),"")))</f>
        <v/>
      </c>
      <c r="F57" s="12" t="str">
        <f ca="1">IF(OR(5&gt;$B$5,2&gt;$B$6),"X",IF(IFERROR(INDEX(OFFSET($B$15,$D$46-15,0,1,4),MATCH(5&amp;","&amp;2,OFFSET($B$15,$F$46-15,0,1,4),0)),"")&lt;&gt;"",IFERROR(INDEX(OFFSET($B$15,$D$46-15,0,1,4),MATCH(5&amp;","&amp;2,OFFSET($B$15,$F$46-15,0,1,4),0)),""),IF($B$46="Start",IFERROR(INDEX($B$39:$G$39,MATCH(5&amp;","&amp;2,$B$40:$G$40,0)),""),"")))</f>
        <v/>
      </c>
      <c r="G57" s="12" t="str">
        <f ca="1">IF(OR(6&gt;$B$5,2&gt;$B$6),"X",IF(IFERROR(INDEX(OFFSET($B$15,$D$46-15,0,1,4),MATCH(6&amp;","&amp;2,OFFSET($B$15,$F$46-15,0,1,4),0)),"")&lt;&gt;"",IFERROR(INDEX(OFFSET($B$15,$D$46-15,0,1,4),MATCH(6&amp;","&amp;2,OFFSET($B$15,$F$46-15,0,1,4),0)),""),IF($B$46="Start",IFERROR(INDEX($B$39:$G$39,MATCH(6&amp;","&amp;2,$B$40:$G$40,0)),""),"")))</f>
        <v/>
      </c>
      <c r="H57" s="12" t="str">
        <f ca="1">IF(OR(7&gt;$B$5,2&gt;$B$6),"X",IF(IFERROR(INDEX(OFFSET($B$15,$D$46-15,0,1,4),MATCH(7&amp;","&amp;2,OFFSET($B$15,$F$46-15,0,1,4),0)),"")&lt;&gt;"",IFERROR(INDEX(OFFSET($B$15,$D$46-15,0,1,4),MATCH(7&amp;","&amp;2,OFFSET($B$15,$F$46-15,0,1,4),0)),""),IF($B$46="Start",IFERROR(INDEX($B$39:$G$39,MATCH(7&amp;","&amp;2,$B$40:$G$40,0)),""),"")))</f>
        <v>X</v>
      </c>
      <c r="I57" s="12" t="str">
        <f ca="1">IF(OR(8&gt;$B$5,2&gt;$B$6),"X",IF(IFERROR(INDEX(OFFSET($B$15,$D$46-15,0,1,4),MATCH(8&amp;","&amp;2,OFFSET($B$15,$F$46-15,0,1,4),0)),"")&lt;&gt;"",IFERROR(INDEX(OFFSET($B$15,$D$46-15,0,1,4),MATCH(8&amp;","&amp;2,OFFSET($B$15,$F$46-15,0,1,4),0)),""),IF($B$46="Start",IFERROR(INDEX($B$39:$G$39,MATCH(8&amp;","&amp;2,$B$40:$G$40,0)),""),"")))</f>
        <v>X</v>
      </c>
      <c r="J57" s="12" t="str">
        <f ca="1">IF(OR(9&gt;$B$5,2&gt;$B$6),"X",IF(IFERROR(INDEX(OFFSET($B$15,$D$46-15,0,1,4),MATCH(9&amp;","&amp;2,OFFSET($B$15,$F$46-15,0,1,4),0)),"")&lt;&gt;"",IFERROR(INDEX(OFFSET($B$15,$D$46-15,0,1,4),MATCH(9&amp;","&amp;2,OFFSET($B$15,$F$46-15,0,1,4),0)),""),IF($B$46="Start",IFERROR(INDEX($B$39:$G$39,MATCH(9&amp;","&amp;2,$B$40:$G$40,0)),""),"")))</f>
        <v>X</v>
      </c>
      <c r="K57" s="12" t="str">
        <f ca="1">IF(OR(10&gt;$B$5,2&gt;$B$6),"X",IF(IFERROR(INDEX(OFFSET($B$15,$D$46-15,0,1,4),MATCH(10&amp;","&amp;2,OFFSET($B$15,$F$46-15,0,1,4),0)),"")&lt;&gt;"",IFERROR(INDEX(OFFSET($B$15,$D$46-15,0,1,4),MATCH(10&amp;","&amp;2,OFFSET($B$15,$F$46-15,0,1,4),0)),""),IF($B$46="Start",IFERROR(INDEX($B$39:$G$39,MATCH(10&amp;","&amp;2,$B$40:$G$40,0)),""),"")))</f>
        <v>X</v>
      </c>
    </row>
    <row r="58" spans="1:11" x14ac:dyDescent="0.3">
      <c r="A58" s="11">
        <v>1</v>
      </c>
      <c r="B58" s="12" t="str">
        <f ca="1">IF(OR(1&gt;$B$5,1&gt;$B$6),"X",IF(IFERROR(INDEX(OFFSET($B$15,$D$46-15,0,1,4),MATCH(1&amp;","&amp;1,OFFSET($B$15,$F$46-15,0,1,4),0)),"")&lt;&gt;"",IFERROR(INDEX(OFFSET($B$15,$D$46-15,0,1,4),MATCH(1&amp;","&amp;1,OFFSET($B$15,$F$46-15,0,1,4),0)),""),IF($B$46="Start",IFERROR(INDEX($B$39:$G$39,MATCH(1&amp;","&amp;1,$B$40:$G$40,0)),""),"")))</f>
        <v/>
      </c>
      <c r="C58" s="12" t="str">
        <f ca="1">IF(OR(2&gt;$B$5,1&gt;$B$6),"X",IF(IFERROR(INDEX(OFFSET($B$15,$D$46-15,0,1,4),MATCH(2&amp;","&amp;1,OFFSET($B$15,$F$46-15,0,1,4),0)),"")&lt;&gt;"",IFERROR(INDEX(OFFSET($B$15,$D$46-15,0,1,4),MATCH(2&amp;","&amp;1,OFFSET($B$15,$F$46-15,0,1,4),0)),""),IF($B$46="Start",IFERROR(INDEX($B$39:$G$39,MATCH(2&amp;","&amp;1,$B$40:$G$40,0)),""),"")))</f>
        <v/>
      </c>
      <c r="D58" s="12" t="str">
        <f ca="1">IF(OR(3&gt;$B$5,1&gt;$B$6),"X",IF(IFERROR(INDEX(OFFSET($B$15,$D$46-15,0,1,4),MATCH(3&amp;","&amp;1,OFFSET($B$15,$F$46-15,0,1,4),0)),"")&lt;&gt;"",IFERROR(INDEX(OFFSET($B$15,$D$46-15,0,1,4),MATCH(3&amp;","&amp;1,OFFSET($B$15,$F$46-15,0,1,4),0)),""),IF($B$46="Start",IFERROR(INDEX($B$39:$G$39,MATCH(3&amp;","&amp;1,$B$40:$G$40,0)),""),"")))</f>
        <v/>
      </c>
      <c r="E58" s="12" t="str">
        <f ca="1">IF(OR(4&gt;$B$5,1&gt;$B$6),"X",IF(IFERROR(INDEX(OFFSET($B$15,$D$46-15,0,1,4),MATCH(4&amp;","&amp;1,OFFSET($B$15,$F$46-15,0,1,4),0)),"")&lt;&gt;"",IFERROR(INDEX(OFFSET($B$15,$D$46-15,0,1,4),MATCH(4&amp;","&amp;1,OFFSET($B$15,$F$46-15,0,1,4),0)),""),IF($B$46="Start",IFERROR(INDEX($B$39:$G$39,MATCH(4&amp;","&amp;1,$B$40:$G$40,0)),""),"")))</f>
        <v/>
      </c>
      <c r="F58" s="12" t="str">
        <f ca="1">IF(OR(5&gt;$B$5,1&gt;$B$6),"X",IF(IFERROR(INDEX(OFFSET($B$15,$D$46-15,0,1,4),MATCH(5&amp;","&amp;1,OFFSET($B$15,$F$46-15,0,1,4),0)),"")&lt;&gt;"",IFERROR(INDEX(OFFSET($B$15,$D$46-15,0,1,4),MATCH(5&amp;","&amp;1,OFFSET($B$15,$F$46-15,0,1,4),0)),""),IF($B$46="Start",IFERROR(INDEX($B$39:$G$39,MATCH(5&amp;","&amp;1,$B$40:$G$40,0)),""),"")))</f>
        <v/>
      </c>
      <c r="G58" s="12" t="str">
        <f ca="1">IF(OR(6&gt;$B$5,1&gt;$B$6),"X",IF(IFERROR(INDEX(OFFSET($B$15,$D$46-15,0,1,4),MATCH(6&amp;","&amp;1,OFFSET($B$15,$F$46-15,0,1,4),0)),"")&lt;&gt;"",IFERROR(INDEX(OFFSET($B$15,$D$46-15,0,1,4),MATCH(6&amp;","&amp;1,OFFSET($B$15,$F$46-15,0,1,4),0)),""),IF($B$46="Start",IFERROR(INDEX($B$39:$G$39,MATCH(6&amp;","&amp;1,$B$40:$G$40,0)),""),"")))</f>
        <v/>
      </c>
      <c r="H58" s="12" t="str">
        <f ca="1">IF(OR(7&gt;$B$5,1&gt;$B$6),"X",IF(IFERROR(INDEX(OFFSET($B$15,$D$46-15,0,1,4),MATCH(7&amp;","&amp;1,OFFSET($B$15,$F$46-15,0,1,4),0)),"")&lt;&gt;"",IFERROR(INDEX(OFFSET($B$15,$D$46-15,0,1,4),MATCH(7&amp;","&amp;1,OFFSET($B$15,$F$46-15,0,1,4),0)),""),IF($B$46="Start",IFERROR(INDEX($B$39:$G$39,MATCH(7&amp;","&amp;1,$B$40:$G$40,0)),""),"")))</f>
        <v>X</v>
      </c>
      <c r="I58" s="12" t="str">
        <f ca="1">IF(OR(8&gt;$B$5,1&gt;$B$6),"X",IF(IFERROR(INDEX(OFFSET($B$15,$D$46-15,0,1,4),MATCH(8&amp;","&amp;1,OFFSET($B$15,$F$46-15,0,1,4),0)),"")&lt;&gt;"",IFERROR(INDEX(OFFSET($B$15,$D$46-15,0,1,4),MATCH(8&amp;","&amp;1,OFFSET($B$15,$F$46-15,0,1,4),0)),""),IF($B$46="Start",IFERROR(INDEX($B$39:$G$39,MATCH(8&amp;","&amp;1,$B$40:$G$40,0)),""),"")))</f>
        <v>X</v>
      </c>
      <c r="J58" s="12" t="str">
        <f ca="1">IF(OR(9&gt;$B$5,1&gt;$B$6),"X",IF(IFERROR(INDEX(OFFSET($B$15,$D$46-15,0,1,4),MATCH(9&amp;","&amp;1,OFFSET($B$15,$F$46-15,0,1,4),0)),"")&lt;&gt;"",IFERROR(INDEX(OFFSET($B$15,$D$46-15,0,1,4),MATCH(9&amp;","&amp;1,OFFSET($B$15,$F$46-15,0,1,4),0)),""),IF($B$46="Start",IFERROR(INDEX($B$39:$G$39,MATCH(9&amp;","&amp;1,$B$40:$G$40,0)),""),"")))</f>
        <v>X</v>
      </c>
      <c r="K58" s="12" t="str">
        <f ca="1">IF(OR(10&gt;$B$5,1&gt;$B$6),"X",IF(IFERROR(INDEX(OFFSET($B$15,$D$46-15,0,1,4),MATCH(10&amp;","&amp;1,OFFSET($B$15,$F$46-15,0,1,4),0)),"")&lt;&gt;"",IFERROR(INDEX(OFFSET($B$15,$D$46-15,0,1,4),MATCH(10&amp;","&amp;1,OFFSET($B$15,$F$46-15,0,1,4),0)),""),IF($B$46="Start",IFERROR(INDEX($B$39:$G$39,MATCH(10&amp;","&amp;1,$B$40:$G$40,0)),""),"")))</f>
        <v>X</v>
      </c>
    </row>
    <row r="60" spans="1:11" x14ac:dyDescent="0.3">
      <c r="A60" s="1" t="s">
        <v>127</v>
      </c>
    </row>
    <row r="61" spans="1:11" x14ac:dyDescent="0.3">
      <c r="A61" t="s">
        <v>128</v>
      </c>
    </row>
    <row r="62" spans="1:11" x14ac:dyDescent="0.3">
      <c r="A62" t="s">
        <v>129</v>
      </c>
    </row>
    <row r="63" spans="1:11" x14ac:dyDescent="0.3">
      <c r="A63" t="s">
        <v>130</v>
      </c>
    </row>
    <row r="64" spans="1:11" x14ac:dyDescent="0.3">
      <c r="A64" t="s">
        <v>131</v>
      </c>
    </row>
    <row r="66" spans="1:3" x14ac:dyDescent="0.3">
      <c r="A66" s="1" t="s">
        <v>132</v>
      </c>
      <c r="B66" s="2"/>
    </row>
    <row r="68" spans="1:3" x14ac:dyDescent="0.3">
      <c r="A68" s="4" t="s">
        <v>133</v>
      </c>
    </row>
    <row r="69" spans="1:3" x14ac:dyDescent="0.3">
      <c r="A69" s="4" t="s">
        <v>134</v>
      </c>
      <c r="B69" s="4" t="s">
        <v>135</v>
      </c>
      <c r="C69" s="4" t="s">
        <v>136</v>
      </c>
    </row>
    <row r="70" spans="1:3" x14ac:dyDescent="0.3">
      <c r="A70" t="s">
        <v>95</v>
      </c>
      <c r="B70">
        <v>15</v>
      </c>
      <c r="C70">
        <v>16</v>
      </c>
    </row>
  </sheetData>
  <conditionalFormatting sqref="B48:K58">
    <cfRule type="cellIs" dxfId="3" priority="1" operator="equal">
      <formula>"X"</formula>
    </cfRule>
  </conditionalFormatting>
  <dataValidations count="3">
    <dataValidation type="list" allowBlank="1" sqref="B9:B10" xr:uid="{00000000-0002-0000-0500-000000000000}">
      <formula1>list_Loot</formula1>
    </dataValidation>
    <dataValidation type="list" allowBlank="1" sqref="B15:E15 B35:E35 B33:E33 B31:E31 B29:E29 B27:E27 B25:E25 B23:E23 B21:E21 B19:E19 B17:E17" xr:uid="{00000000-0002-0000-0500-000002000000}">
      <formula1>list_Prefab</formula1>
    </dataValidation>
    <dataValidation type="list" sqref="B46" xr:uid="{00000000-0002-0000-0500-00000D000000}">
      <formula1>$A$70:$A$70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73"/>
  <sheetViews>
    <sheetView workbookViewId="0">
      <pane xSplit="1" ySplit="14" topLeftCell="B15" activePane="bottomRight" state="frozen"/>
      <selection pane="topRight" activeCell="B1" sqref="B1"/>
      <selection pane="bottomLeft" activeCell="A15" sqref="A15"/>
      <selection pane="bottomRight"/>
    </sheetView>
  </sheetViews>
  <sheetFormatPr defaultRowHeight="14.4" x14ac:dyDescent="0.3"/>
  <cols>
    <col min="1" max="1" width="16" customWidth="1"/>
    <col min="2" max="11" width="14" customWidth="1"/>
  </cols>
  <sheetData>
    <row r="1" spans="1:4" x14ac:dyDescent="0.3">
      <c r="A1" s="1" t="s">
        <v>70</v>
      </c>
      <c r="B1" t="s">
        <v>35</v>
      </c>
    </row>
    <row r="2" spans="1:4" x14ac:dyDescent="0.3">
      <c r="A2" s="1" t="s">
        <v>3</v>
      </c>
      <c r="B2" t="s">
        <v>159</v>
      </c>
    </row>
    <row r="3" spans="1:4" x14ac:dyDescent="0.3">
      <c r="A3" s="1" t="s">
        <v>4</v>
      </c>
      <c r="B3" t="str">
        <f>IF($B$2="","NEW","Live")</f>
        <v>Live</v>
      </c>
    </row>
    <row r="4" spans="1:4" x14ac:dyDescent="0.3">
      <c r="A4" s="1" t="s">
        <v>72</v>
      </c>
    </row>
    <row r="5" spans="1:4" x14ac:dyDescent="0.3">
      <c r="A5" s="4" t="s">
        <v>73</v>
      </c>
      <c r="B5">
        <v>6</v>
      </c>
    </row>
    <row r="6" spans="1:4" x14ac:dyDescent="0.3">
      <c r="A6" s="4" t="s">
        <v>74</v>
      </c>
      <c r="B6">
        <v>7</v>
      </c>
    </row>
    <row r="7" spans="1:4" x14ac:dyDescent="0.3">
      <c r="A7" s="4" t="s">
        <v>75</v>
      </c>
      <c r="B7">
        <v>10</v>
      </c>
    </row>
    <row r="8" spans="1:4" x14ac:dyDescent="0.3">
      <c r="A8" s="4" t="s">
        <v>76</v>
      </c>
      <c r="B8">
        <v>5</v>
      </c>
    </row>
    <row r="9" spans="1:4" x14ac:dyDescent="0.3">
      <c r="A9" s="4" t="s">
        <v>77</v>
      </c>
      <c r="B9" t="s">
        <v>27</v>
      </c>
    </row>
    <row r="10" spans="1:4" x14ac:dyDescent="0.3">
      <c r="A10" s="4" t="s">
        <v>78</v>
      </c>
      <c r="B10" t="s">
        <v>30</v>
      </c>
    </row>
    <row r="11" spans="1:4" x14ac:dyDescent="0.3">
      <c r="A11" s="4" t="s">
        <v>79</v>
      </c>
      <c r="B11" t="s">
        <v>80</v>
      </c>
    </row>
    <row r="13" spans="1:4" x14ac:dyDescent="0.3">
      <c r="A13" s="1" t="s">
        <v>81</v>
      </c>
    </row>
    <row r="14" spans="1:4" x14ac:dyDescent="0.3">
      <c r="A14" s="4" t="s">
        <v>82</v>
      </c>
      <c r="B14" s="4" t="s">
        <v>83</v>
      </c>
      <c r="C14" s="4" t="s">
        <v>84</v>
      </c>
      <c r="D14" s="4" t="s">
        <v>85</v>
      </c>
    </row>
    <row r="15" spans="1:4" x14ac:dyDescent="0.3">
      <c r="A15" s="1" t="s">
        <v>95</v>
      </c>
      <c r="B15" t="s">
        <v>50</v>
      </c>
      <c r="C15" t="s">
        <v>28</v>
      </c>
      <c r="D15" t="s">
        <v>59</v>
      </c>
    </row>
    <row r="16" spans="1:4" x14ac:dyDescent="0.3">
      <c r="A16" s="4" t="s">
        <v>96</v>
      </c>
      <c r="B16" t="s">
        <v>143</v>
      </c>
      <c r="C16" t="s">
        <v>142</v>
      </c>
      <c r="D16" t="s">
        <v>160</v>
      </c>
    </row>
    <row r="17" spans="1:3" x14ac:dyDescent="0.3">
      <c r="A17" s="1">
        <v>3</v>
      </c>
      <c r="B17" t="s">
        <v>21</v>
      </c>
      <c r="C17" t="s">
        <v>69</v>
      </c>
    </row>
    <row r="18" spans="1:3" x14ac:dyDescent="0.3">
      <c r="A18" s="4" t="s">
        <v>96</v>
      </c>
      <c r="B18" t="s">
        <v>161</v>
      </c>
      <c r="C18" t="s">
        <v>162</v>
      </c>
    </row>
    <row r="19" spans="1:3" x14ac:dyDescent="0.3">
      <c r="A19" s="1">
        <v>5</v>
      </c>
      <c r="B19" t="s">
        <v>68</v>
      </c>
    </row>
    <row r="20" spans="1:3" x14ac:dyDescent="0.3">
      <c r="A20" s="4" t="s">
        <v>96</v>
      </c>
      <c r="B20" t="s">
        <v>163</v>
      </c>
    </row>
    <row r="21" spans="1:3" x14ac:dyDescent="0.3">
      <c r="A21" s="1">
        <v>7</v>
      </c>
      <c r="B21" t="s">
        <v>62</v>
      </c>
      <c r="C21" t="s">
        <v>56</v>
      </c>
    </row>
    <row r="22" spans="1:3" x14ac:dyDescent="0.3">
      <c r="A22" s="4" t="s">
        <v>96</v>
      </c>
      <c r="B22" t="s">
        <v>103</v>
      </c>
      <c r="C22" t="s">
        <v>104</v>
      </c>
    </row>
    <row r="23" spans="1:3" x14ac:dyDescent="0.3">
      <c r="A23" s="5"/>
    </row>
    <row r="24" spans="1:3" x14ac:dyDescent="0.3">
      <c r="A24" s="6" t="s">
        <v>96</v>
      </c>
    </row>
    <row r="25" spans="1:3" x14ac:dyDescent="0.3">
      <c r="A25" s="5"/>
    </row>
    <row r="26" spans="1:3" x14ac:dyDescent="0.3">
      <c r="A26" s="6" t="s">
        <v>96</v>
      </c>
    </row>
    <row r="27" spans="1:3" x14ac:dyDescent="0.3">
      <c r="A27" s="5"/>
    </row>
    <row r="28" spans="1:3" x14ac:dyDescent="0.3">
      <c r="A28" s="6" t="s">
        <v>96</v>
      </c>
    </row>
    <row r="29" spans="1:3" x14ac:dyDescent="0.3">
      <c r="A29" s="5"/>
    </row>
    <row r="30" spans="1:3" x14ac:dyDescent="0.3">
      <c r="A30" s="6" t="s">
        <v>96</v>
      </c>
    </row>
    <row r="31" spans="1:3" x14ac:dyDescent="0.3">
      <c r="A31" s="5"/>
    </row>
    <row r="32" spans="1:3" x14ac:dyDescent="0.3">
      <c r="A32" s="6" t="s">
        <v>96</v>
      </c>
    </row>
    <row r="33" spans="1:11" x14ac:dyDescent="0.3">
      <c r="A33" s="5"/>
    </row>
    <row r="34" spans="1:11" x14ac:dyDescent="0.3">
      <c r="A34" s="6" t="s">
        <v>96</v>
      </c>
    </row>
    <row r="35" spans="1:11" x14ac:dyDescent="0.3">
      <c r="A35" s="5"/>
    </row>
    <row r="36" spans="1:11" x14ac:dyDescent="0.3">
      <c r="A36" s="6" t="s">
        <v>96</v>
      </c>
    </row>
    <row r="38" spans="1:11" x14ac:dyDescent="0.3">
      <c r="A38" s="1" t="s">
        <v>109</v>
      </c>
    </row>
    <row r="39" spans="1:11" x14ac:dyDescent="0.3">
      <c r="B39" s="4" t="s">
        <v>110</v>
      </c>
      <c r="C39" s="4" t="s">
        <v>111</v>
      </c>
      <c r="D39" s="4" t="s">
        <v>112</v>
      </c>
      <c r="E39" s="4" t="s">
        <v>113</v>
      </c>
      <c r="F39" s="4" t="s">
        <v>114</v>
      </c>
    </row>
    <row r="40" spans="1:11" x14ac:dyDescent="0.3">
      <c r="A40" s="1" t="s">
        <v>115</v>
      </c>
      <c r="B40" t="s">
        <v>116</v>
      </c>
      <c r="C40" t="s">
        <v>117</v>
      </c>
      <c r="D40" t="s">
        <v>164</v>
      </c>
    </row>
    <row r="42" spans="1:11" x14ac:dyDescent="0.3">
      <c r="A42" s="1" t="s">
        <v>119</v>
      </c>
    </row>
    <row r="43" spans="1:11" x14ac:dyDescent="0.3">
      <c r="A43" s="4" t="s">
        <v>120</v>
      </c>
      <c r="B43" s="4" t="s">
        <v>121</v>
      </c>
      <c r="C43" s="4" t="s">
        <v>82</v>
      </c>
      <c r="D43" s="4" t="s">
        <v>122</v>
      </c>
    </row>
    <row r="45" spans="1:11" x14ac:dyDescent="0.3">
      <c r="A45" s="1" t="s">
        <v>123</v>
      </c>
    </row>
    <row r="46" spans="1:11" x14ac:dyDescent="0.3">
      <c r="A46" s="1" t="s">
        <v>124</v>
      </c>
      <c r="B46" t="s">
        <v>95</v>
      </c>
      <c r="C46" s="7" t="s">
        <v>125</v>
      </c>
      <c r="D46" s="8">
        <f>INDEX($B$70:$B$73,MATCH($B$46,$A$70:$A$73,0))</f>
        <v>15</v>
      </c>
      <c r="E46" s="7" t="s">
        <v>126</v>
      </c>
      <c r="F46" s="8">
        <f>INDEX($C$70:$C$73,MATCH($B$46,$A$70:$A$73,0))</f>
        <v>16</v>
      </c>
    </row>
    <row r="48" spans="1:11" x14ac:dyDescent="0.3">
      <c r="A48" s="9"/>
      <c r="B48" s="10">
        <v>1</v>
      </c>
      <c r="C48" s="10">
        <v>2</v>
      </c>
      <c r="D48" s="10">
        <v>3</v>
      </c>
      <c r="E48" s="10">
        <v>4</v>
      </c>
      <c r="F48" s="10">
        <v>5</v>
      </c>
      <c r="G48" s="10">
        <v>6</v>
      </c>
      <c r="H48" s="10">
        <v>7</v>
      </c>
      <c r="I48" s="10">
        <v>8</v>
      </c>
      <c r="J48" s="10">
        <v>9</v>
      </c>
      <c r="K48" s="10">
        <v>10</v>
      </c>
    </row>
    <row r="49" spans="1:11" x14ac:dyDescent="0.3">
      <c r="A49" s="11">
        <v>10</v>
      </c>
      <c r="B49" s="12" t="str">
        <f ca="1">IF(OR(1&gt;$B$5,10&gt;$B$6),"X",IF(IFERROR(INDEX(OFFSET($B$15,$D$46-15,0,1,3),MATCH(1&amp;","&amp;10,OFFSET($B$15,$F$46-15,0,1,3),0)),"")&lt;&gt;"",IFERROR(INDEX(OFFSET($B$15,$D$46-15,0,1,3),MATCH(1&amp;","&amp;10,OFFSET($B$15,$F$46-15,0,1,3),0)),""),IF($B$46="Start",IFERROR(INDEX($B$39:$F$39,MATCH(1&amp;","&amp;10,$B$40:$F$40,0)),""),"")))</f>
        <v>X</v>
      </c>
      <c r="C49" s="12" t="str">
        <f ca="1">IF(OR(2&gt;$B$5,10&gt;$B$6),"X",IF(IFERROR(INDEX(OFFSET($B$15,$D$46-15,0,1,3),MATCH(2&amp;","&amp;10,OFFSET($B$15,$F$46-15,0,1,3),0)),"")&lt;&gt;"",IFERROR(INDEX(OFFSET($B$15,$D$46-15,0,1,3),MATCH(2&amp;","&amp;10,OFFSET($B$15,$F$46-15,0,1,3),0)),""),IF($B$46="Start",IFERROR(INDEX($B$39:$F$39,MATCH(2&amp;","&amp;10,$B$40:$F$40,0)),""),"")))</f>
        <v>X</v>
      </c>
      <c r="D49" s="12" t="str">
        <f ca="1">IF(OR(3&gt;$B$5,10&gt;$B$6),"X",IF(IFERROR(INDEX(OFFSET($B$15,$D$46-15,0,1,3),MATCH(3&amp;","&amp;10,OFFSET($B$15,$F$46-15,0,1,3),0)),"")&lt;&gt;"",IFERROR(INDEX(OFFSET($B$15,$D$46-15,0,1,3),MATCH(3&amp;","&amp;10,OFFSET($B$15,$F$46-15,0,1,3),0)),""),IF($B$46="Start",IFERROR(INDEX($B$39:$F$39,MATCH(3&amp;","&amp;10,$B$40:$F$40,0)),""),"")))</f>
        <v>X</v>
      </c>
      <c r="E49" s="12" t="str">
        <f ca="1">IF(OR(4&gt;$B$5,10&gt;$B$6),"X",IF(IFERROR(INDEX(OFFSET($B$15,$D$46-15,0,1,3),MATCH(4&amp;","&amp;10,OFFSET($B$15,$F$46-15,0,1,3),0)),"")&lt;&gt;"",IFERROR(INDEX(OFFSET($B$15,$D$46-15,0,1,3),MATCH(4&amp;","&amp;10,OFFSET($B$15,$F$46-15,0,1,3),0)),""),IF($B$46="Start",IFERROR(INDEX($B$39:$F$39,MATCH(4&amp;","&amp;10,$B$40:$F$40,0)),""),"")))</f>
        <v>X</v>
      </c>
      <c r="F49" s="12" t="str">
        <f ca="1">IF(OR(5&gt;$B$5,10&gt;$B$6),"X",IF(IFERROR(INDEX(OFFSET($B$15,$D$46-15,0,1,3),MATCH(5&amp;","&amp;10,OFFSET($B$15,$F$46-15,0,1,3),0)),"")&lt;&gt;"",IFERROR(INDEX(OFFSET($B$15,$D$46-15,0,1,3),MATCH(5&amp;","&amp;10,OFFSET($B$15,$F$46-15,0,1,3),0)),""),IF($B$46="Start",IFERROR(INDEX($B$39:$F$39,MATCH(5&amp;","&amp;10,$B$40:$F$40,0)),""),"")))</f>
        <v>X</v>
      </c>
      <c r="G49" s="12" t="str">
        <f ca="1">IF(OR(6&gt;$B$5,10&gt;$B$6),"X",IF(IFERROR(INDEX(OFFSET($B$15,$D$46-15,0,1,3),MATCH(6&amp;","&amp;10,OFFSET($B$15,$F$46-15,0,1,3),0)),"")&lt;&gt;"",IFERROR(INDEX(OFFSET($B$15,$D$46-15,0,1,3),MATCH(6&amp;","&amp;10,OFFSET($B$15,$F$46-15,0,1,3),0)),""),IF($B$46="Start",IFERROR(INDEX($B$39:$F$39,MATCH(6&amp;","&amp;10,$B$40:$F$40,0)),""),"")))</f>
        <v>X</v>
      </c>
      <c r="H49" s="12" t="str">
        <f ca="1">IF(OR(7&gt;$B$5,10&gt;$B$6),"X",IF(IFERROR(INDEX(OFFSET($B$15,$D$46-15,0,1,3),MATCH(7&amp;","&amp;10,OFFSET($B$15,$F$46-15,0,1,3),0)),"")&lt;&gt;"",IFERROR(INDEX(OFFSET($B$15,$D$46-15,0,1,3),MATCH(7&amp;","&amp;10,OFFSET($B$15,$F$46-15,0,1,3),0)),""),IF($B$46="Start",IFERROR(INDEX($B$39:$F$39,MATCH(7&amp;","&amp;10,$B$40:$F$40,0)),""),"")))</f>
        <v>X</v>
      </c>
      <c r="I49" s="12" t="str">
        <f ca="1">IF(OR(8&gt;$B$5,10&gt;$B$6),"X",IF(IFERROR(INDEX(OFFSET($B$15,$D$46-15,0,1,3),MATCH(8&amp;","&amp;10,OFFSET($B$15,$F$46-15,0,1,3),0)),"")&lt;&gt;"",IFERROR(INDEX(OFFSET($B$15,$D$46-15,0,1,3),MATCH(8&amp;","&amp;10,OFFSET($B$15,$F$46-15,0,1,3),0)),""),IF($B$46="Start",IFERROR(INDEX($B$39:$F$39,MATCH(8&amp;","&amp;10,$B$40:$F$40,0)),""),"")))</f>
        <v>X</v>
      </c>
      <c r="J49" s="12" t="str">
        <f ca="1">IF(OR(9&gt;$B$5,10&gt;$B$6),"X",IF(IFERROR(INDEX(OFFSET($B$15,$D$46-15,0,1,3),MATCH(9&amp;","&amp;10,OFFSET($B$15,$F$46-15,0,1,3),0)),"")&lt;&gt;"",IFERROR(INDEX(OFFSET($B$15,$D$46-15,0,1,3),MATCH(9&amp;","&amp;10,OFFSET($B$15,$F$46-15,0,1,3),0)),""),IF($B$46="Start",IFERROR(INDEX($B$39:$F$39,MATCH(9&amp;","&amp;10,$B$40:$F$40,0)),""),"")))</f>
        <v>X</v>
      </c>
      <c r="K49" s="12" t="str">
        <f ca="1">IF(OR(10&gt;$B$5,10&gt;$B$6),"X",IF(IFERROR(INDEX(OFFSET($B$15,$D$46-15,0,1,3),MATCH(10&amp;","&amp;10,OFFSET($B$15,$F$46-15,0,1,3),0)),"")&lt;&gt;"",IFERROR(INDEX(OFFSET($B$15,$D$46-15,0,1,3),MATCH(10&amp;","&amp;10,OFFSET($B$15,$F$46-15,0,1,3),0)),""),IF($B$46="Start",IFERROR(INDEX($B$39:$F$39,MATCH(10&amp;","&amp;10,$B$40:$F$40,0)),""),"")))</f>
        <v>X</v>
      </c>
    </row>
    <row r="50" spans="1:11" x14ac:dyDescent="0.3">
      <c r="A50" s="11">
        <v>9</v>
      </c>
      <c r="B50" s="12" t="str">
        <f ca="1">IF(OR(1&gt;$B$5,9&gt;$B$6),"X",IF(IFERROR(INDEX(OFFSET($B$15,$D$46-15,0,1,3),MATCH(1&amp;","&amp;9,OFFSET($B$15,$F$46-15,0,1,3),0)),"")&lt;&gt;"",IFERROR(INDEX(OFFSET($B$15,$D$46-15,0,1,3),MATCH(1&amp;","&amp;9,OFFSET($B$15,$F$46-15,0,1,3),0)),""),IF($B$46="Start",IFERROR(INDEX($B$39:$F$39,MATCH(1&amp;","&amp;9,$B$40:$F$40,0)),""),"")))</f>
        <v>X</v>
      </c>
      <c r="C50" s="12" t="str">
        <f ca="1">IF(OR(2&gt;$B$5,9&gt;$B$6),"X",IF(IFERROR(INDEX(OFFSET($B$15,$D$46-15,0,1,3),MATCH(2&amp;","&amp;9,OFFSET($B$15,$F$46-15,0,1,3),0)),"")&lt;&gt;"",IFERROR(INDEX(OFFSET($B$15,$D$46-15,0,1,3),MATCH(2&amp;","&amp;9,OFFSET($B$15,$F$46-15,0,1,3),0)),""),IF($B$46="Start",IFERROR(INDEX($B$39:$F$39,MATCH(2&amp;","&amp;9,$B$40:$F$40,0)),""),"")))</f>
        <v>X</v>
      </c>
      <c r="D50" s="12" t="str">
        <f ca="1">IF(OR(3&gt;$B$5,9&gt;$B$6),"X",IF(IFERROR(INDEX(OFFSET($B$15,$D$46-15,0,1,3),MATCH(3&amp;","&amp;9,OFFSET($B$15,$F$46-15,0,1,3),0)),"")&lt;&gt;"",IFERROR(INDEX(OFFSET($B$15,$D$46-15,0,1,3),MATCH(3&amp;","&amp;9,OFFSET($B$15,$F$46-15,0,1,3),0)),""),IF($B$46="Start",IFERROR(INDEX($B$39:$F$39,MATCH(3&amp;","&amp;9,$B$40:$F$40,0)),""),"")))</f>
        <v>X</v>
      </c>
      <c r="E50" s="12" t="str">
        <f ca="1">IF(OR(4&gt;$B$5,9&gt;$B$6),"X",IF(IFERROR(INDEX(OFFSET($B$15,$D$46-15,0,1,3),MATCH(4&amp;","&amp;9,OFFSET($B$15,$F$46-15,0,1,3),0)),"")&lt;&gt;"",IFERROR(INDEX(OFFSET($B$15,$D$46-15,0,1,3),MATCH(4&amp;","&amp;9,OFFSET($B$15,$F$46-15,0,1,3),0)),""),IF($B$46="Start",IFERROR(INDEX($B$39:$F$39,MATCH(4&amp;","&amp;9,$B$40:$F$40,0)),""),"")))</f>
        <v>X</v>
      </c>
      <c r="F50" s="12" t="str">
        <f ca="1">IF(OR(5&gt;$B$5,9&gt;$B$6),"X",IF(IFERROR(INDEX(OFFSET($B$15,$D$46-15,0,1,3),MATCH(5&amp;","&amp;9,OFFSET($B$15,$F$46-15,0,1,3),0)),"")&lt;&gt;"",IFERROR(INDEX(OFFSET($B$15,$D$46-15,0,1,3),MATCH(5&amp;","&amp;9,OFFSET($B$15,$F$46-15,0,1,3),0)),""),IF($B$46="Start",IFERROR(INDEX($B$39:$F$39,MATCH(5&amp;","&amp;9,$B$40:$F$40,0)),""),"")))</f>
        <v>X</v>
      </c>
      <c r="G50" s="12" t="str">
        <f ca="1">IF(OR(6&gt;$B$5,9&gt;$B$6),"X",IF(IFERROR(INDEX(OFFSET($B$15,$D$46-15,0,1,3),MATCH(6&amp;","&amp;9,OFFSET($B$15,$F$46-15,0,1,3),0)),"")&lt;&gt;"",IFERROR(INDEX(OFFSET($B$15,$D$46-15,0,1,3),MATCH(6&amp;","&amp;9,OFFSET($B$15,$F$46-15,0,1,3),0)),""),IF($B$46="Start",IFERROR(INDEX($B$39:$F$39,MATCH(6&amp;","&amp;9,$B$40:$F$40,0)),""),"")))</f>
        <v>X</v>
      </c>
      <c r="H50" s="12" t="str">
        <f ca="1">IF(OR(7&gt;$B$5,9&gt;$B$6),"X",IF(IFERROR(INDEX(OFFSET($B$15,$D$46-15,0,1,3),MATCH(7&amp;","&amp;9,OFFSET($B$15,$F$46-15,0,1,3),0)),"")&lt;&gt;"",IFERROR(INDEX(OFFSET($B$15,$D$46-15,0,1,3),MATCH(7&amp;","&amp;9,OFFSET($B$15,$F$46-15,0,1,3),0)),""),IF($B$46="Start",IFERROR(INDEX($B$39:$F$39,MATCH(7&amp;","&amp;9,$B$40:$F$40,0)),""),"")))</f>
        <v>X</v>
      </c>
      <c r="I50" s="12" t="str">
        <f ca="1">IF(OR(8&gt;$B$5,9&gt;$B$6),"X",IF(IFERROR(INDEX(OFFSET($B$15,$D$46-15,0,1,3),MATCH(8&amp;","&amp;9,OFFSET($B$15,$F$46-15,0,1,3),0)),"")&lt;&gt;"",IFERROR(INDEX(OFFSET($B$15,$D$46-15,0,1,3),MATCH(8&amp;","&amp;9,OFFSET($B$15,$F$46-15,0,1,3),0)),""),IF($B$46="Start",IFERROR(INDEX($B$39:$F$39,MATCH(8&amp;","&amp;9,$B$40:$F$40,0)),""),"")))</f>
        <v>X</v>
      </c>
      <c r="J50" s="12" t="str">
        <f ca="1">IF(OR(9&gt;$B$5,9&gt;$B$6),"X",IF(IFERROR(INDEX(OFFSET($B$15,$D$46-15,0,1,3),MATCH(9&amp;","&amp;9,OFFSET($B$15,$F$46-15,0,1,3),0)),"")&lt;&gt;"",IFERROR(INDEX(OFFSET($B$15,$D$46-15,0,1,3),MATCH(9&amp;","&amp;9,OFFSET($B$15,$F$46-15,0,1,3),0)),""),IF($B$46="Start",IFERROR(INDEX($B$39:$F$39,MATCH(9&amp;","&amp;9,$B$40:$F$40,0)),""),"")))</f>
        <v>X</v>
      </c>
      <c r="K50" s="12" t="str">
        <f ca="1">IF(OR(10&gt;$B$5,9&gt;$B$6),"X",IF(IFERROR(INDEX(OFFSET($B$15,$D$46-15,0,1,3),MATCH(10&amp;","&amp;9,OFFSET($B$15,$F$46-15,0,1,3),0)),"")&lt;&gt;"",IFERROR(INDEX(OFFSET($B$15,$D$46-15,0,1,3),MATCH(10&amp;","&amp;9,OFFSET($B$15,$F$46-15,0,1,3),0)),""),IF($B$46="Start",IFERROR(INDEX($B$39:$F$39,MATCH(10&amp;","&amp;9,$B$40:$F$40,0)),""),"")))</f>
        <v>X</v>
      </c>
    </row>
    <row r="51" spans="1:11" x14ac:dyDescent="0.3">
      <c r="A51" s="11">
        <v>8</v>
      </c>
      <c r="B51" s="12" t="str">
        <f ca="1">IF(OR(1&gt;$B$5,8&gt;$B$6),"X",IF(IFERROR(INDEX(OFFSET($B$15,$D$46-15,0,1,3),MATCH(1&amp;","&amp;8,OFFSET($B$15,$F$46-15,0,1,3),0)),"")&lt;&gt;"",IFERROR(INDEX(OFFSET($B$15,$D$46-15,0,1,3),MATCH(1&amp;","&amp;8,OFFSET($B$15,$F$46-15,0,1,3),0)),""),IF($B$46="Start",IFERROR(INDEX($B$39:$F$39,MATCH(1&amp;","&amp;8,$B$40:$F$40,0)),""),"")))</f>
        <v>X</v>
      </c>
      <c r="C51" s="12" t="str">
        <f ca="1">IF(OR(2&gt;$B$5,8&gt;$B$6),"X",IF(IFERROR(INDEX(OFFSET($B$15,$D$46-15,0,1,3),MATCH(2&amp;","&amp;8,OFFSET($B$15,$F$46-15,0,1,3),0)),"")&lt;&gt;"",IFERROR(INDEX(OFFSET($B$15,$D$46-15,0,1,3),MATCH(2&amp;","&amp;8,OFFSET($B$15,$F$46-15,0,1,3),0)),""),IF($B$46="Start",IFERROR(INDEX($B$39:$F$39,MATCH(2&amp;","&amp;8,$B$40:$F$40,0)),""),"")))</f>
        <v>X</v>
      </c>
      <c r="D51" s="12" t="str">
        <f ca="1">IF(OR(3&gt;$B$5,8&gt;$B$6),"X",IF(IFERROR(INDEX(OFFSET($B$15,$D$46-15,0,1,3),MATCH(3&amp;","&amp;8,OFFSET($B$15,$F$46-15,0,1,3),0)),"")&lt;&gt;"",IFERROR(INDEX(OFFSET($B$15,$D$46-15,0,1,3),MATCH(3&amp;","&amp;8,OFFSET($B$15,$F$46-15,0,1,3),0)),""),IF($B$46="Start",IFERROR(INDEX($B$39:$F$39,MATCH(3&amp;","&amp;8,$B$40:$F$40,0)),""),"")))</f>
        <v>X</v>
      </c>
      <c r="E51" s="12" t="str">
        <f ca="1">IF(OR(4&gt;$B$5,8&gt;$B$6),"X",IF(IFERROR(INDEX(OFFSET($B$15,$D$46-15,0,1,3),MATCH(4&amp;","&amp;8,OFFSET($B$15,$F$46-15,0,1,3),0)),"")&lt;&gt;"",IFERROR(INDEX(OFFSET($B$15,$D$46-15,0,1,3),MATCH(4&amp;","&amp;8,OFFSET($B$15,$F$46-15,0,1,3),0)),""),IF($B$46="Start",IFERROR(INDEX($B$39:$F$39,MATCH(4&amp;","&amp;8,$B$40:$F$40,0)),""),"")))</f>
        <v>X</v>
      </c>
      <c r="F51" s="12" t="str">
        <f ca="1">IF(OR(5&gt;$B$5,8&gt;$B$6),"X",IF(IFERROR(INDEX(OFFSET($B$15,$D$46-15,0,1,3),MATCH(5&amp;","&amp;8,OFFSET($B$15,$F$46-15,0,1,3),0)),"")&lt;&gt;"",IFERROR(INDEX(OFFSET($B$15,$D$46-15,0,1,3),MATCH(5&amp;","&amp;8,OFFSET($B$15,$F$46-15,0,1,3),0)),""),IF($B$46="Start",IFERROR(INDEX($B$39:$F$39,MATCH(5&amp;","&amp;8,$B$40:$F$40,0)),""),"")))</f>
        <v>X</v>
      </c>
      <c r="G51" s="12" t="str">
        <f ca="1">IF(OR(6&gt;$B$5,8&gt;$B$6),"X",IF(IFERROR(INDEX(OFFSET($B$15,$D$46-15,0,1,3),MATCH(6&amp;","&amp;8,OFFSET($B$15,$F$46-15,0,1,3),0)),"")&lt;&gt;"",IFERROR(INDEX(OFFSET($B$15,$D$46-15,0,1,3),MATCH(6&amp;","&amp;8,OFFSET($B$15,$F$46-15,0,1,3),0)),""),IF($B$46="Start",IFERROR(INDEX($B$39:$F$39,MATCH(6&amp;","&amp;8,$B$40:$F$40,0)),""),"")))</f>
        <v>X</v>
      </c>
      <c r="H51" s="12" t="str">
        <f ca="1">IF(OR(7&gt;$B$5,8&gt;$B$6),"X",IF(IFERROR(INDEX(OFFSET($B$15,$D$46-15,0,1,3),MATCH(7&amp;","&amp;8,OFFSET($B$15,$F$46-15,0,1,3),0)),"")&lt;&gt;"",IFERROR(INDEX(OFFSET($B$15,$D$46-15,0,1,3),MATCH(7&amp;","&amp;8,OFFSET($B$15,$F$46-15,0,1,3),0)),""),IF($B$46="Start",IFERROR(INDEX($B$39:$F$39,MATCH(7&amp;","&amp;8,$B$40:$F$40,0)),""),"")))</f>
        <v>X</v>
      </c>
      <c r="I51" s="12" t="str">
        <f ca="1">IF(OR(8&gt;$B$5,8&gt;$B$6),"X",IF(IFERROR(INDEX(OFFSET($B$15,$D$46-15,0,1,3),MATCH(8&amp;","&amp;8,OFFSET($B$15,$F$46-15,0,1,3),0)),"")&lt;&gt;"",IFERROR(INDEX(OFFSET($B$15,$D$46-15,0,1,3),MATCH(8&amp;","&amp;8,OFFSET($B$15,$F$46-15,0,1,3),0)),""),IF($B$46="Start",IFERROR(INDEX($B$39:$F$39,MATCH(8&amp;","&amp;8,$B$40:$F$40,0)),""),"")))</f>
        <v>X</v>
      </c>
      <c r="J51" s="12" t="str">
        <f ca="1">IF(OR(9&gt;$B$5,8&gt;$B$6),"X",IF(IFERROR(INDEX(OFFSET($B$15,$D$46-15,0,1,3),MATCH(9&amp;","&amp;8,OFFSET($B$15,$F$46-15,0,1,3),0)),"")&lt;&gt;"",IFERROR(INDEX(OFFSET($B$15,$D$46-15,0,1,3),MATCH(9&amp;","&amp;8,OFFSET($B$15,$F$46-15,0,1,3),0)),""),IF($B$46="Start",IFERROR(INDEX($B$39:$F$39,MATCH(9&amp;","&amp;8,$B$40:$F$40,0)),""),"")))</f>
        <v>X</v>
      </c>
      <c r="K51" s="12" t="str">
        <f ca="1">IF(OR(10&gt;$B$5,8&gt;$B$6),"X",IF(IFERROR(INDEX(OFFSET($B$15,$D$46-15,0,1,3),MATCH(10&amp;","&amp;8,OFFSET($B$15,$F$46-15,0,1,3),0)),"")&lt;&gt;"",IFERROR(INDEX(OFFSET($B$15,$D$46-15,0,1,3),MATCH(10&amp;","&amp;8,OFFSET($B$15,$F$46-15,0,1,3),0)),""),IF($B$46="Start",IFERROR(INDEX($B$39:$F$39,MATCH(10&amp;","&amp;8,$B$40:$F$40,0)),""),"")))</f>
        <v>X</v>
      </c>
    </row>
    <row r="52" spans="1:11" x14ac:dyDescent="0.3">
      <c r="A52" s="11">
        <v>7</v>
      </c>
      <c r="B52" s="12" t="str">
        <f ca="1">IF(OR(1&gt;$B$5,7&gt;$B$6),"X",IF(IFERROR(INDEX(OFFSET($B$15,$D$46-15,0,1,3),MATCH(1&amp;","&amp;7,OFFSET($B$15,$F$46-15,0,1,3),0)),"")&lt;&gt;"",IFERROR(INDEX(OFFSET($B$15,$D$46-15,0,1,3),MATCH(1&amp;","&amp;7,OFFSET($B$15,$F$46-15,0,1,3),0)),""),IF($B$46="Start",IFERROR(INDEX($B$39:$F$39,MATCH(1&amp;","&amp;7,$B$40:$F$40,0)),""),"")))</f>
        <v/>
      </c>
      <c r="C52" s="12" t="str">
        <f ca="1">IF(OR(2&gt;$B$5,7&gt;$B$6),"X",IF(IFERROR(INDEX(OFFSET($B$15,$D$46-15,0,1,3),MATCH(2&amp;","&amp;7,OFFSET($B$15,$F$46-15,0,1,3),0)),"")&lt;&gt;"",IFERROR(INDEX(OFFSET($B$15,$D$46-15,0,1,3),MATCH(2&amp;","&amp;7,OFFSET($B$15,$F$46-15,0,1,3),0)),""),IF($B$46="Start",IFERROR(INDEX($B$39:$F$39,MATCH(2&amp;","&amp;7,$B$40:$F$40,0)),""),"")))</f>
        <v/>
      </c>
      <c r="D52" s="12" t="str">
        <f ca="1">IF(OR(3&gt;$B$5,7&gt;$B$6),"X",IF(IFERROR(INDEX(OFFSET($B$15,$D$46-15,0,1,3),MATCH(3&amp;","&amp;7,OFFSET($B$15,$F$46-15,0,1,3),0)),"")&lt;&gt;"",IFERROR(INDEX(OFFSET($B$15,$D$46-15,0,1,3),MATCH(3&amp;","&amp;7,OFFSET($B$15,$F$46-15,0,1,3),0)),""),IF($B$46="Start",IFERROR(INDEX($B$39:$F$39,MATCH(3&amp;","&amp;7,$B$40:$F$40,0)),""),"")))</f>
        <v/>
      </c>
      <c r="E52" s="12" t="str">
        <f ca="1">IF(OR(4&gt;$B$5,7&gt;$B$6),"X",IF(IFERROR(INDEX(OFFSET($B$15,$D$46-15,0,1,3),MATCH(4&amp;","&amp;7,OFFSET($B$15,$F$46-15,0,1,3),0)),"")&lt;&gt;"",IFERROR(INDEX(OFFSET($B$15,$D$46-15,0,1,3),MATCH(4&amp;","&amp;7,OFFSET($B$15,$F$46-15,0,1,3),0)),""),IF($B$46="Start",IFERROR(INDEX($B$39:$F$39,MATCH(4&amp;","&amp;7,$B$40:$F$40,0)),""),"")))</f>
        <v>Rat</v>
      </c>
      <c r="F52" s="12" t="str">
        <f ca="1">IF(OR(5&gt;$B$5,7&gt;$B$6),"X",IF(IFERROR(INDEX(OFFSET($B$15,$D$46-15,0,1,3),MATCH(5&amp;","&amp;7,OFFSET($B$15,$F$46-15,0,1,3),0)),"")&lt;&gt;"",IFERROR(INDEX(OFFSET($B$15,$D$46-15,0,1,3),MATCH(5&amp;","&amp;7,OFFSET($B$15,$F$46-15,0,1,3),0)),""),IF($B$46="Start",IFERROR(INDEX($B$39:$F$39,MATCH(5&amp;","&amp;7,$B$40:$F$40,0)),""),"")))</f>
        <v/>
      </c>
      <c r="G52" s="12" t="str">
        <f ca="1">IF(OR(6&gt;$B$5,7&gt;$B$6),"X",IF(IFERROR(INDEX(OFFSET($B$15,$D$46-15,0,1,3),MATCH(6&amp;","&amp;7,OFFSET($B$15,$F$46-15,0,1,3),0)),"")&lt;&gt;"",IFERROR(INDEX(OFFSET($B$15,$D$46-15,0,1,3),MATCH(6&amp;","&amp;7,OFFSET($B$15,$F$46-15,0,1,3),0)),""),IF($B$46="Start",IFERROR(INDEX($B$39:$F$39,MATCH(6&amp;","&amp;7,$B$40:$F$40,0)),""),"")))</f>
        <v/>
      </c>
      <c r="H52" s="12" t="str">
        <f ca="1">IF(OR(7&gt;$B$5,7&gt;$B$6),"X",IF(IFERROR(INDEX(OFFSET($B$15,$D$46-15,0,1,3),MATCH(7&amp;","&amp;7,OFFSET($B$15,$F$46-15,0,1,3),0)),"")&lt;&gt;"",IFERROR(INDEX(OFFSET($B$15,$D$46-15,0,1,3),MATCH(7&amp;","&amp;7,OFFSET($B$15,$F$46-15,0,1,3),0)),""),IF($B$46="Start",IFERROR(INDEX($B$39:$F$39,MATCH(7&amp;","&amp;7,$B$40:$F$40,0)),""),"")))</f>
        <v>X</v>
      </c>
      <c r="I52" s="12" t="str">
        <f ca="1">IF(OR(8&gt;$B$5,7&gt;$B$6),"X",IF(IFERROR(INDEX(OFFSET($B$15,$D$46-15,0,1,3),MATCH(8&amp;","&amp;7,OFFSET($B$15,$F$46-15,0,1,3),0)),"")&lt;&gt;"",IFERROR(INDEX(OFFSET($B$15,$D$46-15,0,1,3),MATCH(8&amp;","&amp;7,OFFSET($B$15,$F$46-15,0,1,3),0)),""),IF($B$46="Start",IFERROR(INDEX($B$39:$F$39,MATCH(8&amp;","&amp;7,$B$40:$F$40,0)),""),"")))</f>
        <v>X</v>
      </c>
      <c r="J52" s="12" t="str">
        <f ca="1">IF(OR(9&gt;$B$5,7&gt;$B$6),"X",IF(IFERROR(INDEX(OFFSET($B$15,$D$46-15,0,1,3),MATCH(9&amp;","&amp;7,OFFSET($B$15,$F$46-15,0,1,3),0)),"")&lt;&gt;"",IFERROR(INDEX(OFFSET($B$15,$D$46-15,0,1,3),MATCH(9&amp;","&amp;7,OFFSET($B$15,$F$46-15,0,1,3),0)),""),IF($B$46="Start",IFERROR(INDEX($B$39:$F$39,MATCH(9&amp;","&amp;7,$B$40:$F$40,0)),""),"")))</f>
        <v>X</v>
      </c>
      <c r="K52" s="12" t="str">
        <f ca="1">IF(OR(10&gt;$B$5,7&gt;$B$6),"X",IF(IFERROR(INDEX(OFFSET($B$15,$D$46-15,0,1,3),MATCH(10&amp;","&amp;7,OFFSET($B$15,$F$46-15,0,1,3),0)),"")&lt;&gt;"",IFERROR(INDEX(OFFSET($B$15,$D$46-15,0,1,3),MATCH(10&amp;","&amp;7,OFFSET($B$15,$F$46-15,0,1,3),0)),""),IF($B$46="Start",IFERROR(INDEX($B$39:$F$39,MATCH(10&amp;","&amp;7,$B$40:$F$40,0)),""),"")))</f>
        <v>X</v>
      </c>
    </row>
    <row r="53" spans="1:11" x14ac:dyDescent="0.3">
      <c r="A53" s="11">
        <v>6</v>
      </c>
      <c r="B53" s="12" t="str">
        <f ca="1">IF(OR(1&gt;$B$5,6&gt;$B$6),"X",IF(IFERROR(INDEX(OFFSET($B$15,$D$46-15,0,1,3),MATCH(1&amp;","&amp;6,OFFSET($B$15,$F$46-15,0,1,3),0)),"")&lt;&gt;"",IFERROR(INDEX(OFFSET($B$15,$D$46-15,0,1,3),MATCH(1&amp;","&amp;6,OFFSET($B$15,$F$46-15,0,1,3),0)),""),IF($B$46="Start",IFERROR(INDEX($B$39:$F$39,MATCH(1&amp;","&amp;6,$B$40:$F$40,0)),""),"")))</f>
        <v/>
      </c>
      <c r="C53" s="12" t="str">
        <f ca="1">IF(OR(2&gt;$B$5,6&gt;$B$6),"X",IF(IFERROR(INDEX(OFFSET($B$15,$D$46-15,0,1,3),MATCH(2&amp;","&amp;6,OFFSET($B$15,$F$46-15,0,1,3),0)),"")&lt;&gt;"",IFERROR(INDEX(OFFSET($B$15,$D$46-15,0,1,3),MATCH(2&amp;","&amp;6,OFFSET($B$15,$F$46-15,0,1,3),0)),""),IF($B$46="Start",IFERROR(INDEX($B$39:$F$39,MATCH(2&amp;","&amp;6,$B$40:$F$40,0)),""),"")))</f>
        <v>Goblin</v>
      </c>
      <c r="D53" s="12" t="str">
        <f ca="1">IF(OR(3&gt;$B$5,6&gt;$B$6),"X",IF(IFERROR(INDEX(OFFSET($B$15,$D$46-15,0,1,3),MATCH(3&amp;","&amp;6,OFFSET($B$15,$F$46-15,0,1,3),0)),"")&lt;&gt;"",IFERROR(INDEX(OFFSET($B$15,$D$46-15,0,1,3),MATCH(3&amp;","&amp;6,OFFSET($B$15,$F$46-15,0,1,3),0)),""),IF($B$46="Start",IFERROR(INDEX($B$39:$F$39,MATCH(3&amp;","&amp;6,$B$40:$F$40,0)),""),"")))</f>
        <v/>
      </c>
      <c r="E53" s="12" t="str">
        <f ca="1">IF(OR(4&gt;$B$5,6&gt;$B$6),"X",IF(IFERROR(INDEX(OFFSET($B$15,$D$46-15,0,1,3),MATCH(4&amp;","&amp;6,OFFSET($B$15,$F$46-15,0,1,3),0)),"")&lt;&gt;"",IFERROR(INDEX(OFFSET($B$15,$D$46-15,0,1,3),MATCH(4&amp;","&amp;6,OFFSET($B$15,$F$46-15,0,1,3),0)),""),IF($B$46="Start",IFERROR(INDEX($B$39:$F$39,MATCH(4&amp;","&amp;6,$B$40:$F$40,0)),""),"")))</f>
        <v/>
      </c>
      <c r="F53" s="12" t="str">
        <f ca="1">IF(OR(5&gt;$B$5,6&gt;$B$6),"X",IF(IFERROR(INDEX(OFFSET($B$15,$D$46-15,0,1,3),MATCH(5&amp;","&amp;6,OFFSET($B$15,$F$46-15,0,1,3),0)),"")&lt;&gt;"",IFERROR(INDEX(OFFSET($B$15,$D$46-15,0,1,3),MATCH(5&amp;","&amp;6,OFFSET($B$15,$F$46-15,0,1,3),0)),""),IF($B$46="Start",IFERROR(INDEX($B$39:$F$39,MATCH(5&amp;","&amp;6,$B$40:$F$40,0)),""),"")))</f>
        <v>Crab</v>
      </c>
      <c r="G53" s="12" t="str">
        <f ca="1">IF(OR(6&gt;$B$5,6&gt;$B$6),"X",IF(IFERROR(INDEX(OFFSET($B$15,$D$46-15,0,1,3),MATCH(6&amp;","&amp;6,OFFSET($B$15,$F$46-15,0,1,3),0)),"")&lt;&gt;"",IFERROR(INDEX(OFFSET($B$15,$D$46-15,0,1,3),MATCH(6&amp;","&amp;6,OFFSET($B$15,$F$46-15,0,1,3),0)),""),IF($B$46="Start",IFERROR(INDEX($B$39:$F$39,MATCH(6&amp;","&amp;6,$B$40:$F$40,0)),""),"")))</f>
        <v/>
      </c>
      <c r="H53" s="12" t="str">
        <f ca="1">IF(OR(7&gt;$B$5,6&gt;$B$6),"X",IF(IFERROR(INDEX(OFFSET($B$15,$D$46-15,0,1,3),MATCH(7&amp;","&amp;6,OFFSET($B$15,$F$46-15,0,1,3),0)),"")&lt;&gt;"",IFERROR(INDEX(OFFSET($B$15,$D$46-15,0,1,3),MATCH(7&amp;","&amp;6,OFFSET($B$15,$F$46-15,0,1,3),0)),""),IF($B$46="Start",IFERROR(INDEX($B$39:$F$39,MATCH(7&amp;","&amp;6,$B$40:$F$40,0)),""),"")))</f>
        <v>X</v>
      </c>
      <c r="I53" s="12" t="str">
        <f ca="1">IF(OR(8&gt;$B$5,6&gt;$B$6),"X",IF(IFERROR(INDEX(OFFSET($B$15,$D$46-15,0,1,3),MATCH(8&amp;","&amp;6,OFFSET($B$15,$F$46-15,0,1,3),0)),"")&lt;&gt;"",IFERROR(INDEX(OFFSET($B$15,$D$46-15,0,1,3),MATCH(8&amp;","&amp;6,OFFSET($B$15,$F$46-15,0,1,3),0)),""),IF($B$46="Start",IFERROR(INDEX($B$39:$F$39,MATCH(8&amp;","&amp;6,$B$40:$F$40,0)),""),"")))</f>
        <v>X</v>
      </c>
      <c r="J53" s="12" t="str">
        <f ca="1">IF(OR(9&gt;$B$5,6&gt;$B$6),"X",IF(IFERROR(INDEX(OFFSET($B$15,$D$46-15,0,1,3),MATCH(9&amp;","&amp;6,OFFSET($B$15,$F$46-15,0,1,3),0)),"")&lt;&gt;"",IFERROR(INDEX(OFFSET($B$15,$D$46-15,0,1,3),MATCH(9&amp;","&amp;6,OFFSET($B$15,$F$46-15,0,1,3),0)),""),IF($B$46="Start",IFERROR(INDEX($B$39:$F$39,MATCH(9&amp;","&amp;6,$B$40:$F$40,0)),""),"")))</f>
        <v>X</v>
      </c>
      <c r="K53" s="12" t="str">
        <f ca="1">IF(OR(10&gt;$B$5,6&gt;$B$6),"X",IF(IFERROR(INDEX(OFFSET($B$15,$D$46-15,0,1,3),MATCH(10&amp;","&amp;6,OFFSET($B$15,$F$46-15,0,1,3),0)),"")&lt;&gt;"",IFERROR(INDEX(OFFSET($B$15,$D$46-15,0,1,3),MATCH(10&amp;","&amp;6,OFFSET($B$15,$F$46-15,0,1,3),0)),""),IF($B$46="Start",IFERROR(INDEX($B$39:$F$39,MATCH(10&amp;","&amp;6,$B$40:$F$40,0)),""),"")))</f>
        <v>X</v>
      </c>
    </row>
    <row r="54" spans="1:11" x14ac:dyDescent="0.3">
      <c r="A54" s="11">
        <v>5</v>
      </c>
      <c r="B54" s="12" t="str">
        <f ca="1">IF(OR(1&gt;$B$5,5&gt;$B$6),"X",IF(IFERROR(INDEX(OFFSET($B$15,$D$46-15,0,1,3),MATCH(1&amp;","&amp;5,OFFSET($B$15,$F$46-15,0,1,3),0)),"")&lt;&gt;"",IFERROR(INDEX(OFFSET($B$15,$D$46-15,0,1,3),MATCH(1&amp;","&amp;5,OFFSET($B$15,$F$46-15,0,1,3),0)),""),IF($B$46="Start",IFERROR(INDEX($B$39:$F$39,MATCH(1&amp;","&amp;5,$B$40:$F$40,0)),""),"")))</f>
        <v/>
      </c>
      <c r="C54" s="12" t="str">
        <f ca="1">IF(OR(2&gt;$B$5,5&gt;$B$6),"X",IF(IFERROR(INDEX(OFFSET($B$15,$D$46-15,0,1,3),MATCH(2&amp;","&amp;5,OFFSET($B$15,$F$46-15,0,1,3),0)),"")&lt;&gt;"",IFERROR(INDEX(OFFSET($B$15,$D$46-15,0,1,3),MATCH(2&amp;","&amp;5,OFFSET($B$15,$F$46-15,0,1,3),0)),""),IF($B$46="Start",IFERROR(INDEX($B$39:$F$39,MATCH(2&amp;","&amp;5,$B$40:$F$40,0)),""),"")))</f>
        <v/>
      </c>
      <c r="D54" s="12" t="str">
        <f ca="1">IF(OR(3&gt;$B$5,5&gt;$B$6),"X",IF(IFERROR(INDEX(OFFSET($B$15,$D$46-15,0,1,3),MATCH(3&amp;","&amp;5,OFFSET($B$15,$F$46-15,0,1,3),0)),"")&lt;&gt;"",IFERROR(INDEX(OFFSET($B$15,$D$46-15,0,1,3),MATCH(3&amp;","&amp;5,OFFSET($B$15,$F$46-15,0,1,3),0)),""),IF($B$46="Start",IFERROR(INDEX($B$39:$F$39,MATCH(3&amp;","&amp;5,$B$40:$F$40,0)),""),"")))</f>
        <v/>
      </c>
      <c r="E54" s="12" t="str">
        <f ca="1">IF(OR(4&gt;$B$5,5&gt;$B$6),"X",IF(IFERROR(INDEX(OFFSET($B$15,$D$46-15,0,1,3),MATCH(4&amp;","&amp;5,OFFSET($B$15,$F$46-15,0,1,3),0)),"")&lt;&gt;"",IFERROR(INDEX(OFFSET($B$15,$D$46-15,0,1,3),MATCH(4&amp;","&amp;5,OFFSET($B$15,$F$46-15,0,1,3),0)),""),IF($B$46="Start",IFERROR(INDEX($B$39:$F$39,MATCH(4&amp;","&amp;5,$B$40:$F$40,0)),""),"")))</f>
        <v/>
      </c>
      <c r="F54" s="12" t="str">
        <f ca="1">IF(OR(5&gt;$B$5,5&gt;$B$6),"X",IF(IFERROR(INDEX(OFFSET($B$15,$D$46-15,0,1,3),MATCH(5&amp;","&amp;5,OFFSET($B$15,$F$46-15,0,1,3),0)),"")&lt;&gt;"",IFERROR(INDEX(OFFSET($B$15,$D$46-15,0,1,3),MATCH(5&amp;","&amp;5,OFFSET($B$15,$F$46-15,0,1,3),0)),""),IF($B$46="Start",IFERROR(INDEX($B$39:$F$39,MATCH(5&amp;","&amp;5,$B$40:$F$40,0)),""),"")))</f>
        <v/>
      </c>
      <c r="G54" s="12" t="str">
        <f ca="1">IF(OR(6&gt;$B$5,5&gt;$B$6),"X",IF(IFERROR(INDEX(OFFSET($B$15,$D$46-15,0,1,3),MATCH(6&amp;","&amp;5,OFFSET($B$15,$F$46-15,0,1,3),0)),"")&lt;&gt;"",IFERROR(INDEX(OFFSET($B$15,$D$46-15,0,1,3),MATCH(6&amp;","&amp;5,OFFSET($B$15,$F$46-15,0,1,3),0)),""),IF($B$46="Start",IFERROR(INDEX($B$39:$F$39,MATCH(6&amp;","&amp;5,$B$40:$F$40,0)),""),"")))</f>
        <v/>
      </c>
      <c r="H54" s="12" t="str">
        <f ca="1">IF(OR(7&gt;$B$5,5&gt;$B$6),"X",IF(IFERROR(INDEX(OFFSET($B$15,$D$46-15,0,1,3),MATCH(7&amp;","&amp;5,OFFSET($B$15,$F$46-15,0,1,3),0)),"")&lt;&gt;"",IFERROR(INDEX(OFFSET($B$15,$D$46-15,0,1,3),MATCH(7&amp;","&amp;5,OFFSET($B$15,$F$46-15,0,1,3),0)),""),IF($B$46="Start",IFERROR(INDEX($B$39:$F$39,MATCH(7&amp;","&amp;5,$B$40:$F$40,0)),""),"")))</f>
        <v>X</v>
      </c>
      <c r="I54" s="12" t="str">
        <f ca="1">IF(OR(8&gt;$B$5,5&gt;$B$6),"X",IF(IFERROR(INDEX(OFFSET($B$15,$D$46-15,0,1,3),MATCH(8&amp;","&amp;5,OFFSET($B$15,$F$46-15,0,1,3),0)),"")&lt;&gt;"",IFERROR(INDEX(OFFSET($B$15,$D$46-15,0,1,3),MATCH(8&amp;","&amp;5,OFFSET($B$15,$F$46-15,0,1,3),0)),""),IF($B$46="Start",IFERROR(INDEX($B$39:$F$39,MATCH(8&amp;","&amp;5,$B$40:$F$40,0)),""),"")))</f>
        <v>X</v>
      </c>
      <c r="J54" s="12" t="str">
        <f ca="1">IF(OR(9&gt;$B$5,5&gt;$B$6),"X",IF(IFERROR(INDEX(OFFSET($B$15,$D$46-15,0,1,3),MATCH(9&amp;","&amp;5,OFFSET($B$15,$F$46-15,0,1,3),0)),"")&lt;&gt;"",IFERROR(INDEX(OFFSET($B$15,$D$46-15,0,1,3),MATCH(9&amp;","&amp;5,OFFSET($B$15,$F$46-15,0,1,3),0)),""),IF($B$46="Start",IFERROR(INDEX($B$39:$F$39,MATCH(9&amp;","&amp;5,$B$40:$F$40,0)),""),"")))</f>
        <v>X</v>
      </c>
      <c r="K54" s="12" t="str">
        <f ca="1">IF(OR(10&gt;$B$5,5&gt;$B$6),"X",IF(IFERROR(INDEX(OFFSET($B$15,$D$46-15,0,1,3),MATCH(10&amp;","&amp;5,OFFSET($B$15,$F$46-15,0,1,3),0)),"")&lt;&gt;"",IFERROR(INDEX(OFFSET($B$15,$D$46-15,0,1,3),MATCH(10&amp;","&amp;5,OFFSET($B$15,$F$46-15,0,1,3),0)),""),IF($B$46="Start",IFERROR(INDEX($B$39:$F$39,MATCH(10&amp;","&amp;5,$B$40:$F$40,0)),""),"")))</f>
        <v>X</v>
      </c>
    </row>
    <row r="55" spans="1:11" x14ac:dyDescent="0.3">
      <c r="A55" s="11">
        <v>4</v>
      </c>
      <c r="B55" s="12" t="str">
        <f ca="1">IF(OR(1&gt;$B$5,4&gt;$B$6),"X",IF(IFERROR(INDEX(OFFSET($B$15,$D$46-15,0,1,3),MATCH(1&amp;","&amp;4,OFFSET($B$15,$F$46-15,0,1,3),0)),"")&lt;&gt;"",IFERROR(INDEX(OFFSET($B$15,$D$46-15,0,1,3),MATCH(1&amp;","&amp;4,OFFSET($B$15,$F$46-15,0,1,3),0)),""),IF($B$46="Start",IFERROR(INDEX($B$39:$F$39,MATCH(1&amp;","&amp;4,$B$40:$F$40,0)),""),"")))</f>
        <v/>
      </c>
      <c r="C55" s="12" t="str">
        <f ca="1">IF(OR(2&gt;$B$5,4&gt;$B$6),"X",IF(IFERROR(INDEX(OFFSET($B$15,$D$46-15,0,1,3),MATCH(2&amp;","&amp;4,OFFSET($B$15,$F$46-15,0,1,3),0)),"")&lt;&gt;"",IFERROR(INDEX(OFFSET($B$15,$D$46-15,0,1,3),MATCH(2&amp;","&amp;4,OFFSET($B$15,$F$46-15,0,1,3),0)),""),IF($B$46="Start",IFERROR(INDEX($B$39:$F$39,MATCH(2&amp;","&amp;4,$B$40:$F$40,0)),""),"")))</f>
        <v/>
      </c>
      <c r="D55" s="12" t="str">
        <f ca="1">IF(OR(3&gt;$B$5,4&gt;$B$6),"X",IF(IFERROR(INDEX(OFFSET($B$15,$D$46-15,0,1,3),MATCH(3&amp;","&amp;4,OFFSET($B$15,$F$46-15,0,1,3),0)),"")&lt;&gt;"",IFERROR(INDEX(OFFSET($B$15,$D$46-15,0,1,3),MATCH(3&amp;","&amp;4,OFFSET($B$15,$F$46-15,0,1,3),0)),""),IF($B$46="Start",IFERROR(INDEX($B$39:$F$39,MATCH(3&amp;","&amp;4,$B$40:$F$40,0)),""),"")))</f>
        <v/>
      </c>
      <c r="E55" s="12" t="str">
        <f ca="1">IF(OR(4&gt;$B$5,4&gt;$B$6),"X",IF(IFERROR(INDEX(OFFSET($B$15,$D$46-15,0,1,3),MATCH(4&amp;","&amp;4,OFFSET($B$15,$F$46-15,0,1,3),0)),"")&lt;&gt;"",IFERROR(INDEX(OFFSET($B$15,$D$46-15,0,1,3),MATCH(4&amp;","&amp;4,OFFSET($B$15,$F$46-15,0,1,3),0)),""),IF($B$46="Start",IFERROR(INDEX($B$39:$F$39,MATCH(4&amp;","&amp;4,$B$40:$F$40,0)),""),"")))</f>
        <v/>
      </c>
      <c r="F55" s="12" t="str">
        <f ca="1">IF(OR(5&gt;$B$5,4&gt;$B$6),"X",IF(IFERROR(INDEX(OFFSET($B$15,$D$46-15,0,1,3),MATCH(5&amp;","&amp;4,OFFSET($B$15,$F$46-15,0,1,3),0)),"")&lt;&gt;"",IFERROR(INDEX(OFFSET($B$15,$D$46-15,0,1,3),MATCH(5&amp;","&amp;4,OFFSET($B$15,$F$46-15,0,1,3),0)),""),IF($B$46="Start",IFERROR(INDEX($B$39:$F$39,MATCH(5&amp;","&amp;4,$B$40:$F$40,0)),""),"")))</f>
        <v/>
      </c>
      <c r="G55" s="12" t="str">
        <f ca="1">IF(OR(6&gt;$B$5,4&gt;$B$6),"X",IF(IFERROR(INDEX(OFFSET($B$15,$D$46-15,0,1,3),MATCH(6&amp;","&amp;4,OFFSET($B$15,$F$46-15,0,1,3),0)),"")&lt;&gt;"",IFERROR(INDEX(OFFSET($B$15,$D$46-15,0,1,3),MATCH(6&amp;","&amp;4,OFFSET($B$15,$F$46-15,0,1,3),0)),""),IF($B$46="Start",IFERROR(INDEX($B$39:$F$39,MATCH(6&amp;","&amp;4,$B$40:$F$40,0)),""),"")))</f>
        <v/>
      </c>
      <c r="H55" s="12" t="str">
        <f ca="1">IF(OR(7&gt;$B$5,4&gt;$B$6),"X",IF(IFERROR(INDEX(OFFSET($B$15,$D$46-15,0,1,3),MATCH(7&amp;","&amp;4,OFFSET($B$15,$F$46-15,0,1,3),0)),"")&lt;&gt;"",IFERROR(INDEX(OFFSET($B$15,$D$46-15,0,1,3),MATCH(7&amp;","&amp;4,OFFSET($B$15,$F$46-15,0,1,3),0)),""),IF($B$46="Start",IFERROR(INDEX($B$39:$F$39,MATCH(7&amp;","&amp;4,$B$40:$F$40,0)),""),"")))</f>
        <v>X</v>
      </c>
      <c r="I55" s="12" t="str">
        <f ca="1">IF(OR(8&gt;$B$5,4&gt;$B$6),"X",IF(IFERROR(INDEX(OFFSET($B$15,$D$46-15,0,1,3),MATCH(8&amp;","&amp;4,OFFSET($B$15,$F$46-15,0,1,3),0)),"")&lt;&gt;"",IFERROR(INDEX(OFFSET($B$15,$D$46-15,0,1,3),MATCH(8&amp;","&amp;4,OFFSET($B$15,$F$46-15,0,1,3),0)),""),IF($B$46="Start",IFERROR(INDEX($B$39:$F$39,MATCH(8&amp;","&amp;4,$B$40:$F$40,0)),""),"")))</f>
        <v>X</v>
      </c>
      <c r="J55" s="12" t="str">
        <f ca="1">IF(OR(9&gt;$B$5,4&gt;$B$6),"X",IF(IFERROR(INDEX(OFFSET($B$15,$D$46-15,0,1,3),MATCH(9&amp;","&amp;4,OFFSET($B$15,$F$46-15,0,1,3),0)),"")&lt;&gt;"",IFERROR(INDEX(OFFSET($B$15,$D$46-15,0,1,3),MATCH(9&amp;","&amp;4,OFFSET($B$15,$F$46-15,0,1,3),0)),""),IF($B$46="Start",IFERROR(INDEX($B$39:$F$39,MATCH(9&amp;","&amp;4,$B$40:$F$40,0)),""),"")))</f>
        <v>X</v>
      </c>
      <c r="K55" s="12" t="str">
        <f ca="1">IF(OR(10&gt;$B$5,4&gt;$B$6),"X",IF(IFERROR(INDEX(OFFSET($B$15,$D$46-15,0,1,3),MATCH(10&amp;","&amp;4,OFFSET($B$15,$F$46-15,0,1,3),0)),"")&lt;&gt;"",IFERROR(INDEX(OFFSET($B$15,$D$46-15,0,1,3),MATCH(10&amp;","&amp;4,OFFSET($B$15,$F$46-15,0,1,3),0)),""),IF($B$46="Start",IFERROR(INDEX($B$39:$F$39,MATCH(10&amp;","&amp;4,$B$40:$F$40,0)),""),"")))</f>
        <v>X</v>
      </c>
    </row>
    <row r="56" spans="1:11" x14ac:dyDescent="0.3">
      <c r="A56" s="11">
        <v>3</v>
      </c>
      <c r="B56" s="12" t="str">
        <f ca="1">IF(OR(1&gt;$B$5,3&gt;$B$6),"X",IF(IFERROR(INDEX(OFFSET($B$15,$D$46-15,0,1,3),MATCH(1&amp;","&amp;3,OFFSET($B$15,$F$46-15,0,1,3),0)),"")&lt;&gt;"",IFERROR(INDEX(OFFSET($B$15,$D$46-15,0,1,3),MATCH(1&amp;","&amp;3,OFFSET($B$15,$F$46-15,0,1,3),0)),""),IF($B$46="Start",IFERROR(INDEX($B$39:$F$39,MATCH(1&amp;","&amp;3,$B$40:$F$40,0)),""),"")))</f>
        <v/>
      </c>
      <c r="C56" s="12" t="str">
        <f ca="1">IF(OR(2&gt;$B$5,3&gt;$B$6),"X",IF(IFERROR(INDEX(OFFSET($B$15,$D$46-15,0,1,3),MATCH(2&amp;","&amp;3,OFFSET($B$15,$F$46-15,0,1,3),0)),"")&lt;&gt;"",IFERROR(INDEX(OFFSET($B$15,$D$46-15,0,1,3),MATCH(2&amp;","&amp;3,OFFSET($B$15,$F$46-15,0,1,3),0)),""),IF($B$46="Start",IFERROR(INDEX($B$39:$F$39,MATCH(2&amp;","&amp;3,$B$40:$F$40,0)),""),"")))</f>
        <v/>
      </c>
      <c r="D56" s="12" t="str">
        <f ca="1">IF(OR(3&gt;$B$5,3&gt;$B$6),"X",IF(IFERROR(INDEX(OFFSET($B$15,$D$46-15,0,1,3),MATCH(3&amp;","&amp;3,OFFSET($B$15,$F$46-15,0,1,3),0)),"")&lt;&gt;"",IFERROR(INDEX(OFFSET($B$15,$D$46-15,0,1,3),MATCH(3&amp;","&amp;3,OFFSET($B$15,$F$46-15,0,1,3),0)),""),IF($B$46="Start",IFERROR(INDEX($B$39:$F$39,MATCH(3&amp;","&amp;3,$B$40:$F$40,0)),""),"")))</f>
        <v/>
      </c>
      <c r="E56" s="12" t="str">
        <f ca="1">IF(OR(4&gt;$B$5,3&gt;$B$6),"X",IF(IFERROR(INDEX(OFFSET($B$15,$D$46-15,0,1,3),MATCH(4&amp;","&amp;3,OFFSET($B$15,$F$46-15,0,1,3),0)),"")&lt;&gt;"",IFERROR(INDEX(OFFSET($B$15,$D$46-15,0,1,3),MATCH(4&amp;","&amp;3,OFFSET($B$15,$F$46-15,0,1,3),0)),""),IF($B$46="Start",IFERROR(INDEX($B$39:$F$39,MATCH(4&amp;","&amp;3,$B$40:$F$40,0)),""),"")))</f>
        <v/>
      </c>
      <c r="F56" s="12" t="str">
        <f ca="1">IF(OR(5&gt;$B$5,3&gt;$B$6),"X",IF(IFERROR(INDEX(OFFSET($B$15,$D$46-15,0,1,3),MATCH(5&amp;","&amp;3,OFFSET($B$15,$F$46-15,0,1,3),0)),"")&lt;&gt;"",IFERROR(INDEX(OFFSET($B$15,$D$46-15,0,1,3),MATCH(5&amp;","&amp;3,OFFSET($B$15,$F$46-15,0,1,3),0)),""),IF($B$46="Start",IFERROR(INDEX($B$39:$F$39,MATCH(5&amp;","&amp;3,$B$40:$F$40,0)),""),"")))</f>
        <v/>
      </c>
      <c r="G56" s="12" t="str">
        <f ca="1">IF(OR(6&gt;$B$5,3&gt;$B$6),"X",IF(IFERROR(INDEX(OFFSET($B$15,$D$46-15,0,1,3),MATCH(6&amp;","&amp;3,OFFSET($B$15,$F$46-15,0,1,3),0)),"")&lt;&gt;"",IFERROR(INDEX(OFFSET($B$15,$D$46-15,0,1,3),MATCH(6&amp;","&amp;3,OFFSET($B$15,$F$46-15,0,1,3),0)),""),IF($B$46="Start",IFERROR(INDEX($B$39:$F$39,MATCH(6&amp;","&amp;3,$B$40:$F$40,0)),""),"")))</f>
        <v/>
      </c>
      <c r="H56" s="12" t="str">
        <f ca="1">IF(OR(7&gt;$B$5,3&gt;$B$6),"X",IF(IFERROR(INDEX(OFFSET($B$15,$D$46-15,0,1,3),MATCH(7&amp;","&amp;3,OFFSET($B$15,$F$46-15,0,1,3),0)),"")&lt;&gt;"",IFERROR(INDEX(OFFSET($B$15,$D$46-15,0,1,3),MATCH(7&amp;","&amp;3,OFFSET($B$15,$F$46-15,0,1,3),0)),""),IF($B$46="Start",IFERROR(INDEX($B$39:$F$39,MATCH(7&amp;","&amp;3,$B$40:$F$40,0)),""),"")))</f>
        <v>X</v>
      </c>
      <c r="I56" s="12" t="str">
        <f ca="1">IF(OR(8&gt;$B$5,3&gt;$B$6),"X",IF(IFERROR(INDEX(OFFSET($B$15,$D$46-15,0,1,3),MATCH(8&amp;","&amp;3,OFFSET($B$15,$F$46-15,0,1,3),0)),"")&lt;&gt;"",IFERROR(INDEX(OFFSET($B$15,$D$46-15,0,1,3),MATCH(8&amp;","&amp;3,OFFSET($B$15,$F$46-15,0,1,3),0)),""),IF($B$46="Start",IFERROR(INDEX($B$39:$F$39,MATCH(8&amp;","&amp;3,$B$40:$F$40,0)),""),"")))</f>
        <v>X</v>
      </c>
      <c r="J56" s="12" t="str">
        <f ca="1">IF(OR(9&gt;$B$5,3&gt;$B$6),"X",IF(IFERROR(INDEX(OFFSET($B$15,$D$46-15,0,1,3),MATCH(9&amp;","&amp;3,OFFSET($B$15,$F$46-15,0,1,3),0)),"")&lt;&gt;"",IFERROR(INDEX(OFFSET($B$15,$D$46-15,0,1,3),MATCH(9&amp;","&amp;3,OFFSET($B$15,$F$46-15,0,1,3),0)),""),IF($B$46="Start",IFERROR(INDEX($B$39:$F$39,MATCH(9&amp;","&amp;3,$B$40:$F$40,0)),""),"")))</f>
        <v>X</v>
      </c>
      <c r="K56" s="12" t="str">
        <f ca="1">IF(OR(10&gt;$B$5,3&gt;$B$6),"X",IF(IFERROR(INDEX(OFFSET($B$15,$D$46-15,0,1,3),MATCH(10&amp;","&amp;3,OFFSET($B$15,$F$46-15,0,1,3),0)),"")&lt;&gt;"",IFERROR(INDEX(OFFSET($B$15,$D$46-15,0,1,3),MATCH(10&amp;","&amp;3,OFFSET($B$15,$F$46-15,0,1,3),0)),""),IF($B$46="Start",IFERROR(INDEX($B$39:$F$39,MATCH(10&amp;","&amp;3,$B$40:$F$40,0)),""),"")))</f>
        <v>X</v>
      </c>
    </row>
    <row r="57" spans="1:11" x14ac:dyDescent="0.3">
      <c r="A57" s="11">
        <v>2</v>
      </c>
      <c r="B57" s="12" t="str">
        <f ca="1">IF(OR(1&gt;$B$5,2&gt;$B$6),"X",IF(IFERROR(INDEX(OFFSET($B$15,$D$46-15,0,1,3),MATCH(1&amp;","&amp;2,OFFSET($B$15,$F$46-15,0,1,3),0)),"")&lt;&gt;"",IFERROR(INDEX(OFFSET($B$15,$D$46-15,0,1,3),MATCH(1&amp;","&amp;2,OFFSET($B$15,$F$46-15,0,1,3),0)),""),IF($B$46="Start",IFERROR(INDEX($B$39:$F$39,MATCH(1&amp;","&amp;2,$B$40:$F$40,0)),""),"")))</f>
        <v/>
      </c>
      <c r="C57" s="12" t="str">
        <f ca="1">IF(OR(2&gt;$B$5,2&gt;$B$6),"X",IF(IFERROR(INDEX(OFFSET($B$15,$D$46-15,0,1,3),MATCH(2&amp;","&amp;2,OFFSET($B$15,$F$46-15,0,1,3),0)),"")&lt;&gt;"",IFERROR(INDEX(OFFSET($B$15,$D$46-15,0,1,3),MATCH(2&amp;","&amp;2,OFFSET($B$15,$F$46-15,0,1,3),0)),""),IF($B$46="Start",IFERROR(INDEX($B$39:$F$39,MATCH(2&amp;","&amp;2,$B$40:$F$40,0)),""),"")))</f>
        <v/>
      </c>
      <c r="D57" s="12" t="str">
        <f ca="1">IF(OR(3&gt;$B$5,2&gt;$B$6),"X",IF(IFERROR(INDEX(OFFSET($B$15,$D$46-15,0,1,3),MATCH(3&amp;","&amp;2,OFFSET($B$15,$F$46-15,0,1,3),0)),"")&lt;&gt;"",IFERROR(INDEX(OFFSET($B$15,$D$46-15,0,1,3),MATCH(3&amp;","&amp;2,OFFSET($B$15,$F$46-15,0,1,3),0)),""),IF($B$46="Start",IFERROR(INDEX($B$39:$F$39,MATCH(3&amp;","&amp;2,$B$40:$F$40,0)),""),"")))</f>
        <v>P3</v>
      </c>
      <c r="E57" s="12" t="str">
        <f ca="1">IF(OR(4&gt;$B$5,2&gt;$B$6),"X",IF(IFERROR(INDEX(OFFSET($B$15,$D$46-15,0,1,3),MATCH(4&amp;","&amp;2,OFFSET($B$15,$F$46-15,0,1,3),0)),"")&lt;&gt;"",IFERROR(INDEX(OFFSET($B$15,$D$46-15,0,1,3),MATCH(4&amp;","&amp;2,OFFSET($B$15,$F$46-15,0,1,3),0)),""),IF($B$46="Start",IFERROR(INDEX($B$39:$F$39,MATCH(4&amp;","&amp;2,$B$40:$F$40,0)),""),"")))</f>
        <v/>
      </c>
      <c r="F57" s="12" t="str">
        <f ca="1">IF(OR(5&gt;$B$5,2&gt;$B$6),"X",IF(IFERROR(INDEX(OFFSET($B$15,$D$46-15,0,1,3),MATCH(5&amp;","&amp;2,OFFSET($B$15,$F$46-15,0,1,3),0)),"")&lt;&gt;"",IFERROR(INDEX(OFFSET($B$15,$D$46-15,0,1,3),MATCH(5&amp;","&amp;2,OFFSET($B$15,$F$46-15,0,1,3),0)),""),IF($B$46="Start",IFERROR(INDEX($B$39:$F$39,MATCH(5&amp;","&amp;2,$B$40:$F$40,0)),""),"")))</f>
        <v/>
      </c>
      <c r="G57" s="12" t="str">
        <f ca="1">IF(OR(6&gt;$B$5,2&gt;$B$6),"X",IF(IFERROR(INDEX(OFFSET($B$15,$D$46-15,0,1,3),MATCH(6&amp;","&amp;2,OFFSET($B$15,$F$46-15,0,1,3),0)),"")&lt;&gt;"",IFERROR(INDEX(OFFSET($B$15,$D$46-15,0,1,3),MATCH(6&amp;","&amp;2,OFFSET($B$15,$F$46-15,0,1,3),0)),""),IF($B$46="Start",IFERROR(INDEX($B$39:$F$39,MATCH(6&amp;","&amp;2,$B$40:$F$40,0)),""),"")))</f>
        <v/>
      </c>
      <c r="H57" s="12" t="str">
        <f ca="1">IF(OR(7&gt;$B$5,2&gt;$B$6),"X",IF(IFERROR(INDEX(OFFSET($B$15,$D$46-15,0,1,3),MATCH(7&amp;","&amp;2,OFFSET($B$15,$F$46-15,0,1,3),0)),"")&lt;&gt;"",IFERROR(INDEX(OFFSET($B$15,$D$46-15,0,1,3),MATCH(7&amp;","&amp;2,OFFSET($B$15,$F$46-15,0,1,3),0)),""),IF($B$46="Start",IFERROR(INDEX($B$39:$F$39,MATCH(7&amp;","&amp;2,$B$40:$F$40,0)),""),"")))</f>
        <v>X</v>
      </c>
      <c r="I57" s="12" t="str">
        <f ca="1">IF(OR(8&gt;$B$5,2&gt;$B$6),"X",IF(IFERROR(INDEX(OFFSET($B$15,$D$46-15,0,1,3),MATCH(8&amp;","&amp;2,OFFSET($B$15,$F$46-15,0,1,3),0)),"")&lt;&gt;"",IFERROR(INDEX(OFFSET($B$15,$D$46-15,0,1,3),MATCH(8&amp;","&amp;2,OFFSET($B$15,$F$46-15,0,1,3),0)),""),IF($B$46="Start",IFERROR(INDEX($B$39:$F$39,MATCH(8&amp;","&amp;2,$B$40:$F$40,0)),""),"")))</f>
        <v>X</v>
      </c>
      <c r="J57" s="12" t="str">
        <f ca="1">IF(OR(9&gt;$B$5,2&gt;$B$6),"X",IF(IFERROR(INDEX(OFFSET($B$15,$D$46-15,0,1,3),MATCH(9&amp;","&amp;2,OFFSET($B$15,$F$46-15,0,1,3),0)),"")&lt;&gt;"",IFERROR(INDEX(OFFSET($B$15,$D$46-15,0,1,3),MATCH(9&amp;","&amp;2,OFFSET($B$15,$F$46-15,0,1,3),0)),""),IF($B$46="Start",IFERROR(INDEX($B$39:$F$39,MATCH(9&amp;","&amp;2,$B$40:$F$40,0)),""),"")))</f>
        <v>X</v>
      </c>
      <c r="K57" s="12" t="str">
        <f ca="1">IF(OR(10&gt;$B$5,2&gt;$B$6),"X",IF(IFERROR(INDEX(OFFSET($B$15,$D$46-15,0,1,3),MATCH(10&amp;","&amp;2,OFFSET($B$15,$F$46-15,0,1,3),0)),"")&lt;&gt;"",IFERROR(INDEX(OFFSET($B$15,$D$46-15,0,1,3),MATCH(10&amp;","&amp;2,OFFSET($B$15,$F$46-15,0,1,3),0)),""),IF($B$46="Start",IFERROR(INDEX($B$39:$F$39,MATCH(10&amp;","&amp;2,$B$40:$F$40,0)),""),"")))</f>
        <v>X</v>
      </c>
    </row>
    <row r="58" spans="1:11" x14ac:dyDescent="0.3">
      <c r="A58" s="11">
        <v>1</v>
      </c>
      <c r="B58" s="12" t="str">
        <f ca="1">IF(OR(1&gt;$B$5,1&gt;$B$6),"X",IF(IFERROR(INDEX(OFFSET($B$15,$D$46-15,0,1,3),MATCH(1&amp;","&amp;1,OFFSET($B$15,$F$46-15,0,1,3),0)),"")&lt;&gt;"",IFERROR(INDEX(OFFSET($B$15,$D$46-15,0,1,3),MATCH(1&amp;","&amp;1,OFFSET($B$15,$F$46-15,0,1,3),0)),""),IF($B$46="Start",IFERROR(INDEX($B$39:$F$39,MATCH(1&amp;","&amp;1,$B$40:$F$40,0)),""),"")))</f>
        <v/>
      </c>
      <c r="C58" s="12" t="str">
        <f ca="1">IF(OR(2&gt;$B$5,1&gt;$B$6),"X",IF(IFERROR(INDEX(OFFSET($B$15,$D$46-15,0,1,3),MATCH(2&amp;","&amp;1,OFFSET($B$15,$F$46-15,0,1,3),0)),"")&lt;&gt;"",IFERROR(INDEX(OFFSET($B$15,$D$46-15,0,1,3),MATCH(2&amp;","&amp;1,OFFSET($B$15,$F$46-15,0,1,3),0)),""),IF($B$46="Start",IFERROR(INDEX($B$39:$F$39,MATCH(2&amp;","&amp;1,$B$40:$F$40,0)),""),"")))</f>
        <v>P1</v>
      </c>
      <c r="D58" s="12" t="str">
        <f ca="1">IF(OR(3&gt;$B$5,1&gt;$B$6),"X",IF(IFERROR(INDEX(OFFSET($B$15,$D$46-15,0,1,3),MATCH(3&amp;","&amp;1,OFFSET($B$15,$F$46-15,0,1,3),0)),"")&lt;&gt;"",IFERROR(INDEX(OFFSET($B$15,$D$46-15,0,1,3),MATCH(3&amp;","&amp;1,OFFSET($B$15,$F$46-15,0,1,3),0)),""),IF($B$46="Start",IFERROR(INDEX($B$39:$F$39,MATCH(3&amp;","&amp;1,$B$40:$F$40,0)),""),"")))</f>
        <v/>
      </c>
      <c r="E58" s="12" t="str">
        <f ca="1">IF(OR(4&gt;$B$5,1&gt;$B$6),"X",IF(IFERROR(INDEX(OFFSET($B$15,$D$46-15,0,1,3),MATCH(4&amp;","&amp;1,OFFSET($B$15,$F$46-15,0,1,3),0)),"")&lt;&gt;"",IFERROR(INDEX(OFFSET($B$15,$D$46-15,0,1,3),MATCH(4&amp;","&amp;1,OFFSET($B$15,$F$46-15,0,1,3),0)),""),IF($B$46="Start",IFERROR(INDEX($B$39:$F$39,MATCH(4&amp;","&amp;1,$B$40:$F$40,0)),""),"")))</f>
        <v>P2</v>
      </c>
      <c r="F58" s="12" t="str">
        <f ca="1">IF(OR(5&gt;$B$5,1&gt;$B$6),"X",IF(IFERROR(INDEX(OFFSET($B$15,$D$46-15,0,1,3),MATCH(5&amp;","&amp;1,OFFSET($B$15,$F$46-15,0,1,3),0)),"")&lt;&gt;"",IFERROR(INDEX(OFFSET($B$15,$D$46-15,0,1,3),MATCH(5&amp;","&amp;1,OFFSET($B$15,$F$46-15,0,1,3),0)),""),IF($B$46="Start",IFERROR(INDEX($B$39:$F$39,MATCH(5&amp;","&amp;1,$B$40:$F$40,0)),""),"")))</f>
        <v/>
      </c>
      <c r="G58" s="12" t="str">
        <f ca="1">IF(OR(6&gt;$B$5,1&gt;$B$6),"X",IF(IFERROR(INDEX(OFFSET($B$15,$D$46-15,0,1,3),MATCH(6&amp;","&amp;1,OFFSET($B$15,$F$46-15,0,1,3),0)),"")&lt;&gt;"",IFERROR(INDEX(OFFSET($B$15,$D$46-15,0,1,3),MATCH(6&amp;","&amp;1,OFFSET($B$15,$F$46-15,0,1,3),0)),""),IF($B$46="Start",IFERROR(INDEX($B$39:$F$39,MATCH(6&amp;","&amp;1,$B$40:$F$40,0)),""),"")))</f>
        <v/>
      </c>
      <c r="H58" s="12" t="str">
        <f ca="1">IF(OR(7&gt;$B$5,1&gt;$B$6),"X",IF(IFERROR(INDEX(OFFSET($B$15,$D$46-15,0,1,3),MATCH(7&amp;","&amp;1,OFFSET($B$15,$F$46-15,0,1,3),0)),"")&lt;&gt;"",IFERROR(INDEX(OFFSET($B$15,$D$46-15,0,1,3),MATCH(7&amp;","&amp;1,OFFSET($B$15,$F$46-15,0,1,3),0)),""),IF($B$46="Start",IFERROR(INDEX($B$39:$F$39,MATCH(7&amp;","&amp;1,$B$40:$F$40,0)),""),"")))</f>
        <v>X</v>
      </c>
      <c r="I58" s="12" t="str">
        <f ca="1">IF(OR(8&gt;$B$5,1&gt;$B$6),"X",IF(IFERROR(INDEX(OFFSET($B$15,$D$46-15,0,1,3),MATCH(8&amp;","&amp;1,OFFSET($B$15,$F$46-15,0,1,3),0)),"")&lt;&gt;"",IFERROR(INDEX(OFFSET($B$15,$D$46-15,0,1,3),MATCH(8&amp;","&amp;1,OFFSET($B$15,$F$46-15,0,1,3),0)),""),IF($B$46="Start",IFERROR(INDEX($B$39:$F$39,MATCH(8&amp;","&amp;1,$B$40:$F$40,0)),""),"")))</f>
        <v>X</v>
      </c>
      <c r="J58" s="12" t="str">
        <f ca="1">IF(OR(9&gt;$B$5,1&gt;$B$6),"X",IF(IFERROR(INDEX(OFFSET($B$15,$D$46-15,0,1,3),MATCH(9&amp;","&amp;1,OFFSET($B$15,$F$46-15,0,1,3),0)),"")&lt;&gt;"",IFERROR(INDEX(OFFSET($B$15,$D$46-15,0,1,3),MATCH(9&amp;","&amp;1,OFFSET($B$15,$F$46-15,0,1,3),0)),""),IF($B$46="Start",IFERROR(INDEX($B$39:$F$39,MATCH(9&amp;","&amp;1,$B$40:$F$40,0)),""),"")))</f>
        <v>X</v>
      </c>
      <c r="K58" s="12" t="str">
        <f ca="1">IF(OR(10&gt;$B$5,1&gt;$B$6),"X",IF(IFERROR(INDEX(OFFSET($B$15,$D$46-15,0,1,3),MATCH(10&amp;","&amp;1,OFFSET($B$15,$F$46-15,0,1,3),0)),"")&lt;&gt;"",IFERROR(INDEX(OFFSET($B$15,$D$46-15,0,1,3),MATCH(10&amp;","&amp;1,OFFSET($B$15,$F$46-15,0,1,3),0)),""),IF($B$46="Start",IFERROR(INDEX($B$39:$F$39,MATCH(10&amp;","&amp;1,$B$40:$F$40,0)),""),"")))</f>
        <v>X</v>
      </c>
    </row>
    <row r="60" spans="1:11" x14ac:dyDescent="0.3">
      <c r="A60" s="1" t="s">
        <v>127</v>
      </c>
    </row>
    <row r="61" spans="1:11" x14ac:dyDescent="0.3">
      <c r="A61" t="s">
        <v>128</v>
      </c>
    </row>
    <row r="62" spans="1:11" x14ac:dyDescent="0.3">
      <c r="A62" t="s">
        <v>129</v>
      </c>
    </row>
    <row r="63" spans="1:11" x14ac:dyDescent="0.3">
      <c r="A63" t="s">
        <v>130</v>
      </c>
    </row>
    <row r="64" spans="1:11" x14ac:dyDescent="0.3">
      <c r="A64" t="s">
        <v>131</v>
      </c>
    </row>
    <row r="66" spans="1:3" x14ac:dyDescent="0.3">
      <c r="A66" s="1" t="s">
        <v>132</v>
      </c>
      <c r="B66" s="2"/>
    </row>
    <row r="68" spans="1:3" x14ac:dyDescent="0.3">
      <c r="A68" s="4" t="s">
        <v>133</v>
      </c>
    </row>
    <row r="69" spans="1:3" x14ac:dyDescent="0.3">
      <c r="A69" s="4" t="s">
        <v>134</v>
      </c>
      <c r="B69" s="4" t="s">
        <v>135</v>
      </c>
      <c r="C69" s="4" t="s">
        <v>136</v>
      </c>
    </row>
    <row r="70" spans="1:3" x14ac:dyDescent="0.3">
      <c r="A70" t="s">
        <v>95</v>
      </c>
      <c r="B70">
        <v>15</v>
      </c>
      <c r="C70">
        <v>16</v>
      </c>
    </row>
    <row r="71" spans="1:3" x14ac:dyDescent="0.3">
      <c r="A71" t="s">
        <v>151</v>
      </c>
      <c r="B71">
        <v>17</v>
      </c>
      <c r="C71">
        <v>18</v>
      </c>
    </row>
    <row r="72" spans="1:3" x14ac:dyDescent="0.3">
      <c r="A72" t="s">
        <v>152</v>
      </c>
      <c r="B72">
        <v>19</v>
      </c>
      <c r="C72">
        <v>20</v>
      </c>
    </row>
    <row r="73" spans="1:3" x14ac:dyDescent="0.3">
      <c r="A73" t="s">
        <v>165</v>
      </c>
      <c r="B73">
        <v>21</v>
      </c>
      <c r="C73">
        <v>22</v>
      </c>
    </row>
  </sheetData>
  <conditionalFormatting sqref="B48:K58">
    <cfRule type="cellIs" dxfId="2" priority="1" operator="equal">
      <formula>"X"</formula>
    </cfRule>
  </conditionalFormatting>
  <dataValidations count="3">
    <dataValidation type="list" allowBlank="1" sqref="B9:B10" xr:uid="{00000000-0002-0000-0600-000000000000}">
      <formula1>list_Loot</formula1>
    </dataValidation>
    <dataValidation type="list" allowBlank="1" sqref="B15:D15 B35:D35 B33:D33 B31:D31 B29:D29 B27:D27 B25:D25 B23:D23 B21:D21 B19:D19 B17:D17" xr:uid="{00000000-0002-0000-0600-000002000000}">
      <formula1>list_Prefab</formula1>
    </dataValidation>
    <dataValidation type="list" sqref="B46" xr:uid="{00000000-0002-0000-0600-00000D000000}">
      <formula1>$A$70:$A$73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72"/>
  <sheetViews>
    <sheetView workbookViewId="0">
      <pane xSplit="1" ySplit="14" topLeftCell="B15" activePane="bottomRight" state="frozen"/>
      <selection pane="topRight" activeCell="B1" sqref="B1"/>
      <selection pane="bottomLeft" activeCell="A15" sqref="A15"/>
      <selection pane="bottomRight"/>
    </sheetView>
  </sheetViews>
  <sheetFormatPr defaultRowHeight="14.4" x14ac:dyDescent="0.3"/>
  <cols>
    <col min="1" max="1" width="16" customWidth="1"/>
    <col min="2" max="11" width="14" customWidth="1"/>
  </cols>
  <sheetData>
    <row r="1" spans="1:4" x14ac:dyDescent="0.3">
      <c r="A1" s="1" t="s">
        <v>70</v>
      </c>
      <c r="B1" t="s">
        <v>38</v>
      </c>
    </row>
    <row r="2" spans="1:4" x14ac:dyDescent="0.3">
      <c r="A2" s="1" t="s">
        <v>3</v>
      </c>
      <c r="B2" t="s">
        <v>166</v>
      </c>
    </row>
    <row r="3" spans="1:4" x14ac:dyDescent="0.3">
      <c r="A3" s="1" t="s">
        <v>4</v>
      </c>
      <c r="B3" t="str">
        <f>IF($B$2="","NEW","Live")</f>
        <v>Live</v>
      </c>
    </row>
    <row r="4" spans="1:4" x14ac:dyDescent="0.3">
      <c r="A4" s="1" t="s">
        <v>72</v>
      </c>
    </row>
    <row r="5" spans="1:4" x14ac:dyDescent="0.3">
      <c r="A5" s="4" t="s">
        <v>73</v>
      </c>
      <c r="B5">
        <v>7</v>
      </c>
    </row>
    <row r="6" spans="1:4" x14ac:dyDescent="0.3">
      <c r="A6" s="4" t="s">
        <v>74</v>
      </c>
      <c r="B6">
        <v>7</v>
      </c>
    </row>
    <row r="7" spans="1:4" x14ac:dyDescent="0.3">
      <c r="A7" s="4" t="s">
        <v>75</v>
      </c>
      <c r="B7">
        <v>12</v>
      </c>
    </row>
    <row r="8" spans="1:4" x14ac:dyDescent="0.3">
      <c r="A8" s="4" t="s">
        <v>76</v>
      </c>
      <c r="B8">
        <v>5</v>
      </c>
    </row>
    <row r="9" spans="1:4" x14ac:dyDescent="0.3">
      <c r="A9" s="4" t="s">
        <v>77</v>
      </c>
      <c r="B9" t="s">
        <v>27</v>
      </c>
    </row>
    <row r="10" spans="1:4" x14ac:dyDescent="0.3">
      <c r="A10" s="4" t="s">
        <v>78</v>
      </c>
      <c r="B10" t="s">
        <v>30</v>
      </c>
    </row>
    <row r="11" spans="1:4" x14ac:dyDescent="0.3">
      <c r="A11" s="4" t="s">
        <v>79</v>
      </c>
      <c r="B11" t="s">
        <v>80</v>
      </c>
    </row>
    <row r="13" spans="1:4" x14ac:dyDescent="0.3">
      <c r="A13" s="1" t="s">
        <v>81</v>
      </c>
    </row>
    <row r="14" spans="1:4" x14ac:dyDescent="0.3">
      <c r="A14" s="4" t="s">
        <v>82</v>
      </c>
      <c r="B14" s="4" t="s">
        <v>83</v>
      </c>
      <c r="C14" s="4" t="s">
        <v>84</v>
      </c>
      <c r="D14" s="4" t="s">
        <v>85</v>
      </c>
    </row>
    <row r="15" spans="1:4" x14ac:dyDescent="0.3">
      <c r="A15" s="1" t="s">
        <v>95</v>
      </c>
      <c r="B15" t="s">
        <v>53</v>
      </c>
      <c r="C15" t="s">
        <v>54</v>
      </c>
      <c r="D15" t="s">
        <v>25</v>
      </c>
    </row>
    <row r="16" spans="1:4" x14ac:dyDescent="0.3">
      <c r="A16" s="4" t="s">
        <v>96</v>
      </c>
      <c r="B16" t="s">
        <v>143</v>
      </c>
      <c r="C16" t="s">
        <v>157</v>
      </c>
      <c r="D16" t="s">
        <v>160</v>
      </c>
    </row>
    <row r="17" spans="1:2" x14ac:dyDescent="0.3">
      <c r="A17" s="1">
        <v>4</v>
      </c>
      <c r="B17" t="s">
        <v>66</v>
      </c>
    </row>
    <row r="18" spans="1:2" x14ac:dyDescent="0.3">
      <c r="A18" s="4" t="s">
        <v>96</v>
      </c>
      <c r="B18" t="s">
        <v>161</v>
      </c>
    </row>
    <row r="19" spans="1:2" x14ac:dyDescent="0.3">
      <c r="A19" s="1">
        <v>8</v>
      </c>
      <c r="B19" t="s">
        <v>66</v>
      </c>
    </row>
    <row r="20" spans="1:2" x14ac:dyDescent="0.3">
      <c r="A20" s="4" t="s">
        <v>96</v>
      </c>
      <c r="B20" t="s">
        <v>167</v>
      </c>
    </row>
    <row r="21" spans="1:2" x14ac:dyDescent="0.3">
      <c r="A21" s="5"/>
    </row>
    <row r="22" spans="1:2" x14ac:dyDescent="0.3">
      <c r="A22" s="6" t="s">
        <v>96</v>
      </c>
    </row>
    <row r="23" spans="1:2" x14ac:dyDescent="0.3">
      <c r="A23" s="5"/>
    </row>
    <row r="24" spans="1:2" x14ac:dyDescent="0.3">
      <c r="A24" s="6" t="s">
        <v>96</v>
      </c>
    </row>
    <row r="25" spans="1:2" x14ac:dyDescent="0.3">
      <c r="A25" s="5"/>
    </row>
    <row r="26" spans="1:2" x14ac:dyDescent="0.3">
      <c r="A26" s="6" t="s">
        <v>96</v>
      </c>
    </row>
    <row r="27" spans="1:2" x14ac:dyDescent="0.3">
      <c r="A27" s="5"/>
    </row>
    <row r="28" spans="1:2" x14ac:dyDescent="0.3">
      <c r="A28" s="6" t="s">
        <v>96</v>
      </c>
    </row>
    <row r="29" spans="1:2" x14ac:dyDescent="0.3">
      <c r="A29" s="5"/>
    </row>
    <row r="30" spans="1:2" x14ac:dyDescent="0.3">
      <c r="A30" s="6" t="s">
        <v>96</v>
      </c>
    </row>
    <row r="31" spans="1:2" x14ac:dyDescent="0.3">
      <c r="A31" s="5"/>
    </row>
    <row r="32" spans="1:2" x14ac:dyDescent="0.3">
      <c r="A32" s="6" t="s">
        <v>96</v>
      </c>
    </row>
    <row r="33" spans="1:11" x14ac:dyDescent="0.3">
      <c r="A33" s="5"/>
    </row>
    <row r="34" spans="1:11" x14ac:dyDescent="0.3">
      <c r="A34" s="6" t="s">
        <v>96</v>
      </c>
    </row>
    <row r="35" spans="1:11" x14ac:dyDescent="0.3">
      <c r="A35" s="5"/>
    </row>
    <row r="36" spans="1:11" x14ac:dyDescent="0.3">
      <c r="A36" s="6" t="s">
        <v>96</v>
      </c>
    </row>
    <row r="38" spans="1:11" x14ac:dyDescent="0.3">
      <c r="A38" s="1" t="s">
        <v>109</v>
      </c>
    </row>
    <row r="39" spans="1:11" x14ac:dyDescent="0.3">
      <c r="B39" s="4" t="s">
        <v>110</v>
      </c>
      <c r="C39" s="4" t="s">
        <v>111</v>
      </c>
      <c r="D39" s="4" t="s">
        <v>112</v>
      </c>
      <c r="E39" s="4" t="s">
        <v>113</v>
      </c>
      <c r="F39" s="4" t="s">
        <v>114</v>
      </c>
    </row>
    <row r="40" spans="1:11" x14ac:dyDescent="0.3">
      <c r="A40" s="1" t="s">
        <v>115</v>
      </c>
      <c r="B40" t="s">
        <v>168</v>
      </c>
      <c r="C40" t="s">
        <v>147</v>
      </c>
      <c r="D40" t="s">
        <v>169</v>
      </c>
    </row>
    <row r="42" spans="1:11" x14ac:dyDescent="0.3">
      <c r="A42" s="1" t="s">
        <v>119</v>
      </c>
    </row>
    <row r="43" spans="1:11" x14ac:dyDescent="0.3">
      <c r="A43" s="4" t="s">
        <v>120</v>
      </c>
      <c r="B43" s="4" t="s">
        <v>121</v>
      </c>
      <c r="C43" s="4" t="s">
        <v>82</v>
      </c>
      <c r="D43" s="4" t="s">
        <v>122</v>
      </c>
    </row>
    <row r="45" spans="1:11" x14ac:dyDescent="0.3">
      <c r="A45" s="1" t="s">
        <v>123</v>
      </c>
    </row>
    <row r="46" spans="1:11" x14ac:dyDescent="0.3">
      <c r="A46" s="1" t="s">
        <v>124</v>
      </c>
      <c r="B46" t="s">
        <v>95</v>
      </c>
      <c r="C46" s="7" t="s">
        <v>125</v>
      </c>
      <c r="D46" s="8">
        <f>INDEX($B$70:$B$72,MATCH($B$46,$A$70:$A$72,0))</f>
        <v>15</v>
      </c>
      <c r="E46" s="7" t="s">
        <v>126</v>
      </c>
      <c r="F46" s="8">
        <f>INDEX($C$70:$C$72,MATCH($B$46,$A$70:$A$72,0))</f>
        <v>16</v>
      </c>
    </row>
    <row r="48" spans="1:11" x14ac:dyDescent="0.3">
      <c r="A48" s="9"/>
      <c r="B48" s="10">
        <v>1</v>
      </c>
      <c r="C48" s="10">
        <v>2</v>
      </c>
      <c r="D48" s="10">
        <v>3</v>
      </c>
      <c r="E48" s="10">
        <v>4</v>
      </c>
      <c r="F48" s="10">
        <v>5</v>
      </c>
      <c r="G48" s="10">
        <v>6</v>
      </c>
      <c r="H48" s="10">
        <v>7</v>
      </c>
      <c r="I48" s="10">
        <v>8</v>
      </c>
      <c r="J48" s="10">
        <v>9</v>
      </c>
      <c r="K48" s="10">
        <v>10</v>
      </c>
    </row>
    <row r="49" spans="1:11" x14ac:dyDescent="0.3">
      <c r="A49" s="11">
        <v>10</v>
      </c>
      <c r="B49" s="12" t="str">
        <f ca="1">IF(OR(1&gt;$B$5,10&gt;$B$6),"X",IF(IFERROR(INDEX(OFFSET($B$15,$D$46-15,0,1,3),MATCH(1&amp;","&amp;10,OFFSET($B$15,$F$46-15,0,1,3),0)),"")&lt;&gt;"",IFERROR(INDEX(OFFSET($B$15,$D$46-15,0,1,3),MATCH(1&amp;","&amp;10,OFFSET($B$15,$F$46-15,0,1,3),0)),""),IF($B$46="Start",IFERROR(INDEX($B$39:$F$39,MATCH(1&amp;","&amp;10,$B$40:$F$40,0)),""),"")))</f>
        <v>X</v>
      </c>
      <c r="C49" s="12" t="str">
        <f ca="1">IF(OR(2&gt;$B$5,10&gt;$B$6),"X",IF(IFERROR(INDEX(OFFSET($B$15,$D$46-15,0,1,3),MATCH(2&amp;","&amp;10,OFFSET($B$15,$F$46-15,0,1,3),0)),"")&lt;&gt;"",IFERROR(INDEX(OFFSET($B$15,$D$46-15,0,1,3),MATCH(2&amp;","&amp;10,OFFSET($B$15,$F$46-15,0,1,3),0)),""),IF($B$46="Start",IFERROR(INDEX($B$39:$F$39,MATCH(2&amp;","&amp;10,$B$40:$F$40,0)),""),"")))</f>
        <v>X</v>
      </c>
      <c r="D49" s="12" t="str">
        <f ca="1">IF(OR(3&gt;$B$5,10&gt;$B$6),"X",IF(IFERROR(INDEX(OFFSET($B$15,$D$46-15,0,1,3),MATCH(3&amp;","&amp;10,OFFSET($B$15,$F$46-15,0,1,3),0)),"")&lt;&gt;"",IFERROR(INDEX(OFFSET($B$15,$D$46-15,0,1,3),MATCH(3&amp;","&amp;10,OFFSET($B$15,$F$46-15,0,1,3),0)),""),IF($B$46="Start",IFERROR(INDEX($B$39:$F$39,MATCH(3&amp;","&amp;10,$B$40:$F$40,0)),""),"")))</f>
        <v>X</v>
      </c>
      <c r="E49" s="12" t="str">
        <f ca="1">IF(OR(4&gt;$B$5,10&gt;$B$6),"X",IF(IFERROR(INDEX(OFFSET($B$15,$D$46-15,0,1,3),MATCH(4&amp;","&amp;10,OFFSET($B$15,$F$46-15,0,1,3),0)),"")&lt;&gt;"",IFERROR(INDEX(OFFSET($B$15,$D$46-15,0,1,3),MATCH(4&amp;","&amp;10,OFFSET($B$15,$F$46-15,0,1,3),0)),""),IF($B$46="Start",IFERROR(INDEX($B$39:$F$39,MATCH(4&amp;","&amp;10,$B$40:$F$40,0)),""),"")))</f>
        <v>X</v>
      </c>
      <c r="F49" s="12" t="str">
        <f ca="1">IF(OR(5&gt;$B$5,10&gt;$B$6),"X",IF(IFERROR(INDEX(OFFSET($B$15,$D$46-15,0,1,3),MATCH(5&amp;","&amp;10,OFFSET($B$15,$F$46-15,0,1,3),0)),"")&lt;&gt;"",IFERROR(INDEX(OFFSET($B$15,$D$46-15,0,1,3),MATCH(5&amp;","&amp;10,OFFSET($B$15,$F$46-15,0,1,3),0)),""),IF($B$46="Start",IFERROR(INDEX($B$39:$F$39,MATCH(5&amp;","&amp;10,$B$40:$F$40,0)),""),"")))</f>
        <v>X</v>
      </c>
      <c r="G49" s="12" t="str">
        <f ca="1">IF(OR(6&gt;$B$5,10&gt;$B$6),"X",IF(IFERROR(INDEX(OFFSET($B$15,$D$46-15,0,1,3),MATCH(6&amp;","&amp;10,OFFSET($B$15,$F$46-15,0,1,3),0)),"")&lt;&gt;"",IFERROR(INDEX(OFFSET($B$15,$D$46-15,0,1,3),MATCH(6&amp;","&amp;10,OFFSET($B$15,$F$46-15,0,1,3),0)),""),IF($B$46="Start",IFERROR(INDEX($B$39:$F$39,MATCH(6&amp;","&amp;10,$B$40:$F$40,0)),""),"")))</f>
        <v>X</v>
      </c>
      <c r="H49" s="12" t="str">
        <f ca="1">IF(OR(7&gt;$B$5,10&gt;$B$6),"X",IF(IFERROR(INDEX(OFFSET($B$15,$D$46-15,0,1,3),MATCH(7&amp;","&amp;10,OFFSET($B$15,$F$46-15,0,1,3),0)),"")&lt;&gt;"",IFERROR(INDEX(OFFSET($B$15,$D$46-15,0,1,3),MATCH(7&amp;","&amp;10,OFFSET($B$15,$F$46-15,0,1,3),0)),""),IF($B$46="Start",IFERROR(INDEX($B$39:$F$39,MATCH(7&amp;","&amp;10,$B$40:$F$40,0)),""),"")))</f>
        <v>X</v>
      </c>
      <c r="I49" s="12" t="str">
        <f ca="1">IF(OR(8&gt;$B$5,10&gt;$B$6),"X",IF(IFERROR(INDEX(OFFSET($B$15,$D$46-15,0,1,3),MATCH(8&amp;","&amp;10,OFFSET($B$15,$F$46-15,0,1,3),0)),"")&lt;&gt;"",IFERROR(INDEX(OFFSET($B$15,$D$46-15,0,1,3),MATCH(8&amp;","&amp;10,OFFSET($B$15,$F$46-15,0,1,3),0)),""),IF($B$46="Start",IFERROR(INDEX($B$39:$F$39,MATCH(8&amp;","&amp;10,$B$40:$F$40,0)),""),"")))</f>
        <v>X</v>
      </c>
      <c r="J49" s="12" t="str">
        <f ca="1">IF(OR(9&gt;$B$5,10&gt;$B$6),"X",IF(IFERROR(INDEX(OFFSET($B$15,$D$46-15,0,1,3),MATCH(9&amp;","&amp;10,OFFSET($B$15,$F$46-15,0,1,3),0)),"")&lt;&gt;"",IFERROR(INDEX(OFFSET($B$15,$D$46-15,0,1,3),MATCH(9&amp;","&amp;10,OFFSET($B$15,$F$46-15,0,1,3),0)),""),IF($B$46="Start",IFERROR(INDEX($B$39:$F$39,MATCH(9&amp;","&amp;10,$B$40:$F$40,0)),""),"")))</f>
        <v>X</v>
      </c>
      <c r="K49" s="12" t="str">
        <f ca="1">IF(OR(10&gt;$B$5,10&gt;$B$6),"X",IF(IFERROR(INDEX(OFFSET($B$15,$D$46-15,0,1,3),MATCH(10&amp;","&amp;10,OFFSET($B$15,$F$46-15,0,1,3),0)),"")&lt;&gt;"",IFERROR(INDEX(OFFSET($B$15,$D$46-15,0,1,3),MATCH(10&amp;","&amp;10,OFFSET($B$15,$F$46-15,0,1,3),0)),""),IF($B$46="Start",IFERROR(INDEX($B$39:$F$39,MATCH(10&amp;","&amp;10,$B$40:$F$40,0)),""),"")))</f>
        <v>X</v>
      </c>
    </row>
    <row r="50" spans="1:11" x14ac:dyDescent="0.3">
      <c r="A50" s="11">
        <v>9</v>
      </c>
      <c r="B50" s="12" t="str">
        <f ca="1">IF(OR(1&gt;$B$5,9&gt;$B$6),"X",IF(IFERROR(INDEX(OFFSET($B$15,$D$46-15,0,1,3),MATCH(1&amp;","&amp;9,OFFSET($B$15,$F$46-15,0,1,3),0)),"")&lt;&gt;"",IFERROR(INDEX(OFFSET($B$15,$D$46-15,0,1,3),MATCH(1&amp;","&amp;9,OFFSET($B$15,$F$46-15,0,1,3),0)),""),IF($B$46="Start",IFERROR(INDEX($B$39:$F$39,MATCH(1&amp;","&amp;9,$B$40:$F$40,0)),""),"")))</f>
        <v>X</v>
      </c>
      <c r="C50" s="12" t="str">
        <f ca="1">IF(OR(2&gt;$B$5,9&gt;$B$6),"X",IF(IFERROR(INDEX(OFFSET($B$15,$D$46-15,0,1,3),MATCH(2&amp;","&amp;9,OFFSET($B$15,$F$46-15,0,1,3),0)),"")&lt;&gt;"",IFERROR(INDEX(OFFSET($B$15,$D$46-15,0,1,3),MATCH(2&amp;","&amp;9,OFFSET($B$15,$F$46-15,0,1,3),0)),""),IF($B$46="Start",IFERROR(INDEX($B$39:$F$39,MATCH(2&amp;","&amp;9,$B$40:$F$40,0)),""),"")))</f>
        <v>X</v>
      </c>
      <c r="D50" s="12" t="str">
        <f ca="1">IF(OR(3&gt;$B$5,9&gt;$B$6),"X",IF(IFERROR(INDEX(OFFSET($B$15,$D$46-15,0,1,3),MATCH(3&amp;","&amp;9,OFFSET($B$15,$F$46-15,0,1,3),0)),"")&lt;&gt;"",IFERROR(INDEX(OFFSET($B$15,$D$46-15,0,1,3),MATCH(3&amp;","&amp;9,OFFSET($B$15,$F$46-15,0,1,3),0)),""),IF($B$46="Start",IFERROR(INDEX($B$39:$F$39,MATCH(3&amp;","&amp;9,$B$40:$F$40,0)),""),"")))</f>
        <v>X</v>
      </c>
      <c r="E50" s="12" t="str">
        <f ca="1">IF(OR(4&gt;$B$5,9&gt;$B$6),"X",IF(IFERROR(INDEX(OFFSET($B$15,$D$46-15,0,1,3),MATCH(4&amp;","&amp;9,OFFSET($B$15,$F$46-15,0,1,3),0)),"")&lt;&gt;"",IFERROR(INDEX(OFFSET($B$15,$D$46-15,0,1,3),MATCH(4&amp;","&amp;9,OFFSET($B$15,$F$46-15,0,1,3),0)),""),IF($B$46="Start",IFERROR(INDEX($B$39:$F$39,MATCH(4&amp;","&amp;9,$B$40:$F$40,0)),""),"")))</f>
        <v>X</v>
      </c>
      <c r="F50" s="12" t="str">
        <f ca="1">IF(OR(5&gt;$B$5,9&gt;$B$6),"X",IF(IFERROR(INDEX(OFFSET($B$15,$D$46-15,0,1,3),MATCH(5&amp;","&amp;9,OFFSET($B$15,$F$46-15,0,1,3),0)),"")&lt;&gt;"",IFERROR(INDEX(OFFSET($B$15,$D$46-15,0,1,3),MATCH(5&amp;","&amp;9,OFFSET($B$15,$F$46-15,0,1,3),0)),""),IF($B$46="Start",IFERROR(INDEX($B$39:$F$39,MATCH(5&amp;","&amp;9,$B$40:$F$40,0)),""),"")))</f>
        <v>X</v>
      </c>
      <c r="G50" s="12" t="str">
        <f ca="1">IF(OR(6&gt;$B$5,9&gt;$B$6),"X",IF(IFERROR(INDEX(OFFSET($B$15,$D$46-15,0,1,3),MATCH(6&amp;","&amp;9,OFFSET($B$15,$F$46-15,0,1,3),0)),"")&lt;&gt;"",IFERROR(INDEX(OFFSET($B$15,$D$46-15,0,1,3),MATCH(6&amp;","&amp;9,OFFSET($B$15,$F$46-15,0,1,3),0)),""),IF($B$46="Start",IFERROR(INDEX($B$39:$F$39,MATCH(6&amp;","&amp;9,$B$40:$F$40,0)),""),"")))</f>
        <v>X</v>
      </c>
      <c r="H50" s="12" t="str">
        <f ca="1">IF(OR(7&gt;$B$5,9&gt;$B$6),"X",IF(IFERROR(INDEX(OFFSET($B$15,$D$46-15,0,1,3),MATCH(7&amp;","&amp;9,OFFSET($B$15,$F$46-15,0,1,3),0)),"")&lt;&gt;"",IFERROR(INDEX(OFFSET($B$15,$D$46-15,0,1,3),MATCH(7&amp;","&amp;9,OFFSET($B$15,$F$46-15,0,1,3),0)),""),IF($B$46="Start",IFERROR(INDEX($B$39:$F$39,MATCH(7&amp;","&amp;9,$B$40:$F$40,0)),""),"")))</f>
        <v>X</v>
      </c>
      <c r="I50" s="12" t="str">
        <f ca="1">IF(OR(8&gt;$B$5,9&gt;$B$6),"X",IF(IFERROR(INDEX(OFFSET($B$15,$D$46-15,0,1,3),MATCH(8&amp;","&amp;9,OFFSET($B$15,$F$46-15,0,1,3),0)),"")&lt;&gt;"",IFERROR(INDEX(OFFSET($B$15,$D$46-15,0,1,3),MATCH(8&amp;","&amp;9,OFFSET($B$15,$F$46-15,0,1,3),0)),""),IF($B$46="Start",IFERROR(INDEX($B$39:$F$39,MATCH(8&amp;","&amp;9,$B$40:$F$40,0)),""),"")))</f>
        <v>X</v>
      </c>
      <c r="J50" s="12" t="str">
        <f ca="1">IF(OR(9&gt;$B$5,9&gt;$B$6),"X",IF(IFERROR(INDEX(OFFSET($B$15,$D$46-15,0,1,3),MATCH(9&amp;","&amp;9,OFFSET($B$15,$F$46-15,0,1,3),0)),"")&lt;&gt;"",IFERROR(INDEX(OFFSET($B$15,$D$46-15,0,1,3),MATCH(9&amp;","&amp;9,OFFSET($B$15,$F$46-15,0,1,3),0)),""),IF($B$46="Start",IFERROR(INDEX($B$39:$F$39,MATCH(9&amp;","&amp;9,$B$40:$F$40,0)),""),"")))</f>
        <v>X</v>
      </c>
      <c r="K50" s="12" t="str">
        <f ca="1">IF(OR(10&gt;$B$5,9&gt;$B$6),"X",IF(IFERROR(INDEX(OFFSET($B$15,$D$46-15,0,1,3),MATCH(10&amp;","&amp;9,OFFSET($B$15,$F$46-15,0,1,3),0)),"")&lt;&gt;"",IFERROR(INDEX(OFFSET($B$15,$D$46-15,0,1,3),MATCH(10&amp;","&amp;9,OFFSET($B$15,$F$46-15,0,1,3),0)),""),IF($B$46="Start",IFERROR(INDEX($B$39:$F$39,MATCH(10&amp;","&amp;9,$B$40:$F$40,0)),""),"")))</f>
        <v>X</v>
      </c>
    </row>
    <row r="51" spans="1:11" x14ac:dyDescent="0.3">
      <c r="A51" s="11">
        <v>8</v>
      </c>
      <c r="B51" s="12" t="str">
        <f ca="1">IF(OR(1&gt;$B$5,8&gt;$B$6),"X",IF(IFERROR(INDEX(OFFSET($B$15,$D$46-15,0,1,3),MATCH(1&amp;","&amp;8,OFFSET($B$15,$F$46-15,0,1,3),0)),"")&lt;&gt;"",IFERROR(INDEX(OFFSET($B$15,$D$46-15,0,1,3),MATCH(1&amp;","&amp;8,OFFSET($B$15,$F$46-15,0,1,3),0)),""),IF($B$46="Start",IFERROR(INDEX($B$39:$F$39,MATCH(1&amp;","&amp;8,$B$40:$F$40,0)),""),"")))</f>
        <v>X</v>
      </c>
      <c r="C51" s="12" t="str">
        <f ca="1">IF(OR(2&gt;$B$5,8&gt;$B$6),"X",IF(IFERROR(INDEX(OFFSET($B$15,$D$46-15,0,1,3),MATCH(2&amp;","&amp;8,OFFSET($B$15,$F$46-15,0,1,3),0)),"")&lt;&gt;"",IFERROR(INDEX(OFFSET($B$15,$D$46-15,0,1,3),MATCH(2&amp;","&amp;8,OFFSET($B$15,$F$46-15,0,1,3),0)),""),IF($B$46="Start",IFERROR(INDEX($B$39:$F$39,MATCH(2&amp;","&amp;8,$B$40:$F$40,0)),""),"")))</f>
        <v>X</v>
      </c>
      <c r="D51" s="12" t="str">
        <f ca="1">IF(OR(3&gt;$B$5,8&gt;$B$6),"X",IF(IFERROR(INDEX(OFFSET($B$15,$D$46-15,0,1,3),MATCH(3&amp;","&amp;8,OFFSET($B$15,$F$46-15,0,1,3),0)),"")&lt;&gt;"",IFERROR(INDEX(OFFSET($B$15,$D$46-15,0,1,3),MATCH(3&amp;","&amp;8,OFFSET($B$15,$F$46-15,0,1,3),0)),""),IF($B$46="Start",IFERROR(INDEX($B$39:$F$39,MATCH(3&amp;","&amp;8,$B$40:$F$40,0)),""),"")))</f>
        <v>X</v>
      </c>
      <c r="E51" s="12" t="str">
        <f ca="1">IF(OR(4&gt;$B$5,8&gt;$B$6),"X",IF(IFERROR(INDEX(OFFSET($B$15,$D$46-15,0,1,3),MATCH(4&amp;","&amp;8,OFFSET($B$15,$F$46-15,0,1,3),0)),"")&lt;&gt;"",IFERROR(INDEX(OFFSET($B$15,$D$46-15,0,1,3),MATCH(4&amp;","&amp;8,OFFSET($B$15,$F$46-15,0,1,3),0)),""),IF($B$46="Start",IFERROR(INDEX($B$39:$F$39,MATCH(4&amp;","&amp;8,$B$40:$F$40,0)),""),"")))</f>
        <v>X</v>
      </c>
      <c r="F51" s="12" t="str">
        <f ca="1">IF(OR(5&gt;$B$5,8&gt;$B$6),"X",IF(IFERROR(INDEX(OFFSET($B$15,$D$46-15,0,1,3),MATCH(5&amp;","&amp;8,OFFSET($B$15,$F$46-15,0,1,3),0)),"")&lt;&gt;"",IFERROR(INDEX(OFFSET($B$15,$D$46-15,0,1,3),MATCH(5&amp;","&amp;8,OFFSET($B$15,$F$46-15,0,1,3),0)),""),IF($B$46="Start",IFERROR(INDEX($B$39:$F$39,MATCH(5&amp;","&amp;8,$B$40:$F$40,0)),""),"")))</f>
        <v>X</v>
      </c>
      <c r="G51" s="12" t="str">
        <f ca="1">IF(OR(6&gt;$B$5,8&gt;$B$6),"X",IF(IFERROR(INDEX(OFFSET($B$15,$D$46-15,0,1,3),MATCH(6&amp;","&amp;8,OFFSET($B$15,$F$46-15,0,1,3),0)),"")&lt;&gt;"",IFERROR(INDEX(OFFSET($B$15,$D$46-15,0,1,3),MATCH(6&amp;","&amp;8,OFFSET($B$15,$F$46-15,0,1,3),0)),""),IF($B$46="Start",IFERROR(INDEX($B$39:$F$39,MATCH(6&amp;","&amp;8,$B$40:$F$40,0)),""),"")))</f>
        <v>X</v>
      </c>
      <c r="H51" s="12" t="str">
        <f ca="1">IF(OR(7&gt;$B$5,8&gt;$B$6),"X",IF(IFERROR(INDEX(OFFSET($B$15,$D$46-15,0,1,3),MATCH(7&amp;","&amp;8,OFFSET($B$15,$F$46-15,0,1,3),0)),"")&lt;&gt;"",IFERROR(INDEX(OFFSET($B$15,$D$46-15,0,1,3),MATCH(7&amp;","&amp;8,OFFSET($B$15,$F$46-15,0,1,3),0)),""),IF($B$46="Start",IFERROR(INDEX($B$39:$F$39,MATCH(7&amp;","&amp;8,$B$40:$F$40,0)),""),"")))</f>
        <v>X</v>
      </c>
      <c r="I51" s="12" t="str">
        <f ca="1">IF(OR(8&gt;$B$5,8&gt;$B$6),"X",IF(IFERROR(INDEX(OFFSET($B$15,$D$46-15,0,1,3),MATCH(8&amp;","&amp;8,OFFSET($B$15,$F$46-15,0,1,3),0)),"")&lt;&gt;"",IFERROR(INDEX(OFFSET($B$15,$D$46-15,0,1,3),MATCH(8&amp;","&amp;8,OFFSET($B$15,$F$46-15,0,1,3),0)),""),IF($B$46="Start",IFERROR(INDEX($B$39:$F$39,MATCH(8&amp;","&amp;8,$B$40:$F$40,0)),""),"")))</f>
        <v>X</v>
      </c>
      <c r="J51" s="12" t="str">
        <f ca="1">IF(OR(9&gt;$B$5,8&gt;$B$6),"X",IF(IFERROR(INDEX(OFFSET($B$15,$D$46-15,0,1,3),MATCH(9&amp;","&amp;8,OFFSET($B$15,$F$46-15,0,1,3),0)),"")&lt;&gt;"",IFERROR(INDEX(OFFSET($B$15,$D$46-15,0,1,3),MATCH(9&amp;","&amp;8,OFFSET($B$15,$F$46-15,0,1,3),0)),""),IF($B$46="Start",IFERROR(INDEX($B$39:$F$39,MATCH(9&amp;","&amp;8,$B$40:$F$40,0)),""),"")))</f>
        <v>X</v>
      </c>
      <c r="K51" s="12" t="str">
        <f ca="1">IF(OR(10&gt;$B$5,8&gt;$B$6),"X",IF(IFERROR(INDEX(OFFSET($B$15,$D$46-15,0,1,3),MATCH(10&amp;","&amp;8,OFFSET($B$15,$F$46-15,0,1,3),0)),"")&lt;&gt;"",IFERROR(INDEX(OFFSET($B$15,$D$46-15,0,1,3),MATCH(10&amp;","&amp;8,OFFSET($B$15,$F$46-15,0,1,3),0)),""),IF($B$46="Start",IFERROR(INDEX($B$39:$F$39,MATCH(10&amp;","&amp;8,$B$40:$F$40,0)),""),"")))</f>
        <v>X</v>
      </c>
    </row>
    <row r="52" spans="1:11" x14ac:dyDescent="0.3">
      <c r="A52" s="11">
        <v>7</v>
      </c>
      <c r="B52" s="12" t="str">
        <f ca="1">IF(OR(1&gt;$B$5,7&gt;$B$6),"X",IF(IFERROR(INDEX(OFFSET($B$15,$D$46-15,0,1,3),MATCH(1&amp;","&amp;7,OFFSET($B$15,$F$46-15,0,1,3),0)),"")&lt;&gt;"",IFERROR(INDEX(OFFSET($B$15,$D$46-15,0,1,3),MATCH(1&amp;","&amp;7,OFFSET($B$15,$F$46-15,0,1,3),0)),""),IF($B$46="Start",IFERROR(INDEX($B$39:$F$39,MATCH(1&amp;","&amp;7,$B$40:$F$40,0)),""),"")))</f>
        <v/>
      </c>
      <c r="C52" s="12" t="str">
        <f ca="1">IF(OR(2&gt;$B$5,7&gt;$B$6),"X",IF(IFERROR(INDEX(OFFSET($B$15,$D$46-15,0,1,3),MATCH(2&amp;","&amp;7,OFFSET($B$15,$F$46-15,0,1,3),0)),"")&lt;&gt;"",IFERROR(INDEX(OFFSET($B$15,$D$46-15,0,1,3),MATCH(2&amp;","&amp;7,OFFSET($B$15,$F$46-15,0,1,3),0)),""),IF($B$46="Start",IFERROR(INDEX($B$39:$F$39,MATCH(2&amp;","&amp;7,$B$40:$F$40,0)),""),"")))</f>
        <v/>
      </c>
      <c r="D52" s="12" t="str">
        <f ca="1">IF(OR(3&gt;$B$5,7&gt;$B$6),"X",IF(IFERROR(INDEX(OFFSET($B$15,$D$46-15,0,1,3),MATCH(3&amp;","&amp;7,OFFSET($B$15,$F$46-15,0,1,3),0)),"")&lt;&gt;"",IFERROR(INDEX(OFFSET($B$15,$D$46-15,0,1,3),MATCH(3&amp;","&amp;7,OFFSET($B$15,$F$46-15,0,1,3),0)),""),IF($B$46="Start",IFERROR(INDEX($B$39:$F$39,MATCH(3&amp;","&amp;7,$B$40:$F$40,0)),""),"")))</f>
        <v/>
      </c>
      <c r="E52" s="12" t="str">
        <f ca="1">IF(OR(4&gt;$B$5,7&gt;$B$6),"X",IF(IFERROR(INDEX(OFFSET($B$15,$D$46-15,0,1,3),MATCH(4&amp;","&amp;7,OFFSET($B$15,$F$46-15,0,1,3),0)),"")&lt;&gt;"",IFERROR(INDEX(OFFSET($B$15,$D$46-15,0,1,3),MATCH(4&amp;","&amp;7,OFFSET($B$15,$F$46-15,0,1,3),0)),""),IF($B$46="Start",IFERROR(INDEX($B$39:$F$39,MATCH(4&amp;","&amp;7,$B$40:$F$40,0)),""),"")))</f>
        <v>BlackKnight</v>
      </c>
      <c r="F52" s="12" t="str">
        <f ca="1">IF(OR(5&gt;$B$5,7&gt;$B$6),"X",IF(IFERROR(INDEX(OFFSET($B$15,$D$46-15,0,1,3),MATCH(5&amp;","&amp;7,OFFSET($B$15,$F$46-15,0,1,3),0)),"")&lt;&gt;"",IFERROR(INDEX(OFFSET($B$15,$D$46-15,0,1,3),MATCH(5&amp;","&amp;7,OFFSET($B$15,$F$46-15,0,1,3),0)),""),IF($B$46="Start",IFERROR(INDEX($B$39:$F$39,MATCH(5&amp;","&amp;7,$B$40:$F$40,0)),""),"")))</f>
        <v/>
      </c>
      <c r="G52" s="12" t="str">
        <f ca="1">IF(OR(6&gt;$B$5,7&gt;$B$6),"X",IF(IFERROR(INDEX(OFFSET($B$15,$D$46-15,0,1,3),MATCH(6&amp;","&amp;7,OFFSET($B$15,$F$46-15,0,1,3),0)),"")&lt;&gt;"",IFERROR(INDEX(OFFSET($B$15,$D$46-15,0,1,3),MATCH(6&amp;","&amp;7,OFFSET($B$15,$F$46-15,0,1,3),0)),""),IF($B$46="Start",IFERROR(INDEX($B$39:$F$39,MATCH(6&amp;","&amp;7,$B$40:$F$40,0)),""),"")))</f>
        <v/>
      </c>
      <c r="H52" s="12" t="str">
        <f ca="1">IF(OR(7&gt;$B$5,7&gt;$B$6),"X",IF(IFERROR(INDEX(OFFSET($B$15,$D$46-15,0,1,3),MATCH(7&amp;","&amp;7,OFFSET($B$15,$F$46-15,0,1,3),0)),"")&lt;&gt;"",IFERROR(INDEX(OFFSET($B$15,$D$46-15,0,1,3),MATCH(7&amp;","&amp;7,OFFSET($B$15,$F$46-15,0,1,3),0)),""),IF($B$46="Start",IFERROR(INDEX($B$39:$F$39,MATCH(7&amp;","&amp;7,$B$40:$F$40,0)),""),"")))</f>
        <v/>
      </c>
      <c r="I52" s="12" t="str">
        <f ca="1">IF(OR(8&gt;$B$5,7&gt;$B$6),"X",IF(IFERROR(INDEX(OFFSET($B$15,$D$46-15,0,1,3),MATCH(8&amp;","&amp;7,OFFSET($B$15,$F$46-15,0,1,3),0)),"")&lt;&gt;"",IFERROR(INDEX(OFFSET($B$15,$D$46-15,0,1,3),MATCH(8&amp;","&amp;7,OFFSET($B$15,$F$46-15,0,1,3),0)),""),IF($B$46="Start",IFERROR(INDEX($B$39:$F$39,MATCH(8&amp;","&amp;7,$B$40:$F$40,0)),""),"")))</f>
        <v>X</v>
      </c>
      <c r="J52" s="12" t="str">
        <f ca="1">IF(OR(9&gt;$B$5,7&gt;$B$6),"X",IF(IFERROR(INDEX(OFFSET($B$15,$D$46-15,0,1,3),MATCH(9&amp;","&amp;7,OFFSET($B$15,$F$46-15,0,1,3),0)),"")&lt;&gt;"",IFERROR(INDEX(OFFSET($B$15,$D$46-15,0,1,3),MATCH(9&amp;","&amp;7,OFFSET($B$15,$F$46-15,0,1,3),0)),""),IF($B$46="Start",IFERROR(INDEX($B$39:$F$39,MATCH(9&amp;","&amp;7,$B$40:$F$40,0)),""),"")))</f>
        <v>X</v>
      </c>
      <c r="K52" s="12" t="str">
        <f ca="1">IF(OR(10&gt;$B$5,7&gt;$B$6),"X",IF(IFERROR(INDEX(OFFSET($B$15,$D$46-15,0,1,3),MATCH(10&amp;","&amp;7,OFFSET($B$15,$F$46-15,0,1,3),0)),"")&lt;&gt;"",IFERROR(INDEX(OFFSET($B$15,$D$46-15,0,1,3),MATCH(10&amp;","&amp;7,OFFSET($B$15,$F$46-15,0,1,3),0)),""),IF($B$46="Start",IFERROR(INDEX($B$39:$F$39,MATCH(10&amp;","&amp;7,$B$40:$F$40,0)),""),"")))</f>
        <v>X</v>
      </c>
    </row>
    <row r="53" spans="1:11" x14ac:dyDescent="0.3">
      <c r="A53" s="11">
        <v>6</v>
      </c>
      <c r="B53" s="12" t="str">
        <f ca="1">IF(OR(1&gt;$B$5,6&gt;$B$6),"X",IF(IFERROR(INDEX(OFFSET($B$15,$D$46-15,0,1,3),MATCH(1&amp;","&amp;6,OFFSET($B$15,$F$46-15,0,1,3),0)),"")&lt;&gt;"",IFERROR(INDEX(OFFSET($B$15,$D$46-15,0,1,3),MATCH(1&amp;","&amp;6,OFFSET($B$15,$F$46-15,0,1,3),0)),""),IF($B$46="Start",IFERROR(INDEX($B$39:$F$39,MATCH(1&amp;","&amp;6,$B$40:$F$40,0)),""),"")))</f>
        <v/>
      </c>
      <c r="C53" s="12" t="str">
        <f ca="1">IF(OR(2&gt;$B$5,6&gt;$B$6),"X",IF(IFERROR(INDEX(OFFSET($B$15,$D$46-15,0,1,3),MATCH(2&amp;","&amp;6,OFFSET($B$15,$F$46-15,0,1,3),0)),"")&lt;&gt;"",IFERROR(INDEX(OFFSET($B$15,$D$46-15,0,1,3),MATCH(2&amp;","&amp;6,OFFSET($B$15,$F$46-15,0,1,3),0)),""),IF($B$46="Start",IFERROR(INDEX($B$39:$F$39,MATCH(2&amp;","&amp;6,$B$40:$F$40,0)),""),"")))</f>
        <v>HeavyBandit</v>
      </c>
      <c r="D53" s="12" t="str">
        <f ca="1">IF(OR(3&gt;$B$5,6&gt;$B$6),"X",IF(IFERROR(INDEX(OFFSET($B$15,$D$46-15,0,1,3),MATCH(3&amp;","&amp;6,OFFSET($B$15,$F$46-15,0,1,3),0)),"")&lt;&gt;"",IFERROR(INDEX(OFFSET($B$15,$D$46-15,0,1,3),MATCH(3&amp;","&amp;6,OFFSET($B$15,$F$46-15,0,1,3),0)),""),IF($B$46="Start",IFERROR(INDEX($B$39:$F$39,MATCH(3&amp;","&amp;6,$B$40:$F$40,0)),""),"")))</f>
        <v/>
      </c>
      <c r="E53" s="12" t="str">
        <f ca="1">IF(OR(4&gt;$B$5,6&gt;$B$6),"X",IF(IFERROR(INDEX(OFFSET($B$15,$D$46-15,0,1,3),MATCH(4&amp;","&amp;6,OFFSET($B$15,$F$46-15,0,1,3),0)),"")&lt;&gt;"",IFERROR(INDEX(OFFSET($B$15,$D$46-15,0,1,3),MATCH(4&amp;","&amp;6,OFFSET($B$15,$F$46-15,0,1,3),0)),""),IF($B$46="Start",IFERROR(INDEX($B$39:$F$39,MATCH(4&amp;","&amp;6,$B$40:$F$40,0)),""),"")))</f>
        <v/>
      </c>
      <c r="F53" s="12" t="str">
        <f ca="1">IF(OR(5&gt;$B$5,6&gt;$B$6),"X",IF(IFERROR(INDEX(OFFSET($B$15,$D$46-15,0,1,3),MATCH(5&amp;","&amp;6,OFFSET($B$15,$F$46-15,0,1,3),0)),"")&lt;&gt;"",IFERROR(INDEX(OFFSET($B$15,$D$46-15,0,1,3),MATCH(5&amp;","&amp;6,OFFSET($B$15,$F$46-15,0,1,3),0)),""),IF($B$46="Start",IFERROR(INDEX($B$39:$F$39,MATCH(5&amp;","&amp;6,$B$40:$F$40,0)),""),"")))</f>
        <v/>
      </c>
      <c r="G53" s="12" t="str">
        <f ca="1">IF(OR(6&gt;$B$5,6&gt;$B$6),"X",IF(IFERROR(INDEX(OFFSET($B$15,$D$46-15,0,1,3),MATCH(6&amp;","&amp;6,OFFSET($B$15,$F$46-15,0,1,3),0)),"")&lt;&gt;"",IFERROR(INDEX(OFFSET($B$15,$D$46-15,0,1,3),MATCH(6&amp;","&amp;6,OFFSET($B$15,$F$46-15,0,1,3),0)),""),IF($B$46="Start",IFERROR(INDEX($B$39:$F$39,MATCH(6&amp;","&amp;6,$B$40:$F$40,0)),""),"")))</f>
        <v>LightBandit</v>
      </c>
      <c r="H53" s="12" t="str">
        <f ca="1">IF(OR(7&gt;$B$5,6&gt;$B$6),"X",IF(IFERROR(INDEX(OFFSET($B$15,$D$46-15,0,1,3),MATCH(7&amp;","&amp;6,OFFSET($B$15,$F$46-15,0,1,3),0)),"")&lt;&gt;"",IFERROR(INDEX(OFFSET($B$15,$D$46-15,0,1,3),MATCH(7&amp;","&amp;6,OFFSET($B$15,$F$46-15,0,1,3),0)),""),IF($B$46="Start",IFERROR(INDEX($B$39:$F$39,MATCH(7&amp;","&amp;6,$B$40:$F$40,0)),""),"")))</f>
        <v/>
      </c>
      <c r="I53" s="12" t="str">
        <f ca="1">IF(OR(8&gt;$B$5,6&gt;$B$6),"X",IF(IFERROR(INDEX(OFFSET($B$15,$D$46-15,0,1,3),MATCH(8&amp;","&amp;6,OFFSET($B$15,$F$46-15,0,1,3),0)),"")&lt;&gt;"",IFERROR(INDEX(OFFSET($B$15,$D$46-15,0,1,3),MATCH(8&amp;","&amp;6,OFFSET($B$15,$F$46-15,0,1,3),0)),""),IF($B$46="Start",IFERROR(INDEX($B$39:$F$39,MATCH(8&amp;","&amp;6,$B$40:$F$40,0)),""),"")))</f>
        <v>X</v>
      </c>
      <c r="J53" s="12" t="str">
        <f ca="1">IF(OR(9&gt;$B$5,6&gt;$B$6),"X",IF(IFERROR(INDEX(OFFSET($B$15,$D$46-15,0,1,3),MATCH(9&amp;","&amp;6,OFFSET($B$15,$F$46-15,0,1,3),0)),"")&lt;&gt;"",IFERROR(INDEX(OFFSET($B$15,$D$46-15,0,1,3),MATCH(9&amp;","&amp;6,OFFSET($B$15,$F$46-15,0,1,3),0)),""),IF($B$46="Start",IFERROR(INDEX($B$39:$F$39,MATCH(9&amp;","&amp;6,$B$40:$F$40,0)),""),"")))</f>
        <v>X</v>
      </c>
      <c r="K53" s="12" t="str">
        <f ca="1">IF(OR(10&gt;$B$5,6&gt;$B$6),"X",IF(IFERROR(INDEX(OFFSET($B$15,$D$46-15,0,1,3),MATCH(10&amp;","&amp;6,OFFSET($B$15,$F$46-15,0,1,3),0)),"")&lt;&gt;"",IFERROR(INDEX(OFFSET($B$15,$D$46-15,0,1,3),MATCH(10&amp;","&amp;6,OFFSET($B$15,$F$46-15,0,1,3),0)),""),IF($B$46="Start",IFERROR(INDEX($B$39:$F$39,MATCH(10&amp;","&amp;6,$B$40:$F$40,0)),""),"")))</f>
        <v>X</v>
      </c>
    </row>
    <row r="54" spans="1:11" x14ac:dyDescent="0.3">
      <c r="A54" s="11">
        <v>5</v>
      </c>
      <c r="B54" s="12" t="str">
        <f ca="1">IF(OR(1&gt;$B$5,5&gt;$B$6),"X",IF(IFERROR(INDEX(OFFSET($B$15,$D$46-15,0,1,3),MATCH(1&amp;","&amp;5,OFFSET($B$15,$F$46-15,0,1,3),0)),"")&lt;&gt;"",IFERROR(INDEX(OFFSET($B$15,$D$46-15,0,1,3),MATCH(1&amp;","&amp;5,OFFSET($B$15,$F$46-15,0,1,3),0)),""),IF($B$46="Start",IFERROR(INDEX($B$39:$F$39,MATCH(1&amp;","&amp;5,$B$40:$F$40,0)),""),"")))</f>
        <v/>
      </c>
      <c r="C54" s="12" t="str">
        <f ca="1">IF(OR(2&gt;$B$5,5&gt;$B$6),"X",IF(IFERROR(INDEX(OFFSET($B$15,$D$46-15,0,1,3),MATCH(2&amp;","&amp;5,OFFSET($B$15,$F$46-15,0,1,3),0)),"")&lt;&gt;"",IFERROR(INDEX(OFFSET($B$15,$D$46-15,0,1,3),MATCH(2&amp;","&amp;5,OFFSET($B$15,$F$46-15,0,1,3),0)),""),IF($B$46="Start",IFERROR(INDEX($B$39:$F$39,MATCH(2&amp;","&amp;5,$B$40:$F$40,0)),""),"")))</f>
        <v/>
      </c>
      <c r="D54" s="12" t="str">
        <f ca="1">IF(OR(3&gt;$B$5,5&gt;$B$6),"X",IF(IFERROR(INDEX(OFFSET($B$15,$D$46-15,0,1,3),MATCH(3&amp;","&amp;5,OFFSET($B$15,$F$46-15,0,1,3),0)),"")&lt;&gt;"",IFERROR(INDEX(OFFSET($B$15,$D$46-15,0,1,3),MATCH(3&amp;","&amp;5,OFFSET($B$15,$F$46-15,0,1,3),0)),""),IF($B$46="Start",IFERROR(INDEX($B$39:$F$39,MATCH(3&amp;","&amp;5,$B$40:$F$40,0)),""),"")))</f>
        <v/>
      </c>
      <c r="E54" s="12" t="str">
        <f ca="1">IF(OR(4&gt;$B$5,5&gt;$B$6),"X",IF(IFERROR(INDEX(OFFSET($B$15,$D$46-15,0,1,3),MATCH(4&amp;","&amp;5,OFFSET($B$15,$F$46-15,0,1,3),0)),"")&lt;&gt;"",IFERROR(INDEX(OFFSET($B$15,$D$46-15,0,1,3),MATCH(4&amp;","&amp;5,OFFSET($B$15,$F$46-15,0,1,3),0)),""),IF($B$46="Start",IFERROR(INDEX($B$39:$F$39,MATCH(4&amp;","&amp;5,$B$40:$F$40,0)),""),"")))</f>
        <v/>
      </c>
      <c r="F54" s="12" t="str">
        <f ca="1">IF(OR(5&gt;$B$5,5&gt;$B$6),"X",IF(IFERROR(INDEX(OFFSET($B$15,$D$46-15,0,1,3),MATCH(5&amp;","&amp;5,OFFSET($B$15,$F$46-15,0,1,3),0)),"")&lt;&gt;"",IFERROR(INDEX(OFFSET($B$15,$D$46-15,0,1,3),MATCH(5&amp;","&amp;5,OFFSET($B$15,$F$46-15,0,1,3),0)),""),IF($B$46="Start",IFERROR(INDEX($B$39:$F$39,MATCH(5&amp;","&amp;5,$B$40:$F$40,0)),""),"")))</f>
        <v/>
      </c>
      <c r="G54" s="12" t="str">
        <f ca="1">IF(OR(6&gt;$B$5,5&gt;$B$6),"X",IF(IFERROR(INDEX(OFFSET($B$15,$D$46-15,0,1,3),MATCH(6&amp;","&amp;5,OFFSET($B$15,$F$46-15,0,1,3),0)),"")&lt;&gt;"",IFERROR(INDEX(OFFSET($B$15,$D$46-15,0,1,3),MATCH(6&amp;","&amp;5,OFFSET($B$15,$F$46-15,0,1,3),0)),""),IF($B$46="Start",IFERROR(INDEX($B$39:$F$39,MATCH(6&amp;","&amp;5,$B$40:$F$40,0)),""),"")))</f>
        <v/>
      </c>
      <c r="H54" s="12" t="str">
        <f ca="1">IF(OR(7&gt;$B$5,5&gt;$B$6),"X",IF(IFERROR(INDEX(OFFSET($B$15,$D$46-15,0,1,3),MATCH(7&amp;","&amp;5,OFFSET($B$15,$F$46-15,0,1,3),0)),"")&lt;&gt;"",IFERROR(INDEX(OFFSET($B$15,$D$46-15,0,1,3),MATCH(7&amp;","&amp;5,OFFSET($B$15,$F$46-15,0,1,3),0)),""),IF($B$46="Start",IFERROR(INDEX($B$39:$F$39,MATCH(7&amp;","&amp;5,$B$40:$F$40,0)),""),"")))</f>
        <v/>
      </c>
      <c r="I54" s="12" t="str">
        <f ca="1">IF(OR(8&gt;$B$5,5&gt;$B$6),"X",IF(IFERROR(INDEX(OFFSET($B$15,$D$46-15,0,1,3),MATCH(8&amp;","&amp;5,OFFSET($B$15,$F$46-15,0,1,3),0)),"")&lt;&gt;"",IFERROR(INDEX(OFFSET($B$15,$D$46-15,0,1,3),MATCH(8&amp;","&amp;5,OFFSET($B$15,$F$46-15,0,1,3),0)),""),IF($B$46="Start",IFERROR(INDEX($B$39:$F$39,MATCH(8&amp;","&amp;5,$B$40:$F$40,0)),""),"")))</f>
        <v>X</v>
      </c>
      <c r="J54" s="12" t="str">
        <f ca="1">IF(OR(9&gt;$B$5,5&gt;$B$6),"X",IF(IFERROR(INDEX(OFFSET($B$15,$D$46-15,0,1,3),MATCH(9&amp;","&amp;5,OFFSET($B$15,$F$46-15,0,1,3),0)),"")&lt;&gt;"",IFERROR(INDEX(OFFSET($B$15,$D$46-15,0,1,3),MATCH(9&amp;","&amp;5,OFFSET($B$15,$F$46-15,0,1,3),0)),""),IF($B$46="Start",IFERROR(INDEX($B$39:$F$39,MATCH(9&amp;","&amp;5,$B$40:$F$40,0)),""),"")))</f>
        <v>X</v>
      </c>
      <c r="K54" s="12" t="str">
        <f ca="1">IF(OR(10&gt;$B$5,5&gt;$B$6),"X",IF(IFERROR(INDEX(OFFSET($B$15,$D$46-15,0,1,3),MATCH(10&amp;","&amp;5,OFFSET($B$15,$F$46-15,0,1,3),0)),"")&lt;&gt;"",IFERROR(INDEX(OFFSET($B$15,$D$46-15,0,1,3),MATCH(10&amp;","&amp;5,OFFSET($B$15,$F$46-15,0,1,3),0)),""),IF($B$46="Start",IFERROR(INDEX($B$39:$F$39,MATCH(10&amp;","&amp;5,$B$40:$F$40,0)),""),"")))</f>
        <v>X</v>
      </c>
    </row>
    <row r="55" spans="1:11" x14ac:dyDescent="0.3">
      <c r="A55" s="11">
        <v>4</v>
      </c>
      <c r="B55" s="12" t="str">
        <f ca="1">IF(OR(1&gt;$B$5,4&gt;$B$6),"X",IF(IFERROR(INDEX(OFFSET($B$15,$D$46-15,0,1,3),MATCH(1&amp;","&amp;4,OFFSET($B$15,$F$46-15,0,1,3),0)),"")&lt;&gt;"",IFERROR(INDEX(OFFSET($B$15,$D$46-15,0,1,3),MATCH(1&amp;","&amp;4,OFFSET($B$15,$F$46-15,0,1,3),0)),""),IF($B$46="Start",IFERROR(INDEX($B$39:$F$39,MATCH(1&amp;","&amp;4,$B$40:$F$40,0)),""),"")))</f>
        <v/>
      </c>
      <c r="C55" s="12" t="str">
        <f ca="1">IF(OR(2&gt;$B$5,4&gt;$B$6),"X",IF(IFERROR(INDEX(OFFSET($B$15,$D$46-15,0,1,3),MATCH(2&amp;","&amp;4,OFFSET($B$15,$F$46-15,0,1,3),0)),"")&lt;&gt;"",IFERROR(INDEX(OFFSET($B$15,$D$46-15,0,1,3),MATCH(2&amp;","&amp;4,OFFSET($B$15,$F$46-15,0,1,3),0)),""),IF($B$46="Start",IFERROR(INDEX($B$39:$F$39,MATCH(2&amp;","&amp;4,$B$40:$F$40,0)),""),"")))</f>
        <v/>
      </c>
      <c r="D55" s="12" t="str">
        <f ca="1">IF(OR(3&gt;$B$5,4&gt;$B$6),"X",IF(IFERROR(INDEX(OFFSET($B$15,$D$46-15,0,1,3),MATCH(3&amp;","&amp;4,OFFSET($B$15,$F$46-15,0,1,3),0)),"")&lt;&gt;"",IFERROR(INDEX(OFFSET($B$15,$D$46-15,0,1,3),MATCH(3&amp;","&amp;4,OFFSET($B$15,$F$46-15,0,1,3),0)),""),IF($B$46="Start",IFERROR(INDEX($B$39:$F$39,MATCH(3&amp;","&amp;4,$B$40:$F$40,0)),""),"")))</f>
        <v/>
      </c>
      <c r="E55" s="12" t="str">
        <f ca="1">IF(OR(4&gt;$B$5,4&gt;$B$6),"X",IF(IFERROR(INDEX(OFFSET($B$15,$D$46-15,0,1,3),MATCH(4&amp;","&amp;4,OFFSET($B$15,$F$46-15,0,1,3),0)),"")&lt;&gt;"",IFERROR(INDEX(OFFSET($B$15,$D$46-15,0,1,3),MATCH(4&amp;","&amp;4,OFFSET($B$15,$F$46-15,0,1,3),0)),""),IF($B$46="Start",IFERROR(INDEX($B$39:$F$39,MATCH(4&amp;","&amp;4,$B$40:$F$40,0)),""),"")))</f>
        <v/>
      </c>
      <c r="F55" s="12" t="str">
        <f ca="1">IF(OR(5&gt;$B$5,4&gt;$B$6),"X",IF(IFERROR(INDEX(OFFSET($B$15,$D$46-15,0,1,3),MATCH(5&amp;","&amp;4,OFFSET($B$15,$F$46-15,0,1,3),0)),"")&lt;&gt;"",IFERROR(INDEX(OFFSET($B$15,$D$46-15,0,1,3),MATCH(5&amp;","&amp;4,OFFSET($B$15,$F$46-15,0,1,3),0)),""),IF($B$46="Start",IFERROR(INDEX($B$39:$F$39,MATCH(5&amp;","&amp;4,$B$40:$F$40,0)),""),"")))</f>
        <v/>
      </c>
      <c r="G55" s="12" t="str">
        <f ca="1">IF(OR(6&gt;$B$5,4&gt;$B$6),"X",IF(IFERROR(INDEX(OFFSET($B$15,$D$46-15,0,1,3),MATCH(6&amp;","&amp;4,OFFSET($B$15,$F$46-15,0,1,3),0)),"")&lt;&gt;"",IFERROR(INDEX(OFFSET($B$15,$D$46-15,0,1,3),MATCH(6&amp;","&amp;4,OFFSET($B$15,$F$46-15,0,1,3),0)),""),IF($B$46="Start",IFERROR(INDEX($B$39:$F$39,MATCH(6&amp;","&amp;4,$B$40:$F$40,0)),""),"")))</f>
        <v/>
      </c>
      <c r="H55" s="12" t="str">
        <f ca="1">IF(OR(7&gt;$B$5,4&gt;$B$6),"X",IF(IFERROR(INDEX(OFFSET($B$15,$D$46-15,0,1,3),MATCH(7&amp;","&amp;4,OFFSET($B$15,$F$46-15,0,1,3),0)),"")&lt;&gt;"",IFERROR(INDEX(OFFSET($B$15,$D$46-15,0,1,3),MATCH(7&amp;","&amp;4,OFFSET($B$15,$F$46-15,0,1,3),0)),""),IF($B$46="Start",IFERROR(INDEX($B$39:$F$39,MATCH(7&amp;","&amp;4,$B$40:$F$40,0)),""),"")))</f>
        <v/>
      </c>
      <c r="I55" s="12" t="str">
        <f ca="1">IF(OR(8&gt;$B$5,4&gt;$B$6),"X",IF(IFERROR(INDEX(OFFSET($B$15,$D$46-15,0,1,3),MATCH(8&amp;","&amp;4,OFFSET($B$15,$F$46-15,0,1,3),0)),"")&lt;&gt;"",IFERROR(INDEX(OFFSET($B$15,$D$46-15,0,1,3),MATCH(8&amp;","&amp;4,OFFSET($B$15,$F$46-15,0,1,3),0)),""),IF($B$46="Start",IFERROR(INDEX($B$39:$F$39,MATCH(8&amp;","&amp;4,$B$40:$F$40,0)),""),"")))</f>
        <v>X</v>
      </c>
      <c r="J55" s="12" t="str">
        <f ca="1">IF(OR(9&gt;$B$5,4&gt;$B$6),"X",IF(IFERROR(INDEX(OFFSET($B$15,$D$46-15,0,1,3),MATCH(9&amp;","&amp;4,OFFSET($B$15,$F$46-15,0,1,3),0)),"")&lt;&gt;"",IFERROR(INDEX(OFFSET($B$15,$D$46-15,0,1,3),MATCH(9&amp;","&amp;4,OFFSET($B$15,$F$46-15,0,1,3),0)),""),IF($B$46="Start",IFERROR(INDEX($B$39:$F$39,MATCH(9&amp;","&amp;4,$B$40:$F$40,0)),""),"")))</f>
        <v>X</v>
      </c>
      <c r="K55" s="12" t="str">
        <f ca="1">IF(OR(10&gt;$B$5,4&gt;$B$6),"X",IF(IFERROR(INDEX(OFFSET($B$15,$D$46-15,0,1,3),MATCH(10&amp;","&amp;4,OFFSET($B$15,$F$46-15,0,1,3),0)),"")&lt;&gt;"",IFERROR(INDEX(OFFSET($B$15,$D$46-15,0,1,3),MATCH(10&amp;","&amp;4,OFFSET($B$15,$F$46-15,0,1,3),0)),""),IF($B$46="Start",IFERROR(INDEX($B$39:$F$39,MATCH(10&amp;","&amp;4,$B$40:$F$40,0)),""),"")))</f>
        <v>X</v>
      </c>
    </row>
    <row r="56" spans="1:11" x14ac:dyDescent="0.3">
      <c r="A56" s="11">
        <v>3</v>
      </c>
      <c r="B56" s="12" t="str">
        <f ca="1">IF(OR(1&gt;$B$5,3&gt;$B$6),"X",IF(IFERROR(INDEX(OFFSET($B$15,$D$46-15,0,1,3),MATCH(1&amp;","&amp;3,OFFSET($B$15,$F$46-15,0,1,3),0)),"")&lt;&gt;"",IFERROR(INDEX(OFFSET($B$15,$D$46-15,0,1,3),MATCH(1&amp;","&amp;3,OFFSET($B$15,$F$46-15,0,1,3),0)),""),IF($B$46="Start",IFERROR(INDEX($B$39:$F$39,MATCH(1&amp;","&amp;3,$B$40:$F$40,0)),""),"")))</f>
        <v/>
      </c>
      <c r="C56" s="12" t="str">
        <f ca="1">IF(OR(2&gt;$B$5,3&gt;$B$6),"X",IF(IFERROR(INDEX(OFFSET($B$15,$D$46-15,0,1,3),MATCH(2&amp;","&amp;3,OFFSET($B$15,$F$46-15,0,1,3),0)),"")&lt;&gt;"",IFERROR(INDEX(OFFSET($B$15,$D$46-15,0,1,3),MATCH(2&amp;","&amp;3,OFFSET($B$15,$F$46-15,0,1,3),0)),""),IF($B$46="Start",IFERROR(INDEX($B$39:$F$39,MATCH(2&amp;","&amp;3,$B$40:$F$40,0)),""),"")))</f>
        <v/>
      </c>
      <c r="D56" s="12" t="str">
        <f ca="1">IF(OR(3&gt;$B$5,3&gt;$B$6),"X",IF(IFERROR(INDEX(OFFSET($B$15,$D$46-15,0,1,3),MATCH(3&amp;","&amp;3,OFFSET($B$15,$F$46-15,0,1,3),0)),"")&lt;&gt;"",IFERROR(INDEX(OFFSET($B$15,$D$46-15,0,1,3),MATCH(3&amp;","&amp;3,OFFSET($B$15,$F$46-15,0,1,3),0)),""),IF($B$46="Start",IFERROR(INDEX($B$39:$F$39,MATCH(3&amp;","&amp;3,$B$40:$F$40,0)),""),"")))</f>
        <v/>
      </c>
      <c r="E56" s="12" t="str">
        <f ca="1">IF(OR(4&gt;$B$5,3&gt;$B$6),"X",IF(IFERROR(INDEX(OFFSET($B$15,$D$46-15,0,1,3),MATCH(4&amp;","&amp;3,OFFSET($B$15,$F$46-15,0,1,3),0)),"")&lt;&gt;"",IFERROR(INDEX(OFFSET($B$15,$D$46-15,0,1,3),MATCH(4&amp;","&amp;3,OFFSET($B$15,$F$46-15,0,1,3),0)),""),IF($B$46="Start",IFERROR(INDEX($B$39:$F$39,MATCH(4&amp;","&amp;3,$B$40:$F$40,0)),""),"")))</f>
        <v/>
      </c>
      <c r="F56" s="12" t="str">
        <f ca="1">IF(OR(5&gt;$B$5,3&gt;$B$6),"X",IF(IFERROR(INDEX(OFFSET($B$15,$D$46-15,0,1,3),MATCH(5&amp;","&amp;3,OFFSET($B$15,$F$46-15,0,1,3),0)),"")&lt;&gt;"",IFERROR(INDEX(OFFSET($B$15,$D$46-15,0,1,3),MATCH(5&amp;","&amp;3,OFFSET($B$15,$F$46-15,0,1,3),0)),""),IF($B$46="Start",IFERROR(INDEX($B$39:$F$39,MATCH(5&amp;","&amp;3,$B$40:$F$40,0)),""),"")))</f>
        <v/>
      </c>
      <c r="G56" s="12" t="str">
        <f ca="1">IF(OR(6&gt;$B$5,3&gt;$B$6),"X",IF(IFERROR(INDEX(OFFSET($B$15,$D$46-15,0,1,3),MATCH(6&amp;","&amp;3,OFFSET($B$15,$F$46-15,0,1,3),0)),"")&lt;&gt;"",IFERROR(INDEX(OFFSET($B$15,$D$46-15,0,1,3),MATCH(6&amp;","&amp;3,OFFSET($B$15,$F$46-15,0,1,3),0)),""),IF($B$46="Start",IFERROR(INDEX($B$39:$F$39,MATCH(6&amp;","&amp;3,$B$40:$F$40,0)),""),"")))</f>
        <v/>
      </c>
      <c r="H56" s="12" t="str">
        <f ca="1">IF(OR(7&gt;$B$5,3&gt;$B$6),"X",IF(IFERROR(INDEX(OFFSET($B$15,$D$46-15,0,1,3),MATCH(7&amp;","&amp;3,OFFSET($B$15,$F$46-15,0,1,3),0)),"")&lt;&gt;"",IFERROR(INDEX(OFFSET($B$15,$D$46-15,0,1,3),MATCH(7&amp;","&amp;3,OFFSET($B$15,$F$46-15,0,1,3),0)),""),IF($B$46="Start",IFERROR(INDEX($B$39:$F$39,MATCH(7&amp;","&amp;3,$B$40:$F$40,0)),""),"")))</f>
        <v/>
      </c>
      <c r="I56" s="12" t="str">
        <f ca="1">IF(OR(8&gt;$B$5,3&gt;$B$6),"X",IF(IFERROR(INDEX(OFFSET($B$15,$D$46-15,0,1,3),MATCH(8&amp;","&amp;3,OFFSET($B$15,$F$46-15,0,1,3),0)),"")&lt;&gt;"",IFERROR(INDEX(OFFSET($B$15,$D$46-15,0,1,3),MATCH(8&amp;","&amp;3,OFFSET($B$15,$F$46-15,0,1,3),0)),""),IF($B$46="Start",IFERROR(INDEX($B$39:$F$39,MATCH(8&amp;","&amp;3,$B$40:$F$40,0)),""),"")))</f>
        <v>X</v>
      </c>
      <c r="J56" s="12" t="str">
        <f ca="1">IF(OR(9&gt;$B$5,3&gt;$B$6),"X",IF(IFERROR(INDEX(OFFSET($B$15,$D$46-15,0,1,3),MATCH(9&amp;","&amp;3,OFFSET($B$15,$F$46-15,0,1,3),0)),"")&lt;&gt;"",IFERROR(INDEX(OFFSET($B$15,$D$46-15,0,1,3),MATCH(9&amp;","&amp;3,OFFSET($B$15,$F$46-15,0,1,3),0)),""),IF($B$46="Start",IFERROR(INDEX($B$39:$F$39,MATCH(9&amp;","&amp;3,$B$40:$F$40,0)),""),"")))</f>
        <v>X</v>
      </c>
      <c r="K56" s="12" t="str">
        <f ca="1">IF(OR(10&gt;$B$5,3&gt;$B$6),"X",IF(IFERROR(INDEX(OFFSET($B$15,$D$46-15,0,1,3),MATCH(10&amp;","&amp;3,OFFSET($B$15,$F$46-15,0,1,3),0)),"")&lt;&gt;"",IFERROR(INDEX(OFFSET($B$15,$D$46-15,0,1,3),MATCH(10&amp;","&amp;3,OFFSET($B$15,$F$46-15,0,1,3),0)),""),IF($B$46="Start",IFERROR(INDEX($B$39:$F$39,MATCH(10&amp;","&amp;3,$B$40:$F$40,0)),""),"")))</f>
        <v>X</v>
      </c>
    </row>
    <row r="57" spans="1:11" x14ac:dyDescent="0.3">
      <c r="A57" s="11">
        <v>2</v>
      </c>
      <c r="B57" s="12" t="str">
        <f ca="1">IF(OR(1&gt;$B$5,2&gt;$B$6),"X",IF(IFERROR(INDEX(OFFSET($B$15,$D$46-15,0,1,3),MATCH(1&amp;","&amp;2,OFFSET($B$15,$F$46-15,0,1,3),0)),"")&lt;&gt;"",IFERROR(INDEX(OFFSET($B$15,$D$46-15,0,1,3),MATCH(1&amp;","&amp;2,OFFSET($B$15,$F$46-15,0,1,3),0)),""),IF($B$46="Start",IFERROR(INDEX($B$39:$F$39,MATCH(1&amp;","&amp;2,$B$40:$F$40,0)),""),"")))</f>
        <v/>
      </c>
      <c r="C57" s="12" t="str">
        <f ca="1">IF(OR(2&gt;$B$5,2&gt;$B$6),"X",IF(IFERROR(INDEX(OFFSET($B$15,$D$46-15,0,1,3),MATCH(2&amp;","&amp;2,OFFSET($B$15,$F$46-15,0,1,3),0)),"")&lt;&gt;"",IFERROR(INDEX(OFFSET($B$15,$D$46-15,0,1,3),MATCH(2&amp;","&amp;2,OFFSET($B$15,$F$46-15,0,1,3),0)),""),IF($B$46="Start",IFERROR(INDEX($B$39:$F$39,MATCH(2&amp;","&amp;2,$B$40:$F$40,0)),""),"")))</f>
        <v/>
      </c>
      <c r="D57" s="12" t="str">
        <f ca="1">IF(OR(3&gt;$B$5,2&gt;$B$6),"X",IF(IFERROR(INDEX(OFFSET($B$15,$D$46-15,0,1,3),MATCH(3&amp;","&amp;2,OFFSET($B$15,$F$46-15,0,1,3),0)),"")&lt;&gt;"",IFERROR(INDEX(OFFSET($B$15,$D$46-15,0,1,3),MATCH(3&amp;","&amp;2,OFFSET($B$15,$F$46-15,0,1,3),0)),""),IF($B$46="Start",IFERROR(INDEX($B$39:$F$39,MATCH(3&amp;","&amp;2,$B$40:$F$40,0)),""),"")))</f>
        <v/>
      </c>
      <c r="E57" s="12" t="str">
        <f ca="1">IF(OR(4&gt;$B$5,2&gt;$B$6),"X",IF(IFERROR(INDEX(OFFSET($B$15,$D$46-15,0,1,3),MATCH(4&amp;","&amp;2,OFFSET($B$15,$F$46-15,0,1,3),0)),"")&lt;&gt;"",IFERROR(INDEX(OFFSET($B$15,$D$46-15,0,1,3),MATCH(4&amp;","&amp;2,OFFSET($B$15,$F$46-15,0,1,3),0)),""),IF($B$46="Start",IFERROR(INDEX($B$39:$F$39,MATCH(4&amp;","&amp;2,$B$40:$F$40,0)),""),"")))</f>
        <v>P3</v>
      </c>
      <c r="F57" s="12" t="str">
        <f ca="1">IF(OR(5&gt;$B$5,2&gt;$B$6),"X",IF(IFERROR(INDEX(OFFSET($B$15,$D$46-15,0,1,3),MATCH(5&amp;","&amp;2,OFFSET($B$15,$F$46-15,0,1,3),0)),"")&lt;&gt;"",IFERROR(INDEX(OFFSET($B$15,$D$46-15,0,1,3),MATCH(5&amp;","&amp;2,OFFSET($B$15,$F$46-15,0,1,3),0)),""),IF($B$46="Start",IFERROR(INDEX($B$39:$F$39,MATCH(5&amp;","&amp;2,$B$40:$F$40,0)),""),"")))</f>
        <v/>
      </c>
      <c r="G57" s="12" t="str">
        <f ca="1">IF(OR(6&gt;$B$5,2&gt;$B$6),"X",IF(IFERROR(INDEX(OFFSET($B$15,$D$46-15,0,1,3),MATCH(6&amp;","&amp;2,OFFSET($B$15,$F$46-15,0,1,3),0)),"")&lt;&gt;"",IFERROR(INDEX(OFFSET($B$15,$D$46-15,0,1,3),MATCH(6&amp;","&amp;2,OFFSET($B$15,$F$46-15,0,1,3),0)),""),IF($B$46="Start",IFERROR(INDEX($B$39:$F$39,MATCH(6&amp;","&amp;2,$B$40:$F$40,0)),""),"")))</f>
        <v/>
      </c>
      <c r="H57" s="12" t="str">
        <f ca="1">IF(OR(7&gt;$B$5,2&gt;$B$6),"X",IF(IFERROR(INDEX(OFFSET($B$15,$D$46-15,0,1,3),MATCH(7&amp;","&amp;2,OFFSET($B$15,$F$46-15,0,1,3),0)),"")&lt;&gt;"",IFERROR(INDEX(OFFSET($B$15,$D$46-15,0,1,3),MATCH(7&amp;","&amp;2,OFFSET($B$15,$F$46-15,0,1,3),0)),""),IF($B$46="Start",IFERROR(INDEX($B$39:$F$39,MATCH(7&amp;","&amp;2,$B$40:$F$40,0)),""),"")))</f>
        <v/>
      </c>
      <c r="I57" s="12" t="str">
        <f ca="1">IF(OR(8&gt;$B$5,2&gt;$B$6),"X",IF(IFERROR(INDEX(OFFSET($B$15,$D$46-15,0,1,3),MATCH(8&amp;","&amp;2,OFFSET($B$15,$F$46-15,0,1,3),0)),"")&lt;&gt;"",IFERROR(INDEX(OFFSET($B$15,$D$46-15,0,1,3),MATCH(8&amp;","&amp;2,OFFSET($B$15,$F$46-15,0,1,3),0)),""),IF($B$46="Start",IFERROR(INDEX($B$39:$F$39,MATCH(8&amp;","&amp;2,$B$40:$F$40,0)),""),"")))</f>
        <v>X</v>
      </c>
      <c r="J57" s="12" t="str">
        <f ca="1">IF(OR(9&gt;$B$5,2&gt;$B$6),"X",IF(IFERROR(INDEX(OFFSET($B$15,$D$46-15,0,1,3),MATCH(9&amp;","&amp;2,OFFSET($B$15,$F$46-15,0,1,3),0)),"")&lt;&gt;"",IFERROR(INDEX(OFFSET($B$15,$D$46-15,0,1,3),MATCH(9&amp;","&amp;2,OFFSET($B$15,$F$46-15,0,1,3),0)),""),IF($B$46="Start",IFERROR(INDEX($B$39:$F$39,MATCH(9&amp;","&amp;2,$B$40:$F$40,0)),""),"")))</f>
        <v>X</v>
      </c>
      <c r="K57" s="12" t="str">
        <f ca="1">IF(OR(10&gt;$B$5,2&gt;$B$6),"X",IF(IFERROR(INDEX(OFFSET($B$15,$D$46-15,0,1,3),MATCH(10&amp;","&amp;2,OFFSET($B$15,$F$46-15,0,1,3),0)),"")&lt;&gt;"",IFERROR(INDEX(OFFSET($B$15,$D$46-15,0,1,3),MATCH(10&amp;","&amp;2,OFFSET($B$15,$F$46-15,0,1,3),0)),""),IF($B$46="Start",IFERROR(INDEX($B$39:$F$39,MATCH(10&amp;","&amp;2,$B$40:$F$40,0)),""),"")))</f>
        <v>X</v>
      </c>
    </row>
    <row r="58" spans="1:11" x14ac:dyDescent="0.3">
      <c r="A58" s="11">
        <v>1</v>
      </c>
      <c r="B58" s="12" t="str">
        <f ca="1">IF(OR(1&gt;$B$5,1&gt;$B$6),"X",IF(IFERROR(INDEX(OFFSET($B$15,$D$46-15,0,1,3),MATCH(1&amp;","&amp;1,OFFSET($B$15,$F$46-15,0,1,3),0)),"")&lt;&gt;"",IFERROR(INDEX(OFFSET($B$15,$D$46-15,0,1,3),MATCH(1&amp;","&amp;1,OFFSET($B$15,$F$46-15,0,1,3),0)),""),IF($B$46="Start",IFERROR(INDEX($B$39:$F$39,MATCH(1&amp;","&amp;1,$B$40:$F$40,0)),""),"")))</f>
        <v/>
      </c>
      <c r="C58" s="12" t="str">
        <f ca="1">IF(OR(2&gt;$B$5,1&gt;$B$6),"X",IF(IFERROR(INDEX(OFFSET($B$15,$D$46-15,0,1,3),MATCH(2&amp;","&amp;1,OFFSET($B$15,$F$46-15,0,1,3),0)),"")&lt;&gt;"",IFERROR(INDEX(OFFSET($B$15,$D$46-15,0,1,3),MATCH(2&amp;","&amp;1,OFFSET($B$15,$F$46-15,0,1,3),0)),""),IF($B$46="Start",IFERROR(INDEX($B$39:$F$39,MATCH(2&amp;","&amp;1,$B$40:$F$40,0)),""),"")))</f>
        <v/>
      </c>
      <c r="D58" s="12" t="str">
        <f ca="1">IF(OR(3&gt;$B$5,1&gt;$B$6),"X",IF(IFERROR(INDEX(OFFSET($B$15,$D$46-15,0,1,3),MATCH(3&amp;","&amp;1,OFFSET($B$15,$F$46-15,0,1,3),0)),"")&lt;&gt;"",IFERROR(INDEX(OFFSET($B$15,$D$46-15,0,1,3),MATCH(3&amp;","&amp;1,OFFSET($B$15,$F$46-15,0,1,3),0)),""),IF($B$46="Start",IFERROR(INDEX($B$39:$F$39,MATCH(3&amp;","&amp;1,$B$40:$F$40,0)),""),"")))</f>
        <v>P1</v>
      </c>
      <c r="E58" s="12" t="str">
        <f ca="1">IF(OR(4&gt;$B$5,1&gt;$B$6),"X",IF(IFERROR(INDEX(OFFSET($B$15,$D$46-15,0,1,3),MATCH(4&amp;","&amp;1,OFFSET($B$15,$F$46-15,0,1,3),0)),"")&lt;&gt;"",IFERROR(INDEX(OFFSET($B$15,$D$46-15,0,1,3),MATCH(4&amp;","&amp;1,OFFSET($B$15,$F$46-15,0,1,3),0)),""),IF($B$46="Start",IFERROR(INDEX($B$39:$F$39,MATCH(4&amp;","&amp;1,$B$40:$F$40,0)),""),"")))</f>
        <v/>
      </c>
      <c r="F58" s="12" t="str">
        <f ca="1">IF(OR(5&gt;$B$5,1&gt;$B$6),"X",IF(IFERROR(INDEX(OFFSET($B$15,$D$46-15,0,1,3),MATCH(5&amp;","&amp;1,OFFSET($B$15,$F$46-15,0,1,3),0)),"")&lt;&gt;"",IFERROR(INDEX(OFFSET($B$15,$D$46-15,0,1,3),MATCH(5&amp;","&amp;1,OFFSET($B$15,$F$46-15,0,1,3),0)),""),IF($B$46="Start",IFERROR(INDEX($B$39:$F$39,MATCH(5&amp;","&amp;1,$B$40:$F$40,0)),""),"")))</f>
        <v>P2</v>
      </c>
      <c r="G58" s="12" t="str">
        <f ca="1">IF(OR(6&gt;$B$5,1&gt;$B$6),"X",IF(IFERROR(INDEX(OFFSET($B$15,$D$46-15,0,1,3),MATCH(6&amp;","&amp;1,OFFSET($B$15,$F$46-15,0,1,3),0)),"")&lt;&gt;"",IFERROR(INDEX(OFFSET($B$15,$D$46-15,0,1,3),MATCH(6&amp;","&amp;1,OFFSET($B$15,$F$46-15,0,1,3),0)),""),IF($B$46="Start",IFERROR(INDEX($B$39:$F$39,MATCH(6&amp;","&amp;1,$B$40:$F$40,0)),""),"")))</f>
        <v/>
      </c>
      <c r="H58" s="12" t="str">
        <f ca="1">IF(OR(7&gt;$B$5,1&gt;$B$6),"X",IF(IFERROR(INDEX(OFFSET($B$15,$D$46-15,0,1,3),MATCH(7&amp;","&amp;1,OFFSET($B$15,$F$46-15,0,1,3),0)),"")&lt;&gt;"",IFERROR(INDEX(OFFSET($B$15,$D$46-15,0,1,3),MATCH(7&amp;","&amp;1,OFFSET($B$15,$F$46-15,0,1,3),0)),""),IF($B$46="Start",IFERROR(INDEX($B$39:$F$39,MATCH(7&amp;","&amp;1,$B$40:$F$40,0)),""),"")))</f>
        <v/>
      </c>
      <c r="I58" s="12" t="str">
        <f ca="1">IF(OR(8&gt;$B$5,1&gt;$B$6),"X",IF(IFERROR(INDEX(OFFSET($B$15,$D$46-15,0,1,3),MATCH(8&amp;","&amp;1,OFFSET($B$15,$F$46-15,0,1,3),0)),"")&lt;&gt;"",IFERROR(INDEX(OFFSET($B$15,$D$46-15,0,1,3),MATCH(8&amp;","&amp;1,OFFSET($B$15,$F$46-15,0,1,3),0)),""),IF($B$46="Start",IFERROR(INDEX($B$39:$F$39,MATCH(8&amp;","&amp;1,$B$40:$F$40,0)),""),"")))</f>
        <v>X</v>
      </c>
      <c r="J58" s="12" t="str">
        <f ca="1">IF(OR(9&gt;$B$5,1&gt;$B$6),"X",IF(IFERROR(INDEX(OFFSET($B$15,$D$46-15,0,1,3),MATCH(9&amp;","&amp;1,OFFSET($B$15,$F$46-15,0,1,3),0)),"")&lt;&gt;"",IFERROR(INDEX(OFFSET($B$15,$D$46-15,0,1,3),MATCH(9&amp;","&amp;1,OFFSET($B$15,$F$46-15,0,1,3),0)),""),IF($B$46="Start",IFERROR(INDEX($B$39:$F$39,MATCH(9&amp;","&amp;1,$B$40:$F$40,0)),""),"")))</f>
        <v>X</v>
      </c>
      <c r="K58" s="12" t="str">
        <f ca="1">IF(OR(10&gt;$B$5,1&gt;$B$6),"X",IF(IFERROR(INDEX(OFFSET($B$15,$D$46-15,0,1,3),MATCH(10&amp;","&amp;1,OFFSET($B$15,$F$46-15,0,1,3),0)),"")&lt;&gt;"",IFERROR(INDEX(OFFSET($B$15,$D$46-15,0,1,3),MATCH(10&amp;","&amp;1,OFFSET($B$15,$F$46-15,0,1,3),0)),""),IF($B$46="Start",IFERROR(INDEX($B$39:$F$39,MATCH(10&amp;","&amp;1,$B$40:$F$40,0)),""),"")))</f>
        <v>X</v>
      </c>
    </row>
    <row r="60" spans="1:11" x14ac:dyDescent="0.3">
      <c r="A60" s="1" t="s">
        <v>127</v>
      </c>
    </row>
    <row r="61" spans="1:11" x14ac:dyDescent="0.3">
      <c r="A61" t="s">
        <v>128</v>
      </c>
    </row>
    <row r="62" spans="1:11" x14ac:dyDescent="0.3">
      <c r="A62" t="s">
        <v>129</v>
      </c>
    </row>
    <row r="63" spans="1:11" x14ac:dyDescent="0.3">
      <c r="A63" t="s">
        <v>130</v>
      </c>
    </row>
    <row r="64" spans="1:11" x14ac:dyDescent="0.3">
      <c r="A64" t="s">
        <v>131</v>
      </c>
    </row>
    <row r="66" spans="1:3" x14ac:dyDescent="0.3">
      <c r="A66" s="1" t="s">
        <v>132</v>
      </c>
      <c r="B66" s="2"/>
    </row>
    <row r="68" spans="1:3" x14ac:dyDescent="0.3">
      <c r="A68" s="4" t="s">
        <v>133</v>
      </c>
    </row>
    <row r="69" spans="1:3" x14ac:dyDescent="0.3">
      <c r="A69" s="4" t="s">
        <v>134</v>
      </c>
      <c r="B69" s="4" t="s">
        <v>135</v>
      </c>
      <c r="C69" s="4" t="s">
        <v>136</v>
      </c>
    </row>
    <row r="70" spans="1:3" x14ac:dyDescent="0.3">
      <c r="A70" t="s">
        <v>95</v>
      </c>
      <c r="B70">
        <v>15</v>
      </c>
      <c r="C70">
        <v>16</v>
      </c>
    </row>
    <row r="71" spans="1:3" x14ac:dyDescent="0.3">
      <c r="A71" t="s">
        <v>170</v>
      </c>
      <c r="B71">
        <v>17</v>
      </c>
      <c r="C71">
        <v>18</v>
      </c>
    </row>
    <row r="72" spans="1:3" x14ac:dyDescent="0.3">
      <c r="A72" t="s">
        <v>154</v>
      </c>
      <c r="B72">
        <v>19</v>
      </c>
      <c r="C72">
        <v>20</v>
      </c>
    </row>
  </sheetData>
  <conditionalFormatting sqref="B48:K58">
    <cfRule type="cellIs" dxfId="1" priority="1" operator="equal">
      <formula>"X"</formula>
    </cfRule>
  </conditionalFormatting>
  <dataValidations count="3">
    <dataValidation type="list" allowBlank="1" sqref="B9:B10" xr:uid="{00000000-0002-0000-0700-000000000000}">
      <formula1>list_Loot</formula1>
    </dataValidation>
    <dataValidation type="list" allowBlank="1" sqref="B15:D15 B35:D35 B33:D33 B31:D31 B29:D29 B27:D27 B25:D25 B23:D23 B21:D21 B19:D19 B17:D17" xr:uid="{00000000-0002-0000-0700-000002000000}">
      <formula1>list_Prefab</formula1>
    </dataValidation>
    <dataValidation type="list" sqref="B46" xr:uid="{00000000-0002-0000-0700-00000D000000}">
      <formula1>$A$70:$A$72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72"/>
  <sheetViews>
    <sheetView workbookViewId="0">
      <pane xSplit="1" ySplit="14" topLeftCell="B15" activePane="bottomRight" state="frozen"/>
      <selection pane="topRight" activeCell="B1" sqref="B1"/>
      <selection pane="bottomLeft" activeCell="A15" sqref="A15"/>
      <selection pane="bottomRight"/>
    </sheetView>
  </sheetViews>
  <sheetFormatPr defaultRowHeight="14.4" x14ac:dyDescent="0.3"/>
  <cols>
    <col min="1" max="1" width="16" customWidth="1"/>
    <col min="2" max="11" width="14" customWidth="1"/>
  </cols>
  <sheetData>
    <row r="1" spans="1:2" x14ac:dyDescent="0.3">
      <c r="A1" s="1" t="s">
        <v>70</v>
      </c>
      <c r="B1" t="s">
        <v>13</v>
      </c>
    </row>
    <row r="2" spans="1:2" x14ac:dyDescent="0.3">
      <c r="A2" s="1" t="s">
        <v>3</v>
      </c>
      <c r="B2" t="s">
        <v>171</v>
      </c>
    </row>
    <row r="3" spans="1:2" x14ac:dyDescent="0.3">
      <c r="A3" s="1" t="s">
        <v>4</v>
      </c>
      <c r="B3" t="str">
        <f>IF($B$2="","NEW","Live")</f>
        <v>Live</v>
      </c>
    </row>
    <row r="4" spans="1:2" x14ac:dyDescent="0.3">
      <c r="A4" s="1" t="s">
        <v>72</v>
      </c>
    </row>
    <row r="5" spans="1:2" x14ac:dyDescent="0.3">
      <c r="A5" s="4" t="s">
        <v>73</v>
      </c>
      <c r="B5">
        <v>3</v>
      </c>
    </row>
    <row r="6" spans="1:2" x14ac:dyDescent="0.3">
      <c r="A6" s="4" t="s">
        <v>74</v>
      </c>
      <c r="B6">
        <v>6</v>
      </c>
    </row>
    <row r="7" spans="1:2" x14ac:dyDescent="0.3">
      <c r="A7" s="4" t="s">
        <v>75</v>
      </c>
      <c r="B7">
        <v>3</v>
      </c>
    </row>
    <row r="8" spans="1:2" x14ac:dyDescent="0.3">
      <c r="A8" s="4" t="s">
        <v>76</v>
      </c>
      <c r="B8">
        <v>3</v>
      </c>
    </row>
    <row r="9" spans="1:2" x14ac:dyDescent="0.3">
      <c r="A9" s="4" t="s">
        <v>77</v>
      </c>
      <c r="B9" t="s">
        <v>51</v>
      </c>
    </row>
    <row r="10" spans="1:2" x14ac:dyDescent="0.3">
      <c r="A10" s="4" t="s">
        <v>78</v>
      </c>
      <c r="B10" t="s">
        <v>20</v>
      </c>
    </row>
    <row r="11" spans="1:2" x14ac:dyDescent="0.3">
      <c r="A11" s="4" t="s">
        <v>79</v>
      </c>
      <c r="B11" t="s">
        <v>80</v>
      </c>
    </row>
    <row r="13" spans="1:2" x14ac:dyDescent="0.3">
      <c r="A13" s="1" t="s">
        <v>81</v>
      </c>
    </row>
    <row r="14" spans="1:2" x14ac:dyDescent="0.3">
      <c r="A14" s="4" t="s">
        <v>82</v>
      </c>
      <c r="B14" s="4" t="s">
        <v>83</v>
      </c>
    </row>
    <row r="15" spans="1:2" x14ac:dyDescent="0.3">
      <c r="A15" s="1" t="s">
        <v>95</v>
      </c>
      <c r="B15" t="s">
        <v>34</v>
      </c>
    </row>
    <row r="16" spans="1:2" x14ac:dyDescent="0.3">
      <c r="A16" s="4" t="s">
        <v>96</v>
      </c>
      <c r="B16" t="s">
        <v>163</v>
      </c>
    </row>
    <row r="17" spans="1:2" x14ac:dyDescent="0.3">
      <c r="A17" s="1">
        <v>2</v>
      </c>
      <c r="B17" t="s">
        <v>65</v>
      </c>
    </row>
    <row r="18" spans="1:2" x14ac:dyDescent="0.3">
      <c r="A18" s="4" t="s">
        <v>96</v>
      </c>
      <c r="B18" t="s">
        <v>145</v>
      </c>
    </row>
    <row r="19" spans="1:2" x14ac:dyDescent="0.3">
      <c r="A19" s="1">
        <v>3</v>
      </c>
      <c r="B19" t="s">
        <v>65</v>
      </c>
    </row>
    <row r="20" spans="1:2" x14ac:dyDescent="0.3">
      <c r="A20" s="4" t="s">
        <v>96</v>
      </c>
      <c r="B20" t="s">
        <v>141</v>
      </c>
    </row>
    <row r="21" spans="1:2" x14ac:dyDescent="0.3">
      <c r="A21" s="5"/>
    </row>
    <row r="22" spans="1:2" x14ac:dyDescent="0.3">
      <c r="A22" s="6" t="s">
        <v>96</v>
      </c>
    </row>
    <row r="23" spans="1:2" x14ac:dyDescent="0.3">
      <c r="A23" s="5"/>
    </row>
    <row r="24" spans="1:2" x14ac:dyDescent="0.3">
      <c r="A24" s="6" t="s">
        <v>96</v>
      </c>
    </row>
    <row r="25" spans="1:2" x14ac:dyDescent="0.3">
      <c r="A25" s="5"/>
    </row>
    <row r="26" spans="1:2" x14ac:dyDescent="0.3">
      <c r="A26" s="6" t="s">
        <v>96</v>
      </c>
    </row>
    <row r="27" spans="1:2" x14ac:dyDescent="0.3">
      <c r="A27" s="5"/>
    </row>
    <row r="28" spans="1:2" x14ac:dyDescent="0.3">
      <c r="A28" s="6" t="s">
        <v>96</v>
      </c>
    </row>
    <row r="29" spans="1:2" x14ac:dyDescent="0.3">
      <c r="A29" s="5"/>
    </row>
    <row r="30" spans="1:2" x14ac:dyDescent="0.3">
      <c r="A30" s="6" t="s">
        <v>96</v>
      </c>
    </row>
    <row r="31" spans="1:2" x14ac:dyDescent="0.3">
      <c r="A31" s="5"/>
    </row>
    <row r="32" spans="1:2" x14ac:dyDescent="0.3">
      <c r="A32" s="6" t="s">
        <v>96</v>
      </c>
    </row>
    <row r="33" spans="1:11" x14ac:dyDescent="0.3">
      <c r="A33" s="5"/>
    </row>
    <row r="34" spans="1:11" x14ac:dyDescent="0.3">
      <c r="A34" s="6" t="s">
        <v>96</v>
      </c>
    </row>
    <row r="35" spans="1:11" x14ac:dyDescent="0.3">
      <c r="A35" s="5"/>
    </row>
    <row r="36" spans="1:11" x14ac:dyDescent="0.3">
      <c r="A36" s="6" t="s">
        <v>96</v>
      </c>
    </row>
    <row r="38" spans="1:11" x14ac:dyDescent="0.3">
      <c r="A38" s="1" t="s">
        <v>109</v>
      </c>
    </row>
    <row r="39" spans="1:11" x14ac:dyDescent="0.3">
      <c r="B39" s="4" t="s">
        <v>110</v>
      </c>
      <c r="C39" s="4" t="s">
        <v>111</v>
      </c>
      <c r="D39" s="4" t="s">
        <v>112</v>
      </c>
      <c r="E39" s="4" t="s">
        <v>113</v>
      </c>
    </row>
    <row r="40" spans="1:11" x14ac:dyDescent="0.3">
      <c r="A40" s="1" t="s">
        <v>115</v>
      </c>
      <c r="B40" t="s">
        <v>146</v>
      </c>
      <c r="C40" t="s">
        <v>172</v>
      </c>
    </row>
    <row r="42" spans="1:11" x14ac:dyDescent="0.3">
      <c r="A42" s="1" t="s">
        <v>119</v>
      </c>
    </row>
    <row r="43" spans="1:11" x14ac:dyDescent="0.3">
      <c r="A43" s="4" t="s">
        <v>120</v>
      </c>
      <c r="B43" s="4" t="s">
        <v>121</v>
      </c>
      <c r="C43" s="4" t="s">
        <v>82</v>
      </c>
      <c r="D43" s="4" t="s">
        <v>122</v>
      </c>
    </row>
    <row r="45" spans="1:11" x14ac:dyDescent="0.3">
      <c r="A45" s="1" t="s">
        <v>123</v>
      </c>
    </row>
    <row r="46" spans="1:11" x14ac:dyDescent="0.3">
      <c r="A46" s="1" t="s">
        <v>124</v>
      </c>
      <c r="B46" t="s">
        <v>95</v>
      </c>
      <c r="C46" s="7" t="s">
        <v>125</v>
      </c>
      <c r="D46" s="8">
        <f>INDEX($B$70:$B$72,MATCH($B$46,$A$70:$A$72,0))</f>
        <v>15</v>
      </c>
      <c r="E46" s="7" t="s">
        <v>126</v>
      </c>
      <c r="F46" s="8">
        <f>INDEX($C$70:$C$72,MATCH($B$46,$A$70:$A$72,0))</f>
        <v>16</v>
      </c>
    </row>
    <row r="48" spans="1:11" x14ac:dyDescent="0.3">
      <c r="A48" s="9"/>
      <c r="B48" s="10">
        <v>1</v>
      </c>
      <c r="C48" s="10">
        <v>2</v>
      </c>
      <c r="D48" s="10">
        <v>3</v>
      </c>
      <c r="E48" s="10">
        <v>4</v>
      </c>
      <c r="F48" s="10">
        <v>5</v>
      </c>
      <c r="G48" s="10">
        <v>6</v>
      </c>
      <c r="H48" s="10">
        <v>7</v>
      </c>
      <c r="I48" s="10">
        <v>8</v>
      </c>
      <c r="J48" s="10">
        <v>9</v>
      </c>
      <c r="K48" s="10">
        <v>10</v>
      </c>
    </row>
    <row r="49" spans="1:11" x14ac:dyDescent="0.3">
      <c r="A49" s="11">
        <v>10</v>
      </c>
      <c r="B49" s="12" t="str">
        <f ca="1">IF(OR(1&gt;$B$5,10&gt;$B$6),"X",IF(IFERROR(INDEX(OFFSET($B$15,$D$46-15,0,1,1),MATCH(1&amp;","&amp;10,OFFSET($B$15,$F$46-15,0,1,1),0)),"")&lt;&gt;"",IFERROR(INDEX(OFFSET($B$15,$D$46-15,0,1,1),MATCH(1&amp;","&amp;10,OFFSET($B$15,$F$46-15,0,1,1),0)),""),IF($B$46="Start",IFERROR(INDEX($B$39:$E$39,MATCH(1&amp;","&amp;10,$B$40:$E$40,0)),""),"")))</f>
        <v>X</v>
      </c>
      <c r="C49" s="12" t="str">
        <f ca="1">IF(OR(2&gt;$B$5,10&gt;$B$6),"X",IF(IFERROR(INDEX(OFFSET($B$15,$D$46-15,0,1,1),MATCH(2&amp;","&amp;10,OFFSET($B$15,$F$46-15,0,1,1),0)),"")&lt;&gt;"",IFERROR(INDEX(OFFSET($B$15,$D$46-15,0,1,1),MATCH(2&amp;","&amp;10,OFFSET($B$15,$F$46-15,0,1,1),0)),""),IF($B$46="Start",IFERROR(INDEX($B$39:$E$39,MATCH(2&amp;","&amp;10,$B$40:$E$40,0)),""),"")))</f>
        <v>X</v>
      </c>
      <c r="D49" s="12" t="str">
        <f ca="1">IF(OR(3&gt;$B$5,10&gt;$B$6),"X",IF(IFERROR(INDEX(OFFSET($B$15,$D$46-15,0,1,1),MATCH(3&amp;","&amp;10,OFFSET($B$15,$F$46-15,0,1,1),0)),"")&lt;&gt;"",IFERROR(INDEX(OFFSET($B$15,$D$46-15,0,1,1),MATCH(3&amp;","&amp;10,OFFSET($B$15,$F$46-15,0,1,1),0)),""),IF($B$46="Start",IFERROR(INDEX($B$39:$E$39,MATCH(3&amp;","&amp;10,$B$40:$E$40,0)),""),"")))</f>
        <v>X</v>
      </c>
      <c r="E49" s="12" t="str">
        <f ca="1">IF(OR(4&gt;$B$5,10&gt;$B$6),"X",IF(IFERROR(INDEX(OFFSET($B$15,$D$46-15,0,1,1),MATCH(4&amp;","&amp;10,OFFSET($B$15,$F$46-15,0,1,1),0)),"")&lt;&gt;"",IFERROR(INDEX(OFFSET($B$15,$D$46-15,0,1,1),MATCH(4&amp;","&amp;10,OFFSET($B$15,$F$46-15,0,1,1),0)),""),IF($B$46="Start",IFERROR(INDEX($B$39:$E$39,MATCH(4&amp;","&amp;10,$B$40:$E$40,0)),""),"")))</f>
        <v>X</v>
      </c>
      <c r="F49" s="12" t="str">
        <f ca="1">IF(OR(5&gt;$B$5,10&gt;$B$6),"X",IF(IFERROR(INDEX(OFFSET($B$15,$D$46-15,0,1,1),MATCH(5&amp;","&amp;10,OFFSET($B$15,$F$46-15,0,1,1),0)),"")&lt;&gt;"",IFERROR(INDEX(OFFSET($B$15,$D$46-15,0,1,1),MATCH(5&amp;","&amp;10,OFFSET($B$15,$F$46-15,0,1,1),0)),""),IF($B$46="Start",IFERROR(INDEX($B$39:$E$39,MATCH(5&amp;","&amp;10,$B$40:$E$40,0)),""),"")))</f>
        <v>X</v>
      </c>
      <c r="G49" s="12" t="str">
        <f ca="1">IF(OR(6&gt;$B$5,10&gt;$B$6),"X",IF(IFERROR(INDEX(OFFSET($B$15,$D$46-15,0,1,1),MATCH(6&amp;","&amp;10,OFFSET($B$15,$F$46-15,0,1,1),0)),"")&lt;&gt;"",IFERROR(INDEX(OFFSET($B$15,$D$46-15,0,1,1),MATCH(6&amp;","&amp;10,OFFSET($B$15,$F$46-15,0,1,1),0)),""),IF($B$46="Start",IFERROR(INDEX($B$39:$E$39,MATCH(6&amp;","&amp;10,$B$40:$E$40,0)),""),"")))</f>
        <v>X</v>
      </c>
      <c r="H49" s="12" t="str">
        <f ca="1">IF(OR(7&gt;$B$5,10&gt;$B$6),"X",IF(IFERROR(INDEX(OFFSET($B$15,$D$46-15,0,1,1),MATCH(7&amp;","&amp;10,OFFSET($B$15,$F$46-15,0,1,1),0)),"")&lt;&gt;"",IFERROR(INDEX(OFFSET($B$15,$D$46-15,0,1,1),MATCH(7&amp;","&amp;10,OFFSET($B$15,$F$46-15,0,1,1),0)),""),IF($B$46="Start",IFERROR(INDEX($B$39:$E$39,MATCH(7&amp;","&amp;10,$B$40:$E$40,0)),""),"")))</f>
        <v>X</v>
      </c>
      <c r="I49" s="12" t="str">
        <f ca="1">IF(OR(8&gt;$B$5,10&gt;$B$6),"X",IF(IFERROR(INDEX(OFFSET($B$15,$D$46-15,0,1,1),MATCH(8&amp;","&amp;10,OFFSET($B$15,$F$46-15,0,1,1),0)),"")&lt;&gt;"",IFERROR(INDEX(OFFSET($B$15,$D$46-15,0,1,1),MATCH(8&amp;","&amp;10,OFFSET($B$15,$F$46-15,0,1,1),0)),""),IF($B$46="Start",IFERROR(INDEX($B$39:$E$39,MATCH(8&amp;","&amp;10,$B$40:$E$40,0)),""),"")))</f>
        <v>X</v>
      </c>
      <c r="J49" s="12" t="str">
        <f ca="1">IF(OR(9&gt;$B$5,10&gt;$B$6),"X",IF(IFERROR(INDEX(OFFSET($B$15,$D$46-15,0,1,1),MATCH(9&amp;","&amp;10,OFFSET($B$15,$F$46-15,0,1,1),0)),"")&lt;&gt;"",IFERROR(INDEX(OFFSET($B$15,$D$46-15,0,1,1),MATCH(9&amp;","&amp;10,OFFSET($B$15,$F$46-15,0,1,1),0)),""),IF($B$46="Start",IFERROR(INDEX($B$39:$E$39,MATCH(9&amp;","&amp;10,$B$40:$E$40,0)),""),"")))</f>
        <v>X</v>
      </c>
      <c r="K49" s="12" t="str">
        <f ca="1">IF(OR(10&gt;$B$5,10&gt;$B$6),"X",IF(IFERROR(INDEX(OFFSET($B$15,$D$46-15,0,1,1),MATCH(10&amp;","&amp;10,OFFSET($B$15,$F$46-15,0,1,1),0)),"")&lt;&gt;"",IFERROR(INDEX(OFFSET($B$15,$D$46-15,0,1,1),MATCH(10&amp;","&amp;10,OFFSET($B$15,$F$46-15,0,1,1),0)),""),IF($B$46="Start",IFERROR(INDEX($B$39:$E$39,MATCH(10&amp;","&amp;10,$B$40:$E$40,0)),""),"")))</f>
        <v>X</v>
      </c>
    </row>
    <row r="50" spans="1:11" x14ac:dyDescent="0.3">
      <c r="A50" s="11">
        <v>9</v>
      </c>
      <c r="B50" s="12" t="str">
        <f ca="1">IF(OR(1&gt;$B$5,9&gt;$B$6),"X",IF(IFERROR(INDEX(OFFSET($B$15,$D$46-15,0,1,1),MATCH(1&amp;","&amp;9,OFFSET($B$15,$F$46-15,0,1,1),0)),"")&lt;&gt;"",IFERROR(INDEX(OFFSET($B$15,$D$46-15,0,1,1),MATCH(1&amp;","&amp;9,OFFSET($B$15,$F$46-15,0,1,1),0)),""),IF($B$46="Start",IFERROR(INDEX($B$39:$E$39,MATCH(1&amp;","&amp;9,$B$40:$E$40,0)),""),"")))</f>
        <v>X</v>
      </c>
      <c r="C50" s="12" t="str">
        <f ca="1">IF(OR(2&gt;$B$5,9&gt;$B$6),"X",IF(IFERROR(INDEX(OFFSET($B$15,$D$46-15,0,1,1),MATCH(2&amp;","&amp;9,OFFSET($B$15,$F$46-15,0,1,1),0)),"")&lt;&gt;"",IFERROR(INDEX(OFFSET($B$15,$D$46-15,0,1,1),MATCH(2&amp;","&amp;9,OFFSET($B$15,$F$46-15,0,1,1),0)),""),IF($B$46="Start",IFERROR(INDEX($B$39:$E$39,MATCH(2&amp;","&amp;9,$B$40:$E$40,0)),""),"")))</f>
        <v>X</v>
      </c>
      <c r="D50" s="12" t="str">
        <f ca="1">IF(OR(3&gt;$B$5,9&gt;$B$6),"X",IF(IFERROR(INDEX(OFFSET($B$15,$D$46-15,0,1,1),MATCH(3&amp;","&amp;9,OFFSET($B$15,$F$46-15,0,1,1),0)),"")&lt;&gt;"",IFERROR(INDEX(OFFSET($B$15,$D$46-15,0,1,1),MATCH(3&amp;","&amp;9,OFFSET($B$15,$F$46-15,0,1,1),0)),""),IF($B$46="Start",IFERROR(INDEX($B$39:$E$39,MATCH(3&amp;","&amp;9,$B$40:$E$40,0)),""),"")))</f>
        <v>X</v>
      </c>
      <c r="E50" s="12" t="str">
        <f ca="1">IF(OR(4&gt;$B$5,9&gt;$B$6),"X",IF(IFERROR(INDEX(OFFSET($B$15,$D$46-15,0,1,1),MATCH(4&amp;","&amp;9,OFFSET($B$15,$F$46-15,0,1,1),0)),"")&lt;&gt;"",IFERROR(INDEX(OFFSET($B$15,$D$46-15,0,1,1),MATCH(4&amp;","&amp;9,OFFSET($B$15,$F$46-15,0,1,1),0)),""),IF($B$46="Start",IFERROR(INDEX($B$39:$E$39,MATCH(4&amp;","&amp;9,$B$40:$E$40,0)),""),"")))</f>
        <v>X</v>
      </c>
      <c r="F50" s="12" t="str">
        <f ca="1">IF(OR(5&gt;$B$5,9&gt;$B$6),"X",IF(IFERROR(INDEX(OFFSET($B$15,$D$46-15,0,1,1),MATCH(5&amp;","&amp;9,OFFSET($B$15,$F$46-15,0,1,1),0)),"")&lt;&gt;"",IFERROR(INDEX(OFFSET($B$15,$D$46-15,0,1,1),MATCH(5&amp;","&amp;9,OFFSET($B$15,$F$46-15,0,1,1),0)),""),IF($B$46="Start",IFERROR(INDEX($B$39:$E$39,MATCH(5&amp;","&amp;9,$B$40:$E$40,0)),""),"")))</f>
        <v>X</v>
      </c>
      <c r="G50" s="12" t="str">
        <f ca="1">IF(OR(6&gt;$B$5,9&gt;$B$6),"X",IF(IFERROR(INDEX(OFFSET($B$15,$D$46-15,0,1,1),MATCH(6&amp;","&amp;9,OFFSET($B$15,$F$46-15,0,1,1),0)),"")&lt;&gt;"",IFERROR(INDEX(OFFSET($B$15,$D$46-15,0,1,1),MATCH(6&amp;","&amp;9,OFFSET($B$15,$F$46-15,0,1,1),0)),""),IF($B$46="Start",IFERROR(INDEX($B$39:$E$39,MATCH(6&amp;","&amp;9,$B$40:$E$40,0)),""),"")))</f>
        <v>X</v>
      </c>
      <c r="H50" s="12" t="str">
        <f ca="1">IF(OR(7&gt;$B$5,9&gt;$B$6),"X",IF(IFERROR(INDEX(OFFSET($B$15,$D$46-15,0,1,1),MATCH(7&amp;","&amp;9,OFFSET($B$15,$F$46-15,0,1,1),0)),"")&lt;&gt;"",IFERROR(INDEX(OFFSET($B$15,$D$46-15,0,1,1),MATCH(7&amp;","&amp;9,OFFSET($B$15,$F$46-15,0,1,1),0)),""),IF($B$46="Start",IFERROR(INDEX($B$39:$E$39,MATCH(7&amp;","&amp;9,$B$40:$E$40,0)),""),"")))</f>
        <v>X</v>
      </c>
      <c r="I50" s="12" t="str">
        <f ca="1">IF(OR(8&gt;$B$5,9&gt;$B$6),"X",IF(IFERROR(INDEX(OFFSET($B$15,$D$46-15,0,1,1),MATCH(8&amp;","&amp;9,OFFSET($B$15,$F$46-15,0,1,1),0)),"")&lt;&gt;"",IFERROR(INDEX(OFFSET($B$15,$D$46-15,0,1,1),MATCH(8&amp;","&amp;9,OFFSET($B$15,$F$46-15,0,1,1),0)),""),IF($B$46="Start",IFERROR(INDEX($B$39:$E$39,MATCH(8&amp;","&amp;9,$B$40:$E$40,0)),""),"")))</f>
        <v>X</v>
      </c>
      <c r="J50" s="12" t="str">
        <f ca="1">IF(OR(9&gt;$B$5,9&gt;$B$6),"X",IF(IFERROR(INDEX(OFFSET($B$15,$D$46-15,0,1,1),MATCH(9&amp;","&amp;9,OFFSET($B$15,$F$46-15,0,1,1),0)),"")&lt;&gt;"",IFERROR(INDEX(OFFSET($B$15,$D$46-15,0,1,1),MATCH(9&amp;","&amp;9,OFFSET($B$15,$F$46-15,0,1,1),0)),""),IF($B$46="Start",IFERROR(INDEX($B$39:$E$39,MATCH(9&amp;","&amp;9,$B$40:$E$40,0)),""),"")))</f>
        <v>X</v>
      </c>
      <c r="K50" s="12" t="str">
        <f ca="1">IF(OR(10&gt;$B$5,9&gt;$B$6),"X",IF(IFERROR(INDEX(OFFSET($B$15,$D$46-15,0,1,1),MATCH(10&amp;","&amp;9,OFFSET($B$15,$F$46-15,0,1,1),0)),"")&lt;&gt;"",IFERROR(INDEX(OFFSET($B$15,$D$46-15,0,1,1),MATCH(10&amp;","&amp;9,OFFSET($B$15,$F$46-15,0,1,1),0)),""),IF($B$46="Start",IFERROR(INDEX($B$39:$E$39,MATCH(10&amp;","&amp;9,$B$40:$E$40,0)),""),"")))</f>
        <v>X</v>
      </c>
    </row>
    <row r="51" spans="1:11" x14ac:dyDescent="0.3">
      <c r="A51" s="11">
        <v>8</v>
      </c>
      <c r="B51" s="12" t="str">
        <f ca="1">IF(OR(1&gt;$B$5,8&gt;$B$6),"X",IF(IFERROR(INDEX(OFFSET($B$15,$D$46-15,0,1,1),MATCH(1&amp;","&amp;8,OFFSET($B$15,$F$46-15,0,1,1),0)),"")&lt;&gt;"",IFERROR(INDEX(OFFSET($B$15,$D$46-15,0,1,1),MATCH(1&amp;","&amp;8,OFFSET($B$15,$F$46-15,0,1,1),0)),""),IF($B$46="Start",IFERROR(INDEX($B$39:$E$39,MATCH(1&amp;","&amp;8,$B$40:$E$40,0)),""),"")))</f>
        <v>X</v>
      </c>
      <c r="C51" s="12" t="str">
        <f ca="1">IF(OR(2&gt;$B$5,8&gt;$B$6),"X",IF(IFERROR(INDEX(OFFSET($B$15,$D$46-15,0,1,1),MATCH(2&amp;","&amp;8,OFFSET($B$15,$F$46-15,0,1,1),0)),"")&lt;&gt;"",IFERROR(INDEX(OFFSET($B$15,$D$46-15,0,1,1),MATCH(2&amp;","&amp;8,OFFSET($B$15,$F$46-15,0,1,1),0)),""),IF($B$46="Start",IFERROR(INDEX($B$39:$E$39,MATCH(2&amp;","&amp;8,$B$40:$E$40,0)),""),"")))</f>
        <v>X</v>
      </c>
      <c r="D51" s="12" t="str">
        <f ca="1">IF(OR(3&gt;$B$5,8&gt;$B$6),"X",IF(IFERROR(INDEX(OFFSET($B$15,$D$46-15,0,1,1),MATCH(3&amp;","&amp;8,OFFSET($B$15,$F$46-15,0,1,1),0)),"")&lt;&gt;"",IFERROR(INDEX(OFFSET($B$15,$D$46-15,0,1,1),MATCH(3&amp;","&amp;8,OFFSET($B$15,$F$46-15,0,1,1),0)),""),IF($B$46="Start",IFERROR(INDEX($B$39:$E$39,MATCH(3&amp;","&amp;8,$B$40:$E$40,0)),""),"")))</f>
        <v>X</v>
      </c>
      <c r="E51" s="12" t="str">
        <f ca="1">IF(OR(4&gt;$B$5,8&gt;$B$6),"X",IF(IFERROR(INDEX(OFFSET($B$15,$D$46-15,0,1,1),MATCH(4&amp;","&amp;8,OFFSET($B$15,$F$46-15,0,1,1),0)),"")&lt;&gt;"",IFERROR(INDEX(OFFSET($B$15,$D$46-15,0,1,1),MATCH(4&amp;","&amp;8,OFFSET($B$15,$F$46-15,0,1,1),0)),""),IF($B$46="Start",IFERROR(INDEX($B$39:$E$39,MATCH(4&amp;","&amp;8,$B$40:$E$40,0)),""),"")))</f>
        <v>X</v>
      </c>
      <c r="F51" s="12" t="str">
        <f ca="1">IF(OR(5&gt;$B$5,8&gt;$B$6),"X",IF(IFERROR(INDEX(OFFSET($B$15,$D$46-15,0,1,1),MATCH(5&amp;","&amp;8,OFFSET($B$15,$F$46-15,0,1,1),0)),"")&lt;&gt;"",IFERROR(INDEX(OFFSET($B$15,$D$46-15,0,1,1),MATCH(5&amp;","&amp;8,OFFSET($B$15,$F$46-15,0,1,1),0)),""),IF($B$46="Start",IFERROR(INDEX($B$39:$E$39,MATCH(5&amp;","&amp;8,$B$40:$E$40,0)),""),"")))</f>
        <v>X</v>
      </c>
      <c r="G51" s="12" t="str">
        <f ca="1">IF(OR(6&gt;$B$5,8&gt;$B$6),"X",IF(IFERROR(INDEX(OFFSET($B$15,$D$46-15,0,1,1),MATCH(6&amp;","&amp;8,OFFSET($B$15,$F$46-15,0,1,1),0)),"")&lt;&gt;"",IFERROR(INDEX(OFFSET($B$15,$D$46-15,0,1,1),MATCH(6&amp;","&amp;8,OFFSET($B$15,$F$46-15,0,1,1),0)),""),IF($B$46="Start",IFERROR(INDEX($B$39:$E$39,MATCH(6&amp;","&amp;8,$B$40:$E$40,0)),""),"")))</f>
        <v>X</v>
      </c>
      <c r="H51" s="12" t="str">
        <f ca="1">IF(OR(7&gt;$B$5,8&gt;$B$6),"X",IF(IFERROR(INDEX(OFFSET($B$15,$D$46-15,0,1,1),MATCH(7&amp;","&amp;8,OFFSET($B$15,$F$46-15,0,1,1),0)),"")&lt;&gt;"",IFERROR(INDEX(OFFSET($B$15,$D$46-15,0,1,1),MATCH(7&amp;","&amp;8,OFFSET($B$15,$F$46-15,0,1,1),0)),""),IF($B$46="Start",IFERROR(INDEX($B$39:$E$39,MATCH(7&amp;","&amp;8,$B$40:$E$40,0)),""),"")))</f>
        <v>X</v>
      </c>
      <c r="I51" s="12" t="str">
        <f ca="1">IF(OR(8&gt;$B$5,8&gt;$B$6),"X",IF(IFERROR(INDEX(OFFSET($B$15,$D$46-15,0,1,1),MATCH(8&amp;","&amp;8,OFFSET($B$15,$F$46-15,0,1,1),0)),"")&lt;&gt;"",IFERROR(INDEX(OFFSET($B$15,$D$46-15,0,1,1),MATCH(8&amp;","&amp;8,OFFSET($B$15,$F$46-15,0,1,1),0)),""),IF($B$46="Start",IFERROR(INDEX($B$39:$E$39,MATCH(8&amp;","&amp;8,$B$40:$E$40,0)),""),"")))</f>
        <v>X</v>
      </c>
      <c r="J51" s="12" t="str">
        <f ca="1">IF(OR(9&gt;$B$5,8&gt;$B$6),"X",IF(IFERROR(INDEX(OFFSET($B$15,$D$46-15,0,1,1),MATCH(9&amp;","&amp;8,OFFSET($B$15,$F$46-15,0,1,1),0)),"")&lt;&gt;"",IFERROR(INDEX(OFFSET($B$15,$D$46-15,0,1,1),MATCH(9&amp;","&amp;8,OFFSET($B$15,$F$46-15,0,1,1),0)),""),IF($B$46="Start",IFERROR(INDEX($B$39:$E$39,MATCH(9&amp;","&amp;8,$B$40:$E$40,0)),""),"")))</f>
        <v>X</v>
      </c>
      <c r="K51" s="12" t="str">
        <f ca="1">IF(OR(10&gt;$B$5,8&gt;$B$6),"X",IF(IFERROR(INDEX(OFFSET($B$15,$D$46-15,0,1,1),MATCH(10&amp;","&amp;8,OFFSET($B$15,$F$46-15,0,1,1),0)),"")&lt;&gt;"",IFERROR(INDEX(OFFSET($B$15,$D$46-15,0,1,1),MATCH(10&amp;","&amp;8,OFFSET($B$15,$F$46-15,0,1,1),0)),""),IF($B$46="Start",IFERROR(INDEX($B$39:$E$39,MATCH(10&amp;","&amp;8,$B$40:$E$40,0)),""),"")))</f>
        <v>X</v>
      </c>
    </row>
    <row r="52" spans="1:11" x14ac:dyDescent="0.3">
      <c r="A52" s="11">
        <v>7</v>
      </c>
      <c r="B52" s="12" t="str">
        <f ca="1">IF(OR(1&gt;$B$5,7&gt;$B$6),"X",IF(IFERROR(INDEX(OFFSET($B$15,$D$46-15,0,1,1),MATCH(1&amp;","&amp;7,OFFSET($B$15,$F$46-15,0,1,1),0)),"")&lt;&gt;"",IFERROR(INDEX(OFFSET($B$15,$D$46-15,0,1,1),MATCH(1&amp;","&amp;7,OFFSET($B$15,$F$46-15,0,1,1),0)),""),IF($B$46="Start",IFERROR(INDEX($B$39:$E$39,MATCH(1&amp;","&amp;7,$B$40:$E$40,0)),""),"")))</f>
        <v>X</v>
      </c>
      <c r="C52" s="12" t="str">
        <f ca="1">IF(OR(2&gt;$B$5,7&gt;$B$6),"X",IF(IFERROR(INDEX(OFFSET($B$15,$D$46-15,0,1,1),MATCH(2&amp;","&amp;7,OFFSET($B$15,$F$46-15,0,1,1),0)),"")&lt;&gt;"",IFERROR(INDEX(OFFSET($B$15,$D$46-15,0,1,1),MATCH(2&amp;","&amp;7,OFFSET($B$15,$F$46-15,0,1,1),0)),""),IF($B$46="Start",IFERROR(INDEX($B$39:$E$39,MATCH(2&amp;","&amp;7,$B$40:$E$40,0)),""),"")))</f>
        <v>X</v>
      </c>
      <c r="D52" s="12" t="str">
        <f ca="1">IF(OR(3&gt;$B$5,7&gt;$B$6),"X",IF(IFERROR(INDEX(OFFSET($B$15,$D$46-15,0,1,1),MATCH(3&amp;","&amp;7,OFFSET($B$15,$F$46-15,0,1,1),0)),"")&lt;&gt;"",IFERROR(INDEX(OFFSET($B$15,$D$46-15,0,1,1),MATCH(3&amp;","&amp;7,OFFSET($B$15,$F$46-15,0,1,1),0)),""),IF($B$46="Start",IFERROR(INDEX($B$39:$E$39,MATCH(3&amp;","&amp;7,$B$40:$E$40,0)),""),"")))</f>
        <v>X</v>
      </c>
      <c r="E52" s="12" t="str">
        <f ca="1">IF(OR(4&gt;$B$5,7&gt;$B$6),"X",IF(IFERROR(INDEX(OFFSET($B$15,$D$46-15,0,1,1),MATCH(4&amp;","&amp;7,OFFSET($B$15,$F$46-15,0,1,1),0)),"")&lt;&gt;"",IFERROR(INDEX(OFFSET($B$15,$D$46-15,0,1,1),MATCH(4&amp;","&amp;7,OFFSET($B$15,$F$46-15,0,1,1),0)),""),IF($B$46="Start",IFERROR(INDEX($B$39:$E$39,MATCH(4&amp;","&amp;7,$B$40:$E$40,0)),""),"")))</f>
        <v>X</v>
      </c>
      <c r="F52" s="12" t="str">
        <f ca="1">IF(OR(5&gt;$B$5,7&gt;$B$6),"X",IF(IFERROR(INDEX(OFFSET($B$15,$D$46-15,0,1,1),MATCH(5&amp;","&amp;7,OFFSET($B$15,$F$46-15,0,1,1),0)),"")&lt;&gt;"",IFERROR(INDEX(OFFSET($B$15,$D$46-15,0,1,1),MATCH(5&amp;","&amp;7,OFFSET($B$15,$F$46-15,0,1,1),0)),""),IF($B$46="Start",IFERROR(INDEX($B$39:$E$39,MATCH(5&amp;","&amp;7,$B$40:$E$40,0)),""),"")))</f>
        <v>X</v>
      </c>
      <c r="G52" s="12" t="str">
        <f ca="1">IF(OR(6&gt;$B$5,7&gt;$B$6),"X",IF(IFERROR(INDEX(OFFSET($B$15,$D$46-15,0,1,1),MATCH(6&amp;","&amp;7,OFFSET($B$15,$F$46-15,0,1,1),0)),"")&lt;&gt;"",IFERROR(INDEX(OFFSET($B$15,$D$46-15,0,1,1),MATCH(6&amp;","&amp;7,OFFSET($B$15,$F$46-15,0,1,1),0)),""),IF($B$46="Start",IFERROR(INDEX($B$39:$E$39,MATCH(6&amp;","&amp;7,$B$40:$E$40,0)),""),"")))</f>
        <v>X</v>
      </c>
      <c r="H52" s="12" t="str">
        <f ca="1">IF(OR(7&gt;$B$5,7&gt;$B$6),"X",IF(IFERROR(INDEX(OFFSET($B$15,$D$46-15,0,1,1),MATCH(7&amp;","&amp;7,OFFSET($B$15,$F$46-15,0,1,1),0)),"")&lt;&gt;"",IFERROR(INDEX(OFFSET($B$15,$D$46-15,0,1,1),MATCH(7&amp;","&amp;7,OFFSET($B$15,$F$46-15,0,1,1),0)),""),IF($B$46="Start",IFERROR(INDEX($B$39:$E$39,MATCH(7&amp;","&amp;7,$B$40:$E$40,0)),""),"")))</f>
        <v>X</v>
      </c>
      <c r="I52" s="12" t="str">
        <f ca="1">IF(OR(8&gt;$B$5,7&gt;$B$6),"X",IF(IFERROR(INDEX(OFFSET($B$15,$D$46-15,0,1,1),MATCH(8&amp;","&amp;7,OFFSET($B$15,$F$46-15,0,1,1),0)),"")&lt;&gt;"",IFERROR(INDEX(OFFSET($B$15,$D$46-15,0,1,1),MATCH(8&amp;","&amp;7,OFFSET($B$15,$F$46-15,0,1,1),0)),""),IF($B$46="Start",IFERROR(INDEX($B$39:$E$39,MATCH(8&amp;","&amp;7,$B$40:$E$40,0)),""),"")))</f>
        <v>X</v>
      </c>
      <c r="J52" s="12" t="str">
        <f ca="1">IF(OR(9&gt;$B$5,7&gt;$B$6),"X",IF(IFERROR(INDEX(OFFSET($B$15,$D$46-15,0,1,1),MATCH(9&amp;","&amp;7,OFFSET($B$15,$F$46-15,0,1,1),0)),"")&lt;&gt;"",IFERROR(INDEX(OFFSET($B$15,$D$46-15,0,1,1),MATCH(9&amp;","&amp;7,OFFSET($B$15,$F$46-15,0,1,1),0)),""),IF($B$46="Start",IFERROR(INDEX($B$39:$E$39,MATCH(9&amp;","&amp;7,$B$40:$E$40,0)),""),"")))</f>
        <v>X</v>
      </c>
      <c r="K52" s="12" t="str">
        <f ca="1">IF(OR(10&gt;$B$5,7&gt;$B$6),"X",IF(IFERROR(INDEX(OFFSET($B$15,$D$46-15,0,1,1),MATCH(10&amp;","&amp;7,OFFSET($B$15,$F$46-15,0,1,1),0)),"")&lt;&gt;"",IFERROR(INDEX(OFFSET($B$15,$D$46-15,0,1,1),MATCH(10&amp;","&amp;7,OFFSET($B$15,$F$46-15,0,1,1),0)),""),IF($B$46="Start",IFERROR(INDEX($B$39:$E$39,MATCH(10&amp;","&amp;7,$B$40:$E$40,0)),""),"")))</f>
        <v>X</v>
      </c>
    </row>
    <row r="53" spans="1:11" x14ac:dyDescent="0.3">
      <c r="A53" s="11">
        <v>6</v>
      </c>
      <c r="B53" s="12" t="str">
        <f ca="1">IF(OR(1&gt;$B$5,6&gt;$B$6),"X",IF(IFERROR(INDEX(OFFSET($B$15,$D$46-15,0,1,1),MATCH(1&amp;","&amp;6,OFFSET($B$15,$F$46-15,0,1,1),0)),"")&lt;&gt;"",IFERROR(INDEX(OFFSET($B$15,$D$46-15,0,1,1),MATCH(1&amp;","&amp;6,OFFSET($B$15,$F$46-15,0,1,1),0)),""),IF($B$46="Start",IFERROR(INDEX($B$39:$E$39,MATCH(1&amp;","&amp;6,$B$40:$E$40,0)),""),"")))</f>
        <v/>
      </c>
      <c r="C53" s="12" t="str">
        <f ca="1">IF(OR(2&gt;$B$5,6&gt;$B$6),"X",IF(IFERROR(INDEX(OFFSET($B$15,$D$46-15,0,1,1),MATCH(2&amp;","&amp;6,OFFSET($B$15,$F$46-15,0,1,1),0)),"")&lt;&gt;"",IFERROR(INDEX(OFFSET($B$15,$D$46-15,0,1,1),MATCH(2&amp;","&amp;6,OFFSET($B$15,$F$46-15,0,1,1),0)),""),IF($B$46="Start",IFERROR(INDEX($B$39:$E$39,MATCH(2&amp;","&amp;6,$B$40:$E$40,0)),""),"")))</f>
        <v/>
      </c>
      <c r="D53" s="12" t="str">
        <f ca="1">IF(OR(3&gt;$B$5,6&gt;$B$6),"X",IF(IFERROR(INDEX(OFFSET($B$15,$D$46-15,0,1,1),MATCH(3&amp;","&amp;6,OFFSET($B$15,$F$46-15,0,1,1),0)),"")&lt;&gt;"",IFERROR(INDEX(OFFSET($B$15,$D$46-15,0,1,1),MATCH(3&amp;","&amp;6,OFFSET($B$15,$F$46-15,0,1,1),0)),""),IF($B$46="Start",IFERROR(INDEX($B$39:$E$39,MATCH(3&amp;","&amp;6,$B$40:$E$40,0)),""),"")))</f>
        <v/>
      </c>
      <c r="E53" s="12" t="str">
        <f ca="1">IF(OR(4&gt;$B$5,6&gt;$B$6),"X",IF(IFERROR(INDEX(OFFSET($B$15,$D$46-15,0,1,1),MATCH(4&amp;","&amp;6,OFFSET($B$15,$F$46-15,0,1,1),0)),"")&lt;&gt;"",IFERROR(INDEX(OFFSET($B$15,$D$46-15,0,1,1),MATCH(4&amp;","&amp;6,OFFSET($B$15,$F$46-15,0,1,1),0)),""),IF($B$46="Start",IFERROR(INDEX($B$39:$E$39,MATCH(4&amp;","&amp;6,$B$40:$E$40,0)),""),"")))</f>
        <v>X</v>
      </c>
      <c r="F53" s="12" t="str">
        <f ca="1">IF(OR(5&gt;$B$5,6&gt;$B$6),"X",IF(IFERROR(INDEX(OFFSET($B$15,$D$46-15,0,1,1),MATCH(5&amp;","&amp;6,OFFSET($B$15,$F$46-15,0,1,1),0)),"")&lt;&gt;"",IFERROR(INDEX(OFFSET($B$15,$D$46-15,0,1,1),MATCH(5&amp;","&amp;6,OFFSET($B$15,$F$46-15,0,1,1),0)),""),IF($B$46="Start",IFERROR(INDEX($B$39:$E$39,MATCH(5&amp;","&amp;6,$B$40:$E$40,0)),""),"")))</f>
        <v>X</v>
      </c>
      <c r="G53" s="12" t="str">
        <f ca="1">IF(OR(6&gt;$B$5,6&gt;$B$6),"X",IF(IFERROR(INDEX(OFFSET($B$15,$D$46-15,0,1,1),MATCH(6&amp;","&amp;6,OFFSET($B$15,$F$46-15,0,1,1),0)),"")&lt;&gt;"",IFERROR(INDEX(OFFSET($B$15,$D$46-15,0,1,1),MATCH(6&amp;","&amp;6,OFFSET($B$15,$F$46-15,0,1,1),0)),""),IF($B$46="Start",IFERROR(INDEX($B$39:$E$39,MATCH(6&amp;","&amp;6,$B$40:$E$40,0)),""),"")))</f>
        <v>X</v>
      </c>
      <c r="H53" s="12" t="str">
        <f ca="1">IF(OR(7&gt;$B$5,6&gt;$B$6),"X",IF(IFERROR(INDEX(OFFSET($B$15,$D$46-15,0,1,1),MATCH(7&amp;","&amp;6,OFFSET($B$15,$F$46-15,0,1,1),0)),"")&lt;&gt;"",IFERROR(INDEX(OFFSET($B$15,$D$46-15,0,1,1),MATCH(7&amp;","&amp;6,OFFSET($B$15,$F$46-15,0,1,1),0)),""),IF($B$46="Start",IFERROR(INDEX($B$39:$E$39,MATCH(7&amp;","&amp;6,$B$40:$E$40,0)),""),"")))</f>
        <v>X</v>
      </c>
      <c r="I53" s="12" t="str">
        <f ca="1">IF(OR(8&gt;$B$5,6&gt;$B$6),"X",IF(IFERROR(INDEX(OFFSET($B$15,$D$46-15,0,1,1),MATCH(8&amp;","&amp;6,OFFSET($B$15,$F$46-15,0,1,1),0)),"")&lt;&gt;"",IFERROR(INDEX(OFFSET($B$15,$D$46-15,0,1,1),MATCH(8&amp;","&amp;6,OFFSET($B$15,$F$46-15,0,1,1),0)),""),IF($B$46="Start",IFERROR(INDEX($B$39:$E$39,MATCH(8&amp;","&amp;6,$B$40:$E$40,0)),""),"")))</f>
        <v>X</v>
      </c>
      <c r="J53" s="12" t="str">
        <f ca="1">IF(OR(9&gt;$B$5,6&gt;$B$6),"X",IF(IFERROR(INDEX(OFFSET($B$15,$D$46-15,0,1,1),MATCH(9&amp;","&amp;6,OFFSET($B$15,$F$46-15,0,1,1),0)),"")&lt;&gt;"",IFERROR(INDEX(OFFSET($B$15,$D$46-15,0,1,1),MATCH(9&amp;","&amp;6,OFFSET($B$15,$F$46-15,0,1,1),0)),""),IF($B$46="Start",IFERROR(INDEX($B$39:$E$39,MATCH(9&amp;","&amp;6,$B$40:$E$40,0)),""),"")))</f>
        <v>X</v>
      </c>
      <c r="K53" s="12" t="str">
        <f ca="1">IF(OR(10&gt;$B$5,6&gt;$B$6),"X",IF(IFERROR(INDEX(OFFSET($B$15,$D$46-15,0,1,1),MATCH(10&amp;","&amp;6,OFFSET($B$15,$F$46-15,0,1,1),0)),"")&lt;&gt;"",IFERROR(INDEX(OFFSET($B$15,$D$46-15,0,1,1),MATCH(10&amp;","&amp;6,OFFSET($B$15,$F$46-15,0,1,1),0)),""),IF($B$46="Start",IFERROR(INDEX($B$39:$E$39,MATCH(10&amp;","&amp;6,$B$40:$E$40,0)),""),"")))</f>
        <v>X</v>
      </c>
    </row>
    <row r="54" spans="1:11" x14ac:dyDescent="0.3">
      <c r="A54" s="11">
        <v>5</v>
      </c>
      <c r="B54" s="12" t="str">
        <f ca="1">IF(OR(1&gt;$B$5,5&gt;$B$6),"X",IF(IFERROR(INDEX(OFFSET($B$15,$D$46-15,0,1,1),MATCH(1&amp;","&amp;5,OFFSET($B$15,$F$46-15,0,1,1),0)),"")&lt;&gt;"",IFERROR(INDEX(OFFSET($B$15,$D$46-15,0,1,1),MATCH(1&amp;","&amp;5,OFFSET($B$15,$F$46-15,0,1,1),0)),""),IF($B$46="Start",IFERROR(INDEX($B$39:$E$39,MATCH(1&amp;","&amp;5,$B$40:$E$40,0)),""),"")))</f>
        <v/>
      </c>
      <c r="C54" s="12" t="str">
        <f ca="1">IF(OR(2&gt;$B$5,5&gt;$B$6),"X",IF(IFERROR(INDEX(OFFSET($B$15,$D$46-15,0,1,1),MATCH(2&amp;","&amp;5,OFFSET($B$15,$F$46-15,0,1,1),0)),"")&lt;&gt;"",IFERROR(INDEX(OFFSET($B$15,$D$46-15,0,1,1),MATCH(2&amp;","&amp;5,OFFSET($B$15,$F$46-15,0,1,1),0)),""),IF($B$46="Start",IFERROR(INDEX($B$39:$E$39,MATCH(2&amp;","&amp;5,$B$40:$E$40,0)),""),"")))</f>
        <v/>
      </c>
      <c r="D54" s="12" t="str">
        <f ca="1">IF(OR(3&gt;$B$5,5&gt;$B$6),"X",IF(IFERROR(INDEX(OFFSET($B$15,$D$46-15,0,1,1),MATCH(3&amp;","&amp;5,OFFSET($B$15,$F$46-15,0,1,1),0)),"")&lt;&gt;"",IFERROR(INDEX(OFFSET($B$15,$D$46-15,0,1,1),MATCH(3&amp;","&amp;5,OFFSET($B$15,$F$46-15,0,1,1),0)),""),IF($B$46="Start",IFERROR(INDEX($B$39:$E$39,MATCH(3&amp;","&amp;5,$B$40:$E$40,0)),""),"")))</f>
        <v/>
      </c>
      <c r="E54" s="12" t="str">
        <f ca="1">IF(OR(4&gt;$B$5,5&gt;$B$6),"X",IF(IFERROR(INDEX(OFFSET($B$15,$D$46-15,0,1,1),MATCH(4&amp;","&amp;5,OFFSET($B$15,$F$46-15,0,1,1),0)),"")&lt;&gt;"",IFERROR(INDEX(OFFSET($B$15,$D$46-15,0,1,1),MATCH(4&amp;","&amp;5,OFFSET($B$15,$F$46-15,0,1,1),0)),""),IF($B$46="Start",IFERROR(INDEX($B$39:$E$39,MATCH(4&amp;","&amp;5,$B$40:$E$40,0)),""),"")))</f>
        <v>X</v>
      </c>
      <c r="F54" s="12" t="str">
        <f ca="1">IF(OR(5&gt;$B$5,5&gt;$B$6),"X",IF(IFERROR(INDEX(OFFSET($B$15,$D$46-15,0,1,1),MATCH(5&amp;","&amp;5,OFFSET($B$15,$F$46-15,0,1,1),0)),"")&lt;&gt;"",IFERROR(INDEX(OFFSET($B$15,$D$46-15,0,1,1),MATCH(5&amp;","&amp;5,OFFSET($B$15,$F$46-15,0,1,1),0)),""),IF($B$46="Start",IFERROR(INDEX($B$39:$E$39,MATCH(5&amp;","&amp;5,$B$40:$E$40,0)),""),"")))</f>
        <v>X</v>
      </c>
      <c r="G54" s="12" t="str">
        <f ca="1">IF(OR(6&gt;$B$5,5&gt;$B$6),"X",IF(IFERROR(INDEX(OFFSET($B$15,$D$46-15,0,1,1),MATCH(6&amp;","&amp;5,OFFSET($B$15,$F$46-15,0,1,1),0)),"")&lt;&gt;"",IFERROR(INDEX(OFFSET($B$15,$D$46-15,0,1,1),MATCH(6&amp;","&amp;5,OFFSET($B$15,$F$46-15,0,1,1),0)),""),IF($B$46="Start",IFERROR(INDEX($B$39:$E$39,MATCH(6&amp;","&amp;5,$B$40:$E$40,0)),""),"")))</f>
        <v>X</v>
      </c>
      <c r="H54" s="12" t="str">
        <f ca="1">IF(OR(7&gt;$B$5,5&gt;$B$6),"X",IF(IFERROR(INDEX(OFFSET($B$15,$D$46-15,0,1,1),MATCH(7&amp;","&amp;5,OFFSET($B$15,$F$46-15,0,1,1),0)),"")&lt;&gt;"",IFERROR(INDEX(OFFSET($B$15,$D$46-15,0,1,1),MATCH(7&amp;","&amp;5,OFFSET($B$15,$F$46-15,0,1,1),0)),""),IF($B$46="Start",IFERROR(INDEX($B$39:$E$39,MATCH(7&amp;","&amp;5,$B$40:$E$40,0)),""),"")))</f>
        <v>X</v>
      </c>
      <c r="I54" s="12" t="str">
        <f ca="1">IF(OR(8&gt;$B$5,5&gt;$B$6),"X",IF(IFERROR(INDEX(OFFSET($B$15,$D$46-15,0,1,1),MATCH(8&amp;","&amp;5,OFFSET($B$15,$F$46-15,0,1,1),0)),"")&lt;&gt;"",IFERROR(INDEX(OFFSET($B$15,$D$46-15,0,1,1),MATCH(8&amp;","&amp;5,OFFSET($B$15,$F$46-15,0,1,1),0)),""),IF($B$46="Start",IFERROR(INDEX($B$39:$E$39,MATCH(8&amp;","&amp;5,$B$40:$E$40,0)),""),"")))</f>
        <v>X</v>
      </c>
      <c r="J54" s="12" t="str">
        <f ca="1">IF(OR(9&gt;$B$5,5&gt;$B$6),"X",IF(IFERROR(INDEX(OFFSET($B$15,$D$46-15,0,1,1),MATCH(9&amp;","&amp;5,OFFSET($B$15,$F$46-15,0,1,1),0)),"")&lt;&gt;"",IFERROR(INDEX(OFFSET($B$15,$D$46-15,0,1,1),MATCH(9&amp;","&amp;5,OFFSET($B$15,$F$46-15,0,1,1),0)),""),IF($B$46="Start",IFERROR(INDEX($B$39:$E$39,MATCH(9&amp;","&amp;5,$B$40:$E$40,0)),""),"")))</f>
        <v>X</v>
      </c>
      <c r="K54" s="12" t="str">
        <f ca="1">IF(OR(10&gt;$B$5,5&gt;$B$6),"X",IF(IFERROR(INDEX(OFFSET($B$15,$D$46-15,0,1,1),MATCH(10&amp;","&amp;5,OFFSET($B$15,$F$46-15,0,1,1),0)),"")&lt;&gt;"",IFERROR(INDEX(OFFSET($B$15,$D$46-15,0,1,1),MATCH(10&amp;","&amp;5,OFFSET($B$15,$F$46-15,0,1,1),0)),""),IF($B$46="Start",IFERROR(INDEX($B$39:$E$39,MATCH(10&amp;","&amp;5,$B$40:$E$40,0)),""),"")))</f>
        <v>X</v>
      </c>
    </row>
    <row r="55" spans="1:11" x14ac:dyDescent="0.3">
      <c r="A55" s="11">
        <v>4</v>
      </c>
      <c r="B55" s="12" t="str">
        <f ca="1">IF(OR(1&gt;$B$5,4&gt;$B$6),"X",IF(IFERROR(INDEX(OFFSET($B$15,$D$46-15,0,1,1),MATCH(1&amp;","&amp;4,OFFSET($B$15,$F$46-15,0,1,1),0)),"")&lt;&gt;"",IFERROR(INDEX(OFFSET($B$15,$D$46-15,0,1,1),MATCH(1&amp;","&amp;4,OFFSET($B$15,$F$46-15,0,1,1),0)),""),IF($B$46="Start",IFERROR(INDEX($B$39:$E$39,MATCH(1&amp;","&amp;4,$B$40:$E$40,0)),""),"")))</f>
        <v/>
      </c>
      <c r="C55" s="12" t="str">
        <f ca="1">IF(OR(2&gt;$B$5,4&gt;$B$6),"X",IF(IFERROR(INDEX(OFFSET($B$15,$D$46-15,0,1,1),MATCH(2&amp;","&amp;4,OFFSET($B$15,$F$46-15,0,1,1),0)),"")&lt;&gt;"",IFERROR(INDEX(OFFSET($B$15,$D$46-15,0,1,1),MATCH(2&amp;","&amp;4,OFFSET($B$15,$F$46-15,0,1,1),0)),""),IF($B$46="Start",IFERROR(INDEX($B$39:$E$39,MATCH(2&amp;","&amp;4,$B$40:$E$40,0)),""),"")))</f>
        <v/>
      </c>
      <c r="D55" s="12" t="str">
        <f ca="1">IF(OR(3&gt;$B$5,4&gt;$B$6),"X",IF(IFERROR(INDEX(OFFSET($B$15,$D$46-15,0,1,1),MATCH(3&amp;","&amp;4,OFFSET($B$15,$F$46-15,0,1,1),0)),"")&lt;&gt;"",IFERROR(INDEX(OFFSET($B$15,$D$46-15,0,1,1),MATCH(3&amp;","&amp;4,OFFSET($B$15,$F$46-15,0,1,1),0)),""),IF($B$46="Start",IFERROR(INDEX($B$39:$E$39,MATCH(3&amp;","&amp;4,$B$40:$E$40,0)),""),"")))</f>
        <v/>
      </c>
      <c r="E55" s="12" t="str">
        <f ca="1">IF(OR(4&gt;$B$5,4&gt;$B$6),"X",IF(IFERROR(INDEX(OFFSET($B$15,$D$46-15,0,1,1),MATCH(4&amp;","&amp;4,OFFSET($B$15,$F$46-15,0,1,1),0)),"")&lt;&gt;"",IFERROR(INDEX(OFFSET($B$15,$D$46-15,0,1,1),MATCH(4&amp;","&amp;4,OFFSET($B$15,$F$46-15,0,1,1),0)),""),IF($B$46="Start",IFERROR(INDEX($B$39:$E$39,MATCH(4&amp;","&amp;4,$B$40:$E$40,0)),""),"")))</f>
        <v>X</v>
      </c>
      <c r="F55" s="12" t="str">
        <f ca="1">IF(OR(5&gt;$B$5,4&gt;$B$6),"X",IF(IFERROR(INDEX(OFFSET($B$15,$D$46-15,0,1,1),MATCH(5&amp;","&amp;4,OFFSET($B$15,$F$46-15,0,1,1),0)),"")&lt;&gt;"",IFERROR(INDEX(OFFSET($B$15,$D$46-15,0,1,1),MATCH(5&amp;","&amp;4,OFFSET($B$15,$F$46-15,0,1,1),0)),""),IF($B$46="Start",IFERROR(INDEX($B$39:$E$39,MATCH(5&amp;","&amp;4,$B$40:$E$40,0)),""),"")))</f>
        <v>X</v>
      </c>
      <c r="G55" s="12" t="str">
        <f ca="1">IF(OR(6&gt;$B$5,4&gt;$B$6),"X",IF(IFERROR(INDEX(OFFSET($B$15,$D$46-15,0,1,1),MATCH(6&amp;","&amp;4,OFFSET($B$15,$F$46-15,0,1,1),0)),"")&lt;&gt;"",IFERROR(INDEX(OFFSET($B$15,$D$46-15,0,1,1),MATCH(6&amp;","&amp;4,OFFSET($B$15,$F$46-15,0,1,1),0)),""),IF($B$46="Start",IFERROR(INDEX($B$39:$E$39,MATCH(6&amp;","&amp;4,$B$40:$E$40,0)),""),"")))</f>
        <v>X</v>
      </c>
      <c r="H55" s="12" t="str">
        <f ca="1">IF(OR(7&gt;$B$5,4&gt;$B$6),"X",IF(IFERROR(INDEX(OFFSET($B$15,$D$46-15,0,1,1),MATCH(7&amp;","&amp;4,OFFSET($B$15,$F$46-15,0,1,1),0)),"")&lt;&gt;"",IFERROR(INDEX(OFFSET($B$15,$D$46-15,0,1,1),MATCH(7&amp;","&amp;4,OFFSET($B$15,$F$46-15,0,1,1),0)),""),IF($B$46="Start",IFERROR(INDEX($B$39:$E$39,MATCH(7&amp;","&amp;4,$B$40:$E$40,0)),""),"")))</f>
        <v>X</v>
      </c>
      <c r="I55" s="12" t="str">
        <f ca="1">IF(OR(8&gt;$B$5,4&gt;$B$6),"X",IF(IFERROR(INDEX(OFFSET($B$15,$D$46-15,0,1,1),MATCH(8&amp;","&amp;4,OFFSET($B$15,$F$46-15,0,1,1),0)),"")&lt;&gt;"",IFERROR(INDEX(OFFSET($B$15,$D$46-15,0,1,1),MATCH(8&amp;","&amp;4,OFFSET($B$15,$F$46-15,0,1,1),0)),""),IF($B$46="Start",IFERROR(INDEX($B$39:$E$39,MATCH(8&amp;","&amp;4,$B$40:$E$40,0)),""),"")))</f>
        <v>X</v>
      </c>
      <c r="J55" s="12" t="str">
        <f ca="1">IF(OR(9&gt;$B$5,4&gt;$B$6),"X",IF(IFERROR(INDEX(OFFSET($B$15,$D$46-15,0,1,1),MATCH(9&amp;","&amp;4,OFFSET($B$15,$F$46-15,0,1,1),0)),"")&lt;&gt;"",IFERROR(INDEX(OFFSET($B$15,$D$46-15,0,1,1),MATCH(9&amp;","&amp;4,OFFSET($B$15,$F$46-15,0,1,1),0)),""),IF($B$46="Start",IFERROR(INDEX($B$39:$E$39,MATCH(9&amp;","&amp;4,$B$40:$E$40,0)),""),"")))</f>
        <v>X</v>
      </c>
      <c r="K55" s="12" t="str">
        <f ca="1">IF(OR(10&gt;$B$5,4&gt;$B$6),"X",IF(IFERROR(INDEX(OFFSET($B$15,$D$46-15,0,1,1),MATCH(10&amp;","&amp;4,OFFSET($B$15,$F$46-15,0,1,1),0)),"")&lt;&gt;"",IFERROR(INDEX(OFFSET($B$15,$D$46-15,0,1,1),MATCH(10&amp;","&amp;4,OFFSET($B$15,$F$46-15,0,1,1),0)),""),IF($B$46="Start",IFERROR(INDEX($B$39:$E$39,MATCH(10&amp;","&amp;4,$B$40:$E$40,0)),""),"")))</f>
        <v>X</v>
      </c>
    </row>
    <row r="56" spans="1:11" x14ac:dyDescent="0.3">
      <c r="A56" s="11">
        <v>3</v>
      </c>
      <c r="B56" s="12" t="str">
        <f ca="1">IF(OR(1&gt;$B$5,3&gt;$B$6),"X",IF(IFERROR(INDEX(OFFSET($B$15,$D$46-15,0,1,1),MATCH(1&amp;","&amp;3,OFFSET($B$15,$F$46-15,0,1,1),0)),"")&lt;&gt;"",IFERROR(INDEX(OFFSET($B$15,$D$46-15,0,1,1),MATCH(1&amp;","&amp;3,OFFSET($B$15,$F$46-15,0,1,1),0)),""),IF($B$46="Start",IFERROR(INDEX($B$39:$E$39,MATCH(1&amp;","&amp;3,$B$40:$E$40,0)),""),"")))</f>
        <v/>
      </c>
      <c r="C56" s="12" t="str">
        <f ca="1">IF(OR(2&gt;$B$5,3&gt;$B$6),"X",IF(IFERROR(INDEX(OFFSET($B$15,$D$46-15,0,1,1),MATCH(2&amp;","&amp;3,OFFSET($B$15,$F$46-15,0,1,1),0)),"")&lt;&gt;"",IFERROR(INDEX(OFFSET($B$15,$D$46-15,0,1,1),MATCH(2&amp;","&amp;3,OFFSET($B$15,$F$46-15,0,1,1),0)),""),IF($B$46="Start",IFERROR(INDEX($B$39:$E$39,MATCH(2&amp;","&amp;3,$B$40:$E$40,0)),""),"")))</f>
        <v>P2</v>
      </c>
      <c r="D56" s="12" t="str">
        <f ca="1">IF(OR(3&gt;$B$5,3&gt;$B$6),"X",IF(IFERROR(INDEX(OFFSET($B$15,$D$46-15,0,1,1),MATCH(3&amp;","&amp;3,OFFSET($B$15,$F$46-15,0,1,1),0)),"")&lt;&gt;"",IFERROR(INDEX(OFFSET($B$15,$D$46-15,0,1,1),MATCH(3&amp;","&amp;3,OFFSET($B$15,$F$46-15,0,1,1),0)),""),IF($B$46="Start",IFERROR(INDEX($B$39:$E$39,MATCH(3&amp;","&amp;3,$B$40:$E$40,0)),""),"")))</f>
        <v>P1</v>
      </c>
      <c r="E56" s="12" t="str">
        <f ca="1">IF(OR(4&gt;$B$5,3&gt;$B$6),"X",IF(IFERROR(INDEX(OFFSET($B$15,$D$46-15,0,1,1),MATCH(4&amp;","&amp;3,OFFSET($B$15,$F$46-15,0,1,1),0)),"")&lt;&gt;"",IFERROR(INDEX(OFFSET($B$15,$D$46-15,0,1,1),MATCH(4&amp;","&amp;3,OFFSET($B$15,$F$46-15,0,1,1),0)),""),IF($B$46="Start",IFERROR(INDEX($B$39:$E$39,MATCH(4&amp;","&amp;3,$B$40:$E$40,0)),""),"")))</f>
        <v>X</v>
      </c>
      <c r="F56" s="12" t="str">
        <f ca="1">IF(OR(5&gt;$B$5,3&gt;$B$6),"X",IF(IFERROR(INDEX(OFFSET($B$15,$D$46-15,0,1,1),MATCH(5&amp;","&amp;3,OFFSET($B$15,$F$46-15,0,1,1),0)),"")&lt;&gt;"",IFERROR(INDEX(OFFSET($B$15,$D$46-15,0,1,1),MATCH(5&amp;","&amp;3,OFFSET($B$15,$F$46-15,0,1,1),0)),""),IF($B$46="Start",IFERROR(INDEX($B$39:$E$39,MATCH(5&amp;","&amp;3,$B$40:$E$40,0)),""),"")))</f>
        <v>X</v>
      </c>
      <c r="G56" s="12" t="str">
        <f ca="1">IF(OR(6&gt;$B$5,3&gt;$B$6),"X",IF(IFERROR(INDEX(OFFSET($B$15,$D$46-15,0,1,1),MATCH(6&amp;","&amp;3,OFFSET($B$15,$F$46-15,0,1,1),0)),"")&lt;&gt;"",IFERROR(INDEX(OFFSET($B$15,$D$46-15,0,1,1),MATCH(6&amp;","&amp;3,OFFSET($B$15,$F$46-15,0,1,1),0)),""),IF($B$46="Start",IFERROR(INDEX($B$39:$E$39,MATCH(6&amp;","&amp;3,$B$40:$E$40,0)),""),"")))</f>
        <v>X</v>
      </c>
      <c r="H56" s="12" t="str">
        <f ca="1">IF(OR(7&gt;$B$5,3&gt;$B$6),"X",IF(IFERROR(INDEX(OFFSET($B$15,$D$46-15,0,1,1),MATCH(7&amp;","&amp;3,OFFSET($B$15,$F$46-15,0,1,1),0)),"")&lt;&gt;"",IFERROR(INDEX(OFFSET($B$15,$D$46-15,0,1,1),MATCH(7&amp;","&amp;3,OFFSET($B$15,$F$46-15,0,1,1),0)),""),IF($B$46="Start",IFERROR(INDEX($B$39:$E$39,MATCH(7&amp;","&amp;3,$B$40:$E$40,0)),""),"")))</f>
        <v>X</v>
      </c>
      <c r="I56" s="12" t="str">
        <f ca="1">IF(OR(8&gt;$B$5,3&gt;$B$6),"X",IF(IFERROR(INDEX(OFFSET($B$15,$D$46-15,0,1,1),MATCH(8&amp;","&amp;3,OFFSET($B$15,$F$46-15,0,1,1),0)),"")&lt;&gt;"",IFERROR(INDEX(OFFSET($B$15,$D$46-15,0,1,1),MATCH(8&amp;","&amp;3,OFFSET($B$15,$F$46-15,0,1,1),0)),""),IF($B$46="Start",IFERROR(INDEX($B$39:$E$39,MATCH(8&amp;","&amp;3,$B$40:$E$40,0)),""),"")))</f>
        <v>X</v>
      </c>
      <c r="J56" s="12" t="str">
        <f ca="1">IF(OR(9&gt;$B$5,3&gt;$B$6),"X",IF(IFERROR(INDEX(OFFSET($B$15,$D$46-15,0,1,1),MATCH(9&amp;","&amp;3,OFFSET($B$15,$F$46-15,0,1,1),0)),"")&lt;&gt;"",IFERROR(INDEX(OFFSET($B$15,$D$46-15,0,1,1),MATCH(9&amp;","&amp;3,OFFSET($B$15,$F$46-15,0,1,1),0)),""),IF($B$46="Start",IFERROR(INDEX($B$39:$E$39,MATCH(9&amp;","&amp;3,$B$40:$E$40,0)),""),"")))</f>
        <v>X</v>
      </c>
      <c r="K56" s="12" t="str">
        <f ca="1">IF(OR(10&gt;$B$5,3&gt;$B$6),"X",IF(IFERROR(INDEX(OFFSET($B$15,$D$46-15,0,1,1),MATCH(10&amp;","&amp;3,OFFSET($B$15,$F$46-15,0,1,1),0)),"")&lt;&gt;"",IFERROR(INDEX(OFFSET($B$15,$D$46-15,0,1,1),MATCH(10&amp;","&amp;3,OFFSET($B$15,$F$46-15,0,1,1),0)),""),IF($B$46="Start",IFERROR(INDEX($B$39:$E$39,MATCH(10&amp;","&amp;3,$B$40:$E$40,0)),""),"")))</f>
        <v>X</v>
      </c>
    </row>
    <row r="57" spans="1:11" x14ac:dyDescent="0.3">
      <c r="A57" s="11">
        <v>2</v>
      </c>
      <c r="B57" s="12" t="str">
        <f ca="1">IF(OR(1&gt;$B$5,2&gt;$B$6),"X",IF(IFERROR(INDEX(OFFSET($B$15,$D$46-15,0,1,1),MATCH(1&amp;","&amp;2,OFFSET($B$15,$F$46-15,0,1,1),0)),"")&lt;&gt;"",IFERROR(INDEX(OFFSET($B$15,$D$46-15,0,1,1),MATCH(1&amp;","&amp;2,OFFSET($B$15,$F$46-15,0,1,1),0)),""),IF($B$46="Start",IFERROR(INDEX($B$39:$E$39,MATCH(1&amp;","&amp;2,$B$40:$E$40,0)),""),"")))</f>
        <v/>
      </c>
      <c r="C57" s="12" t="str">
        <f ca="1">IF(OR(2&gt;$B$5,2&gt;$B$6),"X",IF(IFERROR(INDEX(OFFSET($B$15,$D$46-15,0,1,1),MATCH(2&amp;","&amp;2,OFFSET($B$15,$F$46-15,0,1,1),0)),"")&lt;&gt;"",IFERROR(INDEX(OFFSET($B$15,$D$46-15,0,1,1),MATCH(2&amp;","&amp;2,OFFSET($B$15,$F$46-15,0,1,1),0)),""),IF($B$46="Start",IFERROR(INDEX($B$39:$E$39,MATCH(2&amp;","&amp;2,$B$40:$E$40,0)),""),"")))</f>
        <v/>
      </c>
      <c r="D57" s="12" t="str">
        <f ca="1">IF(OR(3&gt;$B$5,2&gt;$B$6),"X",IF(IFERROR(INDEX(OFFSET($B$15,$D$46-15,0,1,1),MATCH(3&amp;","&amp;2,OFFSET($B$15,$F$46-15,0,1,1),0)),"")&lt;&gt;"",IFERROR(INDEX(OFFSET($B$15,$D$46-15,0,1,1),MATCH(3&amp;","&amp;2,OFFSET($B$15,$F$46-15,0,1,1),0)),""),IF($B$46="Start",IFERROR(INDEX($B$39:$E$39,MATCH(3&amp;","&amp;2,$B$40:$E$40,0)),""),"")))</f>
        <v/>
      </c>
      <c r="E57" s="12" t="str">
        <f ca="1">IF(OR(4&gt;$B$5,2&gt;$B$6),"X",IF(IFERROR(INDEX(OFFSET($B$15,$D$46-15,0,1,1),MATCH(4&amp;","&amp;2,OFFSET($B$15,$F$46-15,0,1,1),0)),"")&lt;&gt;"",IFERROR(INDEX(OFFSET($B$15,$D$46-15,0,1,1),MATCH(4&amp;","&amp;2,OFFSET($B$15,$F$46-15,0,1,1),0)),""),IF($B$46="Start",IFERROR(INDEX($B$39:$E$39,MATCH(4&amp;","&amp;2,$B$40:$E$40,0)),""),"")))</f>
        <v>X</v>
      </c>
      <c r="F57" s="12" t="str">
        <f ca="1">IF(OR(5&gt;$B$5,2&gt;$B$6),"X",IF(IFERROR(INDEX(OFFSET($B$15,$D$46-15,0,1,1),MATCH(5&amp;","&amp;2,OFFSET($B$15,$F$46-15,0,1,1),0)),"")&lt;&gt;"",IFERROR(INDEX(OFFSET($B$15,$D$46-15,0,1,1),MATCH(5&amp;","&amp;2,OFFSET($B$15,$F$46-15,0,1,1),0)),""),IF($B$46="Start",IFERROR(INDEX($B$39:$E$39,MATCH(5&amp;","&amp;2,$B$40:$E$40,0)),""),"")))</f>
        <v>X</v>
      </c>
      <c r="G57" s="12" t="str">
        <f ca="1">IF(OR(6&gt;$B$5,2&gt;$B$6),"X",IF(IFERROR(INDEX(OFFSET($B$15,$D$46-15,0,1,1),MATCH(6&amp;","&amp;2,OFFSET($B$15,$F$46-15,0,1,1),0)),"")&lt;&gt;"",IFERROR(INDEX(OFFSET($B$15,$D$46-15,0,1,1),MATCH(6&amp;","&amp;2,OFFSET($B$15,$F$46-15,0,1,1),0)),""),IF($B$46="Start",IFERROR(INDEX($B$39:$E$39,MATCH(6&amp;","&amp;2,$B$40:$E$40,0)),""),"")))</f>
        <v>X</v>
      </c>
      <c r="H57" s="12" t="str">
        <f ca="1">IF(OR(7&gt;$B$5,2&gt;$B$6),"X",IF(IFERROR(INDEX(OFFSET($B$15,$D$46-15,0,1,1),MATCH(7&amp;","&amp;2,OFFSET($B$15,$F$46-15,0,1,1),0)),"")&lt;&gt;"",IFERROR(INDEX(OFFSET($B$15,$D$46-15,0,1,1),MATCH(7&amp;","&amp;2,OFFSET($B$15,$F$46-15,0,1,1),0)),""),IF($B$46="Start",IFERROR(INDEX($B$39:$E$39,MATCH(7&amp;","&amp;2,$B$40:$E$40,0)),""),"")))</f>
        <v>X</v>
      </c>
      <c r="I57" s="12" t="str">
        <f ca="1">IF(OR(8&gt;$B$5,2&gt;$B$6),"X",IF(IFERROR(INDEX(OFFSET($B$15,$D$46-15,0,1,1),MATCH(8&amp;","&amp;2,OFFSET($B$15,$F$46-15,0,1,1),0)),"")&lt;&gt;"",IFERROR(INDEX(OFFSET($B$15,$D$46-15,0,1,1),MATCH(8&amp;","&amp;2,OFFSET($B$15,$F$46-15,0,1,1),0)),""),IF($B$46="Start",IFERROR(INDEX($B$39:$E$39,MATCH(8&amp;","&amp;2,$B$40:$E$40,0)),""),"")))</f>
        <v>X</v>
      </c>
      <c r="J57" s="12" t="str">
        <f ca="1">IF(OR(9&gt;$B$5,2&gt;$B$6),"X",IF(IFERROR(INDEX(OFFSET($B$15,$D$46-15,0,1,1),MATCH(9&amp;","&amp;2,OFFSET($B$15,$F$46-15,0,1,1),0)),"")&lt;&gt;"",IFERROR(INDEX(OFFSET($B$15,$D$46-15,0,1,1),MATCH(9&amp;","&amp;2,OFFSET($B$15,$F$46-15,0,1,1),0)),""),IF($B$46="Start",IFERROR(INDEX($B$39:$E$39,MATCH(9&amp;","&amp;2,$B$40:$E$40,0)),""),"")))</f>
        <v>X</v>
      </c>
      <c r="K57" s="12" t="str">
        <f ca="1">IF(OR(10&gt;$B$5,2&gt;$B$6),"X",IF(IFERROR(INDEX(OFFSET($B$15,$D$46-15,0,1,1),MATCH(10&amp;","&amp;2,OFFSET($B$15,$F$46-15,0,1,1),0)),"")&lt;&gt;"",IFERROR(INDEX(OFFSET($B$15,$D$46-15,0,1,1),MATCH(10&amp;","&amp;2,OFFSET($B$15,$F$46-15,0,1,1),0)),""),IF($B$46="Start",IFERROR(INDEX($B$39:$E$39,MATCH(10&amp;","&amp;2,$B$40:$E$40,0)),""),"")))</f>
        <v>X</v>
      </c>
    </row>
    <row r="58" spans="1:11" x14ac:dyDescent="0.3">
      <c r="A58" s="11">
        <v>1</v>
      </c>
      <c r="B58" s="12" t="str">
        <f ca="1">IF(OR(1&gt;$B$5,1&gt;$B$6),"X",IF(IFERROR(INDEX(OFFSET($B$15,$D$46-15,0,1,1),MATCH(1&amp;","&amp;1,OFFSET($B$15,$F$46-15,0,1,1),0)),"")&lt;&gt;"",IFERROR(INDEX(OFFSET($B$15,$D$46-15,0,1,1),MATCH(1&amp;","&amp;1,OFFSET($B$15,$F$46-15,0,1,1),0)),""),IF($B$46="Start",IFERROR(INDEX($B$39:$E$39,MATCH(1&amp;","&amp;1,$B$40:$E$40,0)),""),"")))</f>
        <v/>
      </c>
      <c r="C58" s="12" t="str">
        <f ca="1">IF(OR(2&gt;$B$5,1&gt;$B$6),"X",IF(IFERROR(INDEX(OFFSET($B$15,$D$46-15,0,1,1),MATCH(2&amp;","&amp;1,OFFSET($B$15,$F$46-15,0,1,1),0)),"")&lt;&gt;"",IFERROR(INDEX(OFFSET($B$15,$D$46-15,0,1,1),MATCH(2&amp;","&amp;1,OFFSET($B$15,$F$46-15,0,1,1),0)),""),IF($B$46="Start",IFERROR(INDEX($B$39:$E$39,MATCH(2&amp;","&amp;1,$B$40:$E$40,0)),""),"")))</f>
        <v/>
      </c>
      <c r="D58" s="12" t="str">
        <f ca="1">IF(OR(3&gt;$B$5,1&gt;$B$6),"X",IF(IFERROR(INDEX(OFFSET($B$15,$D$46-15,0,1,1),MATCH(3&amp;","&amp;1,OFFSET($B$15,$F$46-15,0,1,1),0)),"")&lt;&gt;"",IFERROR(INDEX(OFFSET($B$15,$D$46-15,0,1,1),MATCH(3&amp;","&amp;1,OFFSET($B$15,$F$46-15,0,1,1),0)),""),IF($B$46="Start",IFERROR(INDEX($B$39:$E$39,MATCH(3&amp;","&amp;1,$B$40:$E$40,0)),""),"")))</f>
        <v/>
      </c>
      <c r="E58" s="12" t="str">
        <f ca="1">IF(OR(4&gt;$B$5,1&gt;$B$6),"X",IF(IFERROR(INDEX(OFFSET($B$15,$D$46-15,0,1,1),MATCH(4&amp;","&amp;1,OFFSET($B$15,$F$46-15,0,1,1),0)),"")&lt;&gt;"",IFERROR(INDEX(OFFSET($B$15,$D$46-15,0,1,1),MATCH(4&amp;","&amp;1,OFFSET($B$15,$F$46-15,0,1,1),0)),""),IF($B$46="Start",IFERROR(INDEX($B$39:$E$39,MATCH(4&amp;","&amp;1,$B$40:$E$40,0)),""),"")))</f>
        <v>X</v>
      </c>
      <c r="F58" s="12" t="str">
        <f ca="1">IF(OR(5&gt;$B$5,1&gt;$B$6),"X",IF(IFERROR(INDEX(OFFSET($B$15,$D$46-15,0,1,1),MATCH(5&amp;","&amp;1,OFFSET($B$15,$F$46-15,0,1,1),0)),"")&lt;&gt;"",IFERROR(INDEX(OFFSET($B$15,$D$46-15,0,1,1),MATCH(5&amp;","&amp;1,OFFSET($B$15,$F$46-15,0,1,1),0)),""),IF($B$46="Start",IFERROR(INDEX($B$39:$E$39,MATCH(5&amp;","&amp;1,$B$40:$E$40,0)),""),"")))</f>
        <v>X</v>
      </c>
      <c r="G58" s="12" t="str">
        <f ca="1">IF(OR(6&gt;$B$5,1&gt;$B$6),"X",IF(IFERROR(INDEX(OFFSET($B$15,$D$46-15,0,1,1),MATCH(6&amp;","&amp;1,OFFSET($B$15,$F$46-15,0,1,1),0)),"")&lt;&gt;"",IFERROR(INDEX(OFFSET($B$15,$D$46-15,0,1,1),MATCH(6&amp;","&amp;1,OFFSET($B$15,$F$46-15,0,1,1),0)),""),IF($B$46="Start",IFERROR(INDEX($B$39:$E$39,MATCH(6&amp;","&amp;1,$B$40:$E$40,0)),""),"")))</f>
        <v>X</v>
      </c>
      <c r="H58" s="12" t="str">
        <f ca="1">IF(OR(7&gt;$B$5,1&gt;$B$6),"X",IF(IFERROR(INDEX(OFFSET($B$15,$D$46-15,0,1,1),MATCH(7&amp;","&amp;1,OFFSET($B$15,$F$46-15,0,1,1),0)),"")&lt;&gt;"",IFERROR(INDEX(OFFSET($B$15,$D$46-15,0,1,1),MATCH(7&amp;","&amp;1,OFFSET($B$15,$F$46-15,0,1,1),0)),""),IF($B$46="Start",IFERROR(INDEX($B$39:$E$39,MATCH(7&amp;","&amp;1,$B$40:$E$40,0)),""),"")))</f>
        <v>X</v>
      </c>
      <c r="I58" s="12" t="str">
        <f ca="1">IF(OR(8&gt;$B$5,1&gt;$B$6),"X",IF(IFERROR(INDEX(OFFSET($B$15,$D$46-15,0,1,1),MATCH(8&amp;","&amp;1,OFFSET($B$15,$F$46-15,0,1,1),0)),"")&lt;&gt;"",IFERROR(INDEX(OFFSET($B$15,$D$46-15,0,1,1),MATCH(8&amp;","&amp;1,OFFSET($B$15,$F$46-15,0,1,1),0)),""),IF($B$46="Start",IFERROR(INDEX($B$39:$E$39,MATCH(8&amp;","&amp;1,$B$40:$E$40,0)),""),"")))</f>
        <v>X</v>
      </c>
      <c r="J58" s="12" t="str">
        <f ca="1">IF(OR(9&gt;$B$5,1&gt;$B$6),"X",IF(IFERROR(INDEX(OFFSET($B$15,$D$46-15,0,1,1),MATCH(9&amp;","&amp;1,OFFSET($B$15,$F$46-15,0,1,1),0)),"")&lt;&gt;"",IFERROR(INDEX(OFFSET($B$15,$D$46-15,0,1,1),MATCH(9&amp;","&amp;1,OFFSET($B$15,$F$46-15,0,1,1),0)),""),IF($B$46="Start",IFERROR(INDEX($B$39:$E$39,MATCH(9&amp;","&amp;1,$B$40:$E$40,0)),""),"")))</f>
        <v>X</v>
      </c>
      <c r="K58" s="12" t="str">
        <f ca="1">IF(OR(10&gt;$B$5,1&gt;$B$6),"X",IF(IFERROR(INDEX(OFFSET($B$15,$D$46-15,0,1,1),MATCH(10&amp;","&amp;1,OFFSET($B$15,$F$46-15,0,1,1),0)),"")&lt;&gt;"",IFERROR(INDEX(OFFSET($B$15,$D$46-15,0,1,1),MATCH(10&amp;","&amp;1,OFFSET($B$15,$F$46-15,0,1,1),0)),""),IF($B$46="Start",IFERROR(INDEX($B$39:$E$39,MATCH(10&amp;","&amp;1,$B$40:$E$40,0)),""),"")))</f>
        <v>X</v>
      </c>
    </row>
    <row r="60" spans="1:11" x14ac:dyDescent="0.3">
      <c r="A60" s="1" t="s">
        <v>127</v>
      </c>
    </row>
    <row r="61" spans="1:11" x14ac:dyDescent="0.3">
      <c r="A61" t="s">
        <v>128</v>
      </c>
    </row>
    <row r="62" spans="1:11" x14ac:dyDescent="0.3">
      <c r="A62" t="s">
        <v>129</v>
      </c>
    </row>
    <row r="63" spans="1:11" x14ac:dyDescent="0.3">
      <c r="A63" t="s">
        <v>130</v>
      </c>
    </row>
    <row r="64" spans="1:11" x14ac:dyDescent="0.3">
      <c r="A64" t="s">
        <v>131</v>
      </c>
    </row>
    <row r="66" spans="1:3" x14ac:dyDescent="0.3">
      <c r="A66" s="1" t="s">
        <v>132</v>
      </c>
      <c r="B66" s="2"/>
    </row>
    <row r="68" spans="1:3" x14ac:dyDescent="0.3">
      <c r="A68" s="4" t="s">
        <v>133</v>
      </c>
    </row>
    <row r="69" spans="1:3" x14ac:dyDescent="0.3">
      <c r="A69" s="4" t="s">
        <v>134</v>
      </c>
      <c r="B69" s="4" t="s">
        <v>135</v>
      </c>
      <c r="C69" s="4" t="s">
        <v>136</v>
      </c>
    </row>
    <row r="70" spans="1:3" x14ac:dyDescent="0.3">
      <c r="A70" t="s">
        <v>95</v>
      </c>
      <c r="B70">
        <v>15</v>
      </c>
      <c r="C70">
        <v>16</v>
      </c>
    </row>
    <row r="71" spans="1:3" x14ac:dyDescent="0.3">
      <c r="A71" t="s">
        <v>150</v>
      </c>
      <c r="B71">
        <v>17</v>
      </c>
      <c r="C71">
        <v>18</v>
      </c>
    </row>
    <row r="72" spans="1:3" x14ac:dyDescent="0.3">
      <c r="A72" t="s">
        <v>151</v>
      </c>
      <c r="B72">
        <v>19</v>
      </c>
      <c r="C72">
        <v>20</v>
      </c>
    </row>
  </sheetData>
  <conditionalFormatting sqref="B48:K58">
    <cfRule type="cellIs" dxfId="0" priority="1" operator="equal">
      <formula>"X"</formula>
    </cfRule>
  </conditionalFormatting>
  <dataValidations count="3">
    <dataValidation type="list" allowBlank="1" sqref="B9:B10" xr:uid="{00000000-0002-0000-0800-000000000000}">
      <formula1>list_Loot</formula1>
    </dataValidation>
    <dataValidation type="list" allowBlank="1" sqref="B15 B35 B33 B31 B29 B27 B25 B23 B21 B19 B17" xr:uid="{00000000-0002-0000-0800-000002000000}">
      <formula1>list_Prefab</formula1>
    </dataValidation>
    <dataValidation type="list" sqref="B46" xr:uid="{00000000-0002-0000-0800-00000D000000}">
      <formula1>$A$70:$A$72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1"/>
  <sheetViews>
    <sheetView workbookViewId="0"/>
  </sheetViews>
  <sheetFormatPr defaultRowHeight="14.4" x14ac:dyDescent="0.3"/>
  <cols>
    <col min="1" max="4" width="24" customWidth="1"/>
    <col min="5" max="5" width="70" customWidth="1"/>
  </cols>
  <sheetData>
    <row r="1" spans="1:5" x14ac:dyDescent="0.3">
      <c r="A1" s="1" t="s">
        <v>15</v>
      </c>
      <c r="B1" s="1" t="s">
        <v>16</v>
      </c>
      <c r="C1" s="1" t="s">
        <v>17</v>
      </c>
      <c r="D1" s="1" t="s">
        <v>18</v>
      </c>
      <c r="E1" s="4" t="s">
        <v>19</v>
      </c>
    </row>
    <row r="2" spans="1:5" x14ac:dyDescent="0.3">
      <c r="A2" t="s">
        <v>20</v>
      </c>
      <c r="B2" t="s">
        <v>21</v>
      </c>
      <c r="C2" t="s">
        <v>22</v>
      </c>
      <c r="D2" t="s">
        <v>23</v>
      </c>
    </row>
    <row r="3" spans="1:5" x14ac:dyDescent="0.3">
      <c r="A3" t="s">
        <v>24</v>
      </c>
      <c r="B3" t="s">
        <v>25</v>
      </c>
      <c r="C3" t="s">
        <v>26</v>
      </c>
      <c r="D3" t="s">
        <v>7</v>
      </c>
    </row>
    <row r="4" spans="1:5" x14ac:dyDescent="0.3">
      <c r="A4" t="s">
        <v>27</v>
      </c>
      <c r="B4" t="s">
        <v>28</v>
      </c>
      <c r="C4" t="s">
        <v>29</v>
      </c>
    </row>
    <row r="5" spans="1:5" x14ac:dyDescent="0.3">
      <c r="A5" t="s">
        <v>30</v>
      </c>
      <c r="B5" t="s">
        <v>31</v>
      </c>
      <c r="C5" t="s">
        <v>32</v>
      </c>
    </row>
    <row r="6" spans="1:5" x14ac:dyDescent="0.3">
      <c r="A6" t="s">
        <v>33</v>
      </c>
      <c r="B6" t="s">
        <v>34</v>
      </c>
      <c r="C6" t="s">
        <v>35</v>
      </c>
    </row>
    <row r="7" spans="1:5" x14ac:dyDescent="0.3">
      <c r="A7" t="s">
        <v>36</v>
      </c>
      <c r="B7" t="s">
        <v>37</v>
      </c>
      <c r="C7" t="s">
        <v>38</v>
      </c>
    </row>
    <row r="8" spans="1:5" x14ac:dyDescent="0.3">
      <c r="A8" t="s">
        <v>39</v>
      </c>
      <c r="B8" t="s">
        <v>40</v>
      </c>
      <c r="C8" t="s">
        <v>13</v>
      </c>
    </row>
    <row r="9" spans="1:5" x14ac:dyDescent="0.3">
      <c r="A9" t="s">
        <v>41</v>
      </c>
      <c r="B9" t="s">
        <v>42</v>
      </c>
    </row>
    <row r="10" spans="1:5" x14ac:dyDescent="0.3">
      <c r="A10" t="s">
        <v>43</v>
      </c>
      <c r="B10" t="s">
        <v>44</v>
      </c>
    </row>
    <row r="11" spans="1:5" x14ac:dyDescent="0.3">
      <c r="A11" t="s">
        <v>45</v>
      </c>
      <c r="B11" t="s">
        <v>46</v>
      </c>
    </row>
    <row r="12" spans="1:5" x14ac:dyDescent="0.3">
      <c r="A12" t="s">
        <v>47</v>
      </c>
      <c r="B12" t="s">
        <v>48</v>
      </c>
    </row>
    <row r="13" spans="1:5" x14ac:dyDescent="0.3">
      <c r="A13" t="s">
        <v>49</v>
      </c>
      <c r="B13" t="s">
        <v>50</v>
      </c>
    </row>
    <row r="14" spans="1:5" x14ac:dyDescent="0.3">
      <c r="A14" t="s">
        <v>51</v>
      </c>
      <c r="B14" t="s">
        <v>52</v>
      </c>
    </row>
    <row r="15" spans="1:5" x14ac:dyDescent="0.3">
      <c r="B15" t="s">
        <v>53</v>
      </c>
    </row>
    <row r="16" spans="1:5" x14ac:dyDescent="0.3">
      <c r="B16" t="s">
        <v>54</v>
      </c>
    </row>
    <row r="17" spans="2:2" x14ac:dyDescent="0.3">
      <c r="B17" t="s">
        <v>55</v>
      </c>
    </row>
    <row r="18" spans="2:2" x14ac:dyDescent="0.3">
      <c r="B18" t="s">
        <v>56</v>
      </c>
    </row>
    <row r="19" spans="2:2" x14ac:dyDescent="0.3">
      <c r="B19" t="s">
        <v>57</v>
      </c>
    </row>
    <row r="20" spans="2:2" x14ac:dyDescent="0.3">
      <c r="B20" t="s">
        <v>58</v>
      </c>
    </row>
    <row r="21" spans="2:2" x14ac:dyDescent="0.3">
      <c r="B21" t="s">
        <v>59</v>
      </c>
    </row>
    <row r="22" spans="2:2" x14ac:dyDescent="0.3">
      <c r="B22" t="s">
        <v>60</v>
      </c>
    </row>
    <row r="23" spans="2:2" x14ac:dyDescent="0.3">
      <c r="B23" t="s">
        <v>61</v>
      </c>
    </row>
    <row r="24" spans="2:2" x14ac:dyDescent="0.3">
      <c r="B24" t="s">
        <v>62</v>
      </c>
    </row>
    <row r="25" spans="2:2" x14ac:dyDescent="0.3">
      <c r="B25" t="s">
        <v>63</v>
      </c>
    </row>
    <row r="26" spans="2:2" x14ac:dyDescent="0.3">
      <c r="B26" t="s">
        <v>64</v>
      </c>
    </row>
    <row r="27" spans="2:2" x14ac:dyDescent="0.3">
      <c r="B27" t="s">
        <v>65</v>
      </c>
    </row>
    <row r="28" spans="2:2" x14ac:dyDescent="0.3">
      <c r="B28" t="s">
        <v>66</v>
      </c>
    </row>
    <row r="29" spans="2:2" x14ac:dyDescent="0.3">
      <c r="B29" t="s">
        <v>67</v>
      </c>
    </row>
    <row r="30" spans="2:2" x14ac:dyDescent="0.3">
      <c r="B30" t="s">
        <v>68</v>
      </c>
    </row>
    <row r="31" spans="2:2" x14ac:dyDescent="0.3">
      <c r="B31" t="s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README</vt:lpstr>
      <vt:lpstr>Runs</vt:lpstr>
      <vt:lpstr>DebugParade1</vt:lpstr>
      <vt:lpstr>DebugParade2</vt:lpstr>
      <vt:lpstr>Level1</vt:lpstr>
      <vt:lpstr>Level2</vt:lpstr>
      <vt:lpstr>Level3Menagerie</vt:lpstr>
      <vt:lpstr>Level4BlackKnight</vt:lpstr>
      <vt:lpstr>Tutorial</vt:lpstr>
      <vt:lpstr>Enums</vt:lpstr>
      <vt:lpstr>list_Bool</vt:lpstr>
      <vt:lpstr>list_Level</vt:lpstr>
      <vt:lpstr>list_Loot</vt:lpstr>
      <vt:lpstr>list_Prefab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Toxxic Impact</cp:lastModifiedBy>
  <dcterms:modified xsi:type="dcterms:W3CDTF">2026-08-23T20:22:35Z</dcterms:modified>
</cp:coreProperties>
</file>