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ADME" sheetId="21" r:id="rId22"/>
    <sheet name="Runs" sheetId="1" r:id="rId1"/>
    <sheet name="DebugParade1" sheetId="3" r:id="rId4"/>
    <sheet name="DebugParade2" sheetId="4" r:id="rId5"/>
    <sheet name="DebugTestbed" sheetId="5" r:id="rId6"/>
    <sheet name="Level 1 - Random" sheetId="6" r:id="rId7"/>
    <sheet name="Level 10 - Boss" sheetId="7" r:id="rId8"/>
    <sheet name="Level 2 - Random" sheetId="8" r:id="rId9"/>
    <sheet name="Level 3 - Random" sheetId="9" r:id="rId10"/>
    <sheet name="Level 4 - Random" sheetId="10" r:id="rId11"/>
    <sheet name="Level 5 - Boss" sheetId="11" r:id="rId12"/>
    <sheet name="Level 6 - Random" sheetId="12" r:id="rId13"/>
    <sheet name="Level 7 - Random" sheetId="13" r:id="rId14"/>
    <sheet name="Level 8 - Random" sheetId="14" r:id="rId15"/>
    <sheet name="Level 9 - Random" sheetId="15" r:id="rId16"/>
    <sheet name="Level1" sheetId="16" r:id="rId17"/>
    <sheet name="Level2" sheetId="17" r:id="rId18"/>
    <sheet name="Level3Menagerie" sheetId="18" r:id="rId19"/>
    <sheet name="Level4BlackKnight" sheetId="19" r:id="rId20"/>
    <sheet name="Tutorial" sheetId="20" r:id="rId21"/>
    <sheet name="Enums" sheetId="2" r:id="rId3"/>
  </sheets>
  <definedNames>
    <definedName name="list_Loot">'Enums'!$A$2:$A$14</definedName>
    <definedName name="list_Prefab">'Enums'!$B$2:$B$32</definedName>
    <definedName name="list_Level">'Enums'!$C$2:$C$19</definedName>
    <definedName name="list_Bool">'Enums'!$D$2:$D$3</definedName>
    <definedName name="_xlnm._FilterDatabase" localSheetId="1" hidden="1">'Runs'!$A$1:$E$6</definedName>
  </definedNames>
  <calcPr fullCalcOnLoad="1"/>
</workbook>
</file>

<file path=xl/sharedStrings.xml><?xml version="1.0" encoding="utf-8"?>
<sst xmlns="http://schemas.openxmlformats.org/spreadsheetml/2006/main" count="235" uniqueCount="235">
  <si>
    <t>Run</t>
  </si>
  <si>
    <t>Levels</t>
  </si>
  <si>
    <t>Carry Damage</t>
  </si>
  <si>
    <t>GUID</t>
  </si>
  <si>
    <t>Sync</t>
  </si>
  <si>
    <t>DebugRun</t>
  </si>
  <si>
    <t>DebugParade1; DebugParade2; Level3Menagerie; Level4BlackKnight</t>
  </si>
  <si>
    <t>FALSE</t>
  </si>
  <si>
    <t>c2ddf5dab567a5e4da56551a025fe317</t>
  </si>
  <si>
    <t>DebugTestbedRun</t>
  </si>
  <si>
    <t>DebugTestbed</t>
  </si>
  <si>
    <t>749370125b87d994580b52e0d41fda20</t>
  </si>
  <si>
    <t>RealRun</t>
  </si>
  <si>
    <t>Level1; Level2</t>
  </si>
  <si>
    <t>1b9e3eb6bcdac0b41acc43559eb5fc29</t>
  </si>
  <si>
    <t>RealRun - Random</t>
  </si>
  <si>
    <t>Level 1 - Random; Level 2 - Random; Level 3 - Random; Level 4 - Random; Level 5 - Boss; Level 6 - Random; Level 7 - Random; Level 8 - Random; Level 9 - Random; Level 10 - Boss</t>
  </si>
  <si>
    <t>62594bea8b5f56b4898ebd6cc1323313</t>
  </si>
  <si>
    <t>TutorialRun</t>
  </si>
  <si>
    <t>Tutorial</t>
  </si>
  <si>
    <t>5e3814a1c23dafa459764e0c691cbbce</t>
  </si>
  <si>
    <t>Loot</t>
  </si>
  <si>
    <t>Prefab</t>
  </si>
  <si>
    <t>Level</t>
  </si>
  <si>
    <t>Bool</t>
  </si>
  <si>
    <t>list_Prefab drives the dropdown on every enemy-name cell in a level's Waves table.</t>
  </si>
  <si>
    <t/>
  </si>
  <si>
    <t>Bat</t>
  </si>
  <si>
    <t>DebugParade1</t>
  </si>
  <si>
    <t>TRUE</t>
  </si>
  <si>
    <t>BlackKnightDrop</t>
  </si>
  <si>
    <t>BlackKnight</t>
  </si>
  <si>
    <t>DebugParade2</t>
  </si>
  <si>
    <t>EarlyGame</t>
  </si>
  <si>
    <t>BrittleSkeleton</t>
  </si>
  <si>
    <t>EarlyLevelReward</t>
  </si>
  <si>
    <t>Crab</t>
  </si>
  <si>
    <t>Level 1 - Random</t>
  </si>
  <si>
    <t>EvilKingDrop</t>
  </si>
  <si>
    <t>EnemyRanger</t>
  </si>
  <si>
    <t>Level 10 - Boss</t>
  </si>
  <si>
    <t>EvilKnightDrop</t>
  </si>
  <si>
    <t>EvilKing</t>
  </si>
  <si>
    <t>Level 2 - Random</t>
  </si>
  <si>
    <t>EvilWizard2Drop</t>
  </si>
  <si>
    <t>EvilKnight</t>
  </si>
  <si>
    <t>Level 3 - Random</t>
  </si>
  <si>
    <t>EvilWizard3Drop</t>
  </si>
  <si>
    <t>EvilWizard</t>
  </si>
  <si>
    <t>Level 4 - Random</t>
  </si>
  <si>
    <t>EvilWizardDrop</t>
  </si>
  <si>
    <t>EvilWizard2</t>
  </si>
  <si>
    <t>Level 5 - Boss</t>
  </si>
  <si>
    <t>PoisonSkeleton</t>
  </si>
  <si>
    <t>EvilWizard3</t>
  </si>
  <si>
    <t>Level 6 - Random</t>
  </si>
  <si>
    <t>ReaperDrop</t>
  </si>
  <si>
    <t>FlyingEye</t>
  </si>
  <si>
    <t>Level 7 - Random</t>
  </si>
  <si>
    <t>ReinforcedGolemDrop</t>
  </si>
  <si>
    <t>FlyingEyeTutorial</t>
  </si>
  <si>
    <t>Level 8 - Random</t>
  </si>
  <si>
    <t>TutorialTotemDrop</t>
  </si>
  <si>
    <t>Goblin</t>
  </si>
  <si>
    <t>Level 9 - Random</t>
  </si>
  <si>
    <t>Golem</t>
  </si>
  <si>
    <t>Level1</t>
  </si>
  <si>
    <t>HeavyBandit</t>
  </si>
  <si>
    <t>Level2</t>
  </si>
  <si>
    <t>LightBandit</t>
  </si>
  <si>
    <t>Level3Menagerie</t>
  </si>
  <si>
    <t>Mimic</t>
  </si>
  <si>
    <t>Level4BlackKnight</t>
  </si>
  <si>
    <t>Mushroom</t>
  </si>
  <si>
    <t>Pebble</t>
  </si>
  <si>
    <t>PlagueRat</t>
  </si>
  <si>
    <t>Rat</t>
  </si>
  <si>
    <t>RatTutorial</t>
  </si>
  <si>
    <t>Reaper</t>
  </si>
  <si>
    <t>ReinforcedGolem</t>
  </si>
  <si>
    <t>Skeleton</t>
  </si>
  <si>
    <t>SkeletonAlly</t>
  </si>
  <si>
    <t>SkeletonWarrior</t>
  </si>
  <si>
    <t>Skull</t>
  </si>
  <si>
    <t>Slime</t>
  </si>
  <si>
    <t>SpikedSlime</t>
  </si>
  <si>
    <t>VampireBat</t>
  </si>
  <si>
    <t>Level Name</t>
  </si>
  <si>
    <t>8c8f2f598a8bc824984510549a779d78</t>
  </si>
  <si>
    <t>Board Settings (synced to Unity)</t>
  </si>
  <si>
    <t>Board Width</t>
  </si>
  <si>
    <t>Board Height</t>
  </si>
  <si>
    <t>Turns To Survive</t>
  </si>
  <si>
    <t>Hand Size</t>
  </si>
  <si>
    <t>Loot Table</t>
  </si>
  <si>
    <t>Clear Reward Table</t>
  </si>
  <si>
    <t>Tile Sets</t>
  </si>
  <si>
    <t>StoneDungeon</t>
  </si>
  <si>
    <t>Waves</t>
  </si>
  <si>
    <t>Turn</t>
  </si>
  <si>
    <t>Enemy 1</t>
  </si>
  <si>
    <t>Enemy 2</t>
  </si>
  <si>
    <t>Enemy 3</t>
  </si>
  <si>
    <t>Enemy 4</t>
  </si>
  <si>
    <t>Enemy 5</t>
  </si>
  <si>
    <t>Enemy 6</t>
  </si>
  <si>
    <t>Enemy 7</t>
  </si>
  <si>
    <t>Enemy 8</t>
  </si>
  <si>
    <t>Enemy 9</t>
  </si>
  <si>
    <t>Enemy 10</t>
  </si>
  <si>
    <t>Enemy 11</t>
  </si>
  <si>
    <t>Enemy 12</t>
  </si>
  <si>
    <t>Start</t>
  </si>
  <si>
    <t>Coords</t>
  </si>
  <si>
    <t>2,5</t>
  </si>
  <si>
    <t>5,5</t>
  </si>
  <si>
    <t>8,5</t>
  </si>
  <si>
    <t>1,6</t>
  </si>
  <si>
    <t>4,6</t>
  </si>
  <si>
    <t>7,6</t>
  </si>
  <si>
    <t>2,7</t>
  </si>
  <si>
    <t>5,7</t>
  </si>
  <si>
    <t>8,7</t>
  </si>
  <si>
    <t>1,8</t>
  </si>
  <si>
    <t>4,8</t>
  </si>
  <si>
    <t>7,8</t>
  </si>
  <si>
    <t>Party Spawn (synced to Unity)</t>
  </si>
  <si>
    <t>P1</t>
  </si>
  <si>
    <t>P2</t>
  </si>
  <si>
    <t>P3</t>
  </si>
  <si>
    <t>P4</t>
  </si>
  <si>
    <t>P5</t>
  </si>
  <si>
    <t>Party</t>
  </si>
  <si>
    <t>2,1</t>
  </si>
  <si>
    <t>4,1</t>
  </si>
  <si>
    <t>6,1</t>
  </si>
  <si>
    <t>Deck Overrides</t>
  </si>
  <si>
    <t>Col</t>
  </si>
  <si>
    <t>Row</t>
  </si>
  <si>
    <t>Deck</t>
  </si>
  <si>
    <t>Board (read-only - shows the wave picked below)</t>
  </si>
  <si>
    <t>Show:</t>
  </si>
  <si>
    <t>(name row)</t>
  </si>
  <si>
    <t>(coord row)</t>
  </si>
  <si>
    <t>Legend</t>
  </si>
  <si>
    <t>Pick an enemy from the dropdown on a "Turn"/"Start" row, then type its cell as Col,Row directly below - e.g. 3,5.</t>
  </si>
  <si>
    <t>Blank Turn/Coords pairs are spares - type a turn number into one to add a new wave; re-sync to pick it up in the Show: dropdown.</t>
  </si>
  <si>
    <t>Party spawn cells go on the single "Party" row below, in the same Col,Row format, in party order.</t>
  </si>
  <si>
    <t>The board below is read-only - it shows whichever row the Show: dropdown selects. Cells past the level's own Board Width/Height are marked X.</t>
  </si>
  <si>
    <t>Notes</t>
  </si>
  <si>
    <t>(internal - dropdown source, regenerated on every export, do not edit)</t>
  </si>
  <si>
    <t>Label</t>
  </si>
  <si>
    <t>Name Row</t>
  </si>
  <si>
    <t>Coord Row</t>
  </si>
  <si>
    <t>a5dbc86ebb323174589025bc4980f329</t>
  </si>
  <si>
    <t>Enemy 13</t>
  </si>
  <si>
    <t>4,4</t>
  </si>
  <si>
    <t>5ee1061745b378a40ac3987579f221d9</t>
  </si>
  <si>
    <t>5,6</t>
  </si>
  <si>
    <t>3,9</t>
  </si>
  <si>
    <t>8,9</t>
  </si>
  <si>
    <t>P6</t>
  </si>
  <si>
    <t>3,3</t>
  </si>
  <si>
    <t>4,3</t>
  </si>
  <si>
    <t>5,3</t>
  </si>
  <si>
    <t>6,3</t>
  </si>
  <si>
    <t>5e7b87325e799474f883eb502eba52a6</t>
  </si>
  <si>
    <t>3,2</t>
  </si>
  <si>
    <t>4,2</t>
  </si>
  <si>
    <t>e5fe6d4ee553cfc4b89b2e95017da7c3</t>
  </si>
  <si>
    <t>4,5</t>
  </si>
  <si>
    <t>d352cbd577e24581b0c3129ce6af72d2</t>
  </si>
  <si>
    <t>58e64b478fcae4c44a9419c049ec95f1</t>
  </si>
  <si>
    <t>3,4</t>
  </si>
  <si>
    <t>be9f830c486d46be8a38463d15e5154f</t>
  </si>
  <si>
    <t>940ff72dd124457fbc13f820c0e2d439</t>
  </si>
  <si>
    <t>3,5</t>
  </si>
  <si>
    <t>dd18a26ce7e73fa45ac7622d635d0424</t>
  </si>
  <si>
    <t>59cec6189b6e65b4ea0c07b4bed6eea0</t>
  </si>
  <si>
    <t>cff9f7c6c3ad79f44b199afbc914ac22</t>
  </si>
  <si>
    <t>13a9c595eef05184ba0e5485e338da10</t>
  </si>
  <si>
    <t>6abf9bedd410a2942ada5d2fc57f7438</t>
  </si>
  <si>
    <t>2,6</t>
  </si>
  <si>
    <t>EnemySlash; EnemySlash; MoveInnate; EnemySlash</t>
  </si>
  <si>
    <t>EnemySlash; EnemySlash; MoveInnate; EnemySlash; EnemySlash</t>
  </si>
  <si>
    <t>2</t>
  </si>
  <si>
    <t>3</t>
  </si>
  <si>
    <t>5</t>
  </si>
  <si>
    <t>6</t>
  </si>
  <si>
    <t>8</t>
  </si>
  <si>
    <t>9</t>
  </si>
  <si>
    <t>3ef6a1a71a140c449b08228f24791993</t>
  </si>
  <si>
    <t>6,6</t>
  </si>
  <si>
    <t>ca9f9ed091b6a0049a1165cd7701db6f</t>
  </si>
  <si>
    <t>4,7</t>
  </si>
  <si>
    <t>1,7</t>
  </si>
  <si>
    <t>6,7</t>
  </si>
  <si>
    <t>3,7</t>
  </si>
  <si>
    <t>7</t>
  </si>
  <si>
    <t>35d56f4d97e16ae46a11bc1a4f583f23</t>
  </si>
  <si>
    <t>7,7</t>
  </si>
  <si>
    <t>3,1</t>
  </si>
  <si>
    <t>5,1</t>
  </si>
  <si>
    <t>4</t>
  </si>
  <si>
    <t>09a7258cd7dc67749b468fcf0531c772</t>
  </si>
  <si>
    <t>2,3</t>
  </si>
  <si>
    <t>Level Design Workbook</t>
  </si>
  <si>
    <t>One tab per level, built from Assets/Data/LevelData and Assets/Data/RunData. Editing happens in the Waves/Party rows; the Board underneath is a read-only picture of whichever one you pick.</t>
  </si>
  <si>
    <t>The tabs</t>
  </si>
  <si>
    <t>Runs</t>
  </si>
  <si>
    <t>One row per RunData: which levels it plays, in order, and whether damage carries between them.</t>
  </si>
  <si>
    <t>One tab per level</t>
  </si>
  <si>
    <t>Board Width/Height/Turns To Survive/Hand Size/Loot Table/Clear Reward Table/Tile Sets, the Waves table and the Party row are all synced.</t>
  </si>
  <si>
    <t>Enums</t>
  </si>
  <si>
    <t>list_Loot and list_Prefab drive real dropdowns (Loot Table cells, and every enemy-name cell in a Waves table). list_Level is a reference list for the Runs tab.</t>
  </si>
  <si>
    <t>Editing a level's Waves table</t>
  </si>
  <si>
    <t>One wave, two rows</t>
  </si>
  <si>
    <t>The "Start" row (the opening roster) and each wave turn are a pair: pick an enemy from the dropdown in the top row, then type where it lands directly below as "Col,Row" (one-based, same numbers the Inspector shows) - e.g. 3,5. A wave with two enemies just uses two columns.</t>
  </si>
  <si>
    <t>Adding a new wave</t>
  </si>
  <si>
    <t>There are always at least 10 wave slots beyond Start, blank ones ready after the real waves - type a turn number into one and fill in its row. Sync, and the next export picks it up in the Show: dropdown.</t>
  </si>
  <si>
    <t>One row, same "Col,Row" format, in party order - P1's cell first, then P2's, and so on.</t>
  </si>
  <si>
    <t>A card list for one specific placement, keyed by (Col, Row, Turn) - Turn 0 means the opening roster. Leave a placement out of this table to use its prefab's own deck.</t>
  </si>
  <si>
    <t>The Board</t>
  </si>
  <si>
    <t>Pick "Start" or a wave turn here and the 10x10 grid below re-reads that row pair - formulas, not something to type into. Cells past the level's own Board Width/Height show a grey X. Party positions only appear when Show: is "Start".</t>
  </si>
  <si>
    <t>If a cell looks wrong</t>
  </si>
  <si>
    <t>The Show: dropdown and the grid are driven by INDEX/MATCH/OFFSET formulas against a small internal table at the bottom of the tab - regenerated every export, never hand-edit it. Excel evaluates these on open; if one looks off, check the Waves row it should be reading before assuming the data is wrong.</t>
  </si>
  <si>
    <t>Syncing back to Unity</t>
  </si>
  <si>
    <t>One button</t>
  </si>
  <si>
    <t>In Unity: Tools &gt; Sync Levels With Sheet.</t>
  </si>
  <si>
    <t>What counts as one change</t>
  </si>
  <si>
    <t>The WHOLE board (every placement, wave, party spawn cell and deck override together) is one merge column, "Layout" - editing anything in the Waves/Party rows marks the whole level changed. Changing it in Unity AND the sheet since the last sync is a conflict for the whole level, same as any other column - see Docs/CardDesign.xlsx's own rule.</t>
  </si>
  <si>
    <t>Unknown prefab names</t>
  </si>
  <si>
    <t>Reported as a problem and that row is skipped, rather than guessed at - the dropdown should prevent this, but a typo pasted in directly is still checked.</t>
  </si>
  <si>
    <t>Regenerating without syncing</t>
  </si>
  <si>
    <t>Tools &gt; Levels &gt; Refresh Sheet From Unity discards any sheet edit that has not been synced yet - only for when the sheet is known to be wrong.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</si>
</sst>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color rgb="FF808080" tint="0"/>
      <name val="Calibri"/>
    </font>
    <font>
      <i/>
      <sz val="11"/>
      <color rgb="FF808080" tint="0"/>
      <name val="Calibri"/>
    </font>
    <font>
      <i/>
      <sz val="8"/>
      <name val="Calibri"/>
    </font>
    <font>
      <sz val="8"/>
      <name val="Calibri"/>
    </font>
    <font>
      <b/>
      <sz val="16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>
      <alignment wrapText="1"/>
    </xf>
    <xf numFmtId="0" applyNumberFormat="1" fontId="1" applyFont="1" xfId="0" applyProtection="1">
      <alignment wrapText="1"/>
    </xf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6" applyFont="1" xfId="0" applyProtection="1"/>
    <xf numFmtId="0" applyNumberFormat="1" fontId="0" applyFont="1" borderId="1" applyBorder="1" xfId="0" applyProtection="1"/>
    <xf numFmtId="0" applyNumberFormat="1" fontId="1" applyFont="1" borderId="2" applyBorder="1" xfId="0" applyProtection="1"/>
    <xf numFmtId="0" applyNumberFormat="1" fontId="1" applyFont="1" borderId="1" applyBorder="1" xfId="0" applyProtection="1"/>
    <xf numFmtId="0" applyNumberFormat="1" fontId="0" applyFont="1" borderId="2" applyBorder="1" xfId="0" applyProtection="1"/>
    <xf numFmtId="0" applyNumberFormat="1" fontId="7" applyFont="1" xfId="0" applyProtection="1"/>
    <xf numFmtId="0" applyNumberFormat="1" fontId="8" applyFont="1" xfId="0" applyProtection="1"/>
  </cellXfs>
  <cellStyles count="1">
    <cellStyle name="Normal" xfId="0" builtinId="0"/>
  </cellStyles>
  <dxfs count="1">
    <d:dxf xmlns:d="http://schemas.openxmlformats.org/spreadsheetml/2006/main">
      <font>
        <color rgb="ffd3d3d3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 tabSelected="0">
      <pane ySplit="1" topLeftCell="A2" state="frozen" activePane="bottomLeft"/>
      <selection pane="bottomLeft" activeCell="A1" sqref="A1"/>
    </sheetView>
  </sheetViews>
  <sheetFormatPr defaultRowHeight="15"/>
  <cols>
    <col min="1" max="1" width="18" customWidth="1"/>
    <col min="2" max="2" width="40" customWidth="1" style="2"/>
  </cols>
  <sheetData>
    <row r="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2" t="s">
        <v>6</v>
      </c>
      <c r="C2" s="0" t="s">
        <v>7</v>
      </c>
      <c r="D2" s="0" t="s">
        <v>8</v>
      </c>
      <c r="E2" s="0">
        <f>IF($D2="","NEW","Live")</f>
      </c>
    </row>
    <row r="3">
      <c r="A3" s="0" t="s">
        <v>9</v>
      </c>
      <c r="B3" s="2" t="s">
        <v>10</v>
      </c>
      <c r="C3" s="0" t="s">
        <v>7</v>
      </c>
      <c r="D3" s="0" t="s">
        <v>11</v>
      </c>
      <c r="E3" s="0">
        <f>IF($D3="","NEW","Live")</f>
      </c>
    </row>
    <row r="4">
      <c r="A4" s="0" t="s">
        <v>12</v>
      </c>
      <c r="B4" s="2" t="s">
        <v>13</v>
      </c>
      <c r="C4" s="0" t="s">
        <v>7</v>
      </c>
      <c r="D4" s="0" t="s">
        <v>14</v>
      </c>
      <c r="E4" s="0">
        <f>IF($D4="","NEW","Live")</f>
      </c>
    </row>
    <row r="5">
      <c r="A5" s="0" t="s">
        <v>15</v>
      </c>
      <c r="B5" s="2" t="s">
        <v>16</v>
      </c>
      <c r="C5" s="0" t="s">
        <v>7</v>
      </c>
      <c r="D5" s="0" t="s">
        <v>17</v>
      </c>
      <c r="E5" s="0">
        <f>IF($D5="","NEW","Live")</f>
      </c>
    </row>
    <row r="6">
      <c r="A6" s="0" t="s">
        <v>18</v>
      </c>
      <c r="B6" s="2" t="s">
        <v>19</v>
      </c>
      <c r="C6" s="0" t="s">
        <v>7</v>
      </c>
      <c r="D6" s="0" t="s">
        <v>20</v>
      </c>
      <c r="E6" s="0">
        <f>IF($D6="","NEW","Live")</f>
      </c>
    </row>
  </sheetData>
  <autoFilter ref="A1:E6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32"/>
  <sheetViews>
    <sheetView workbookViewId="0" tabSelected="0"/>
  </sheetViews>
  <sheetFormatPr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70" customWidth="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4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7</v>
      </c>
    </row>
    <row r="4">
      <c r="A4" s="0" t="s">
        <v>33</v>
      </c>
      <c r="B4" s="0" t="s">
        <v>34</v>
      </c>
      <c r="C4" s="0" t="s">
        <v>10</v>
      </c>
    </row>
    <row r="5">
      <c r="A5" s="0" t="s">
        <v>35</v>
      </c>
      <c r="B5" s="0" t="s">
        <v>36</v>
      </c>
      <c r="C5" s="0" t="s">
        <v>37</v>
      </c>
    </row>
    <row r="6">
      <c r="A6" s="0" t="s">
        <v>38</v>
      </c>
      <c r="B6" s="0" t="s">
        <v>39</v>
      </c>
      <c r="C6" s="0" t="s">
        <v>40</v>
      </c>
    </row>
    <row r="7">
      <c r="A7" s="0" t="s">
        <v>41</v>
      </c>
      <c r="B7" s="0" t="s">
        <v>42</v>
      </c>
      <c r="C7" s="0" t="s">
        <v>43</v>
      </c>
    </row>
    <row r="8">
      <c r="A8" s="0" t="s">
        <v>44</v>
      </c>
      <c r="B8" s="0" t="s">
        <v>45</v>
      </c>
      <c r="C8" s="0" t="s">
        <v>46</v>
      </c>
    </row>
    <row r="9">
      <c r="A9" s="0" t="s">
        <v>47</v>
      </c>
      <c r="B9" s="0" t="s">
        <v>48</v>
      </c>
      <c r="C9" s="0" t="s">
        <v>49</v>
      </c>
    </row>
    <row r="10">
      <c r="A10" s="0" t="s">
        <v>50</v>
      </c>
      <c r="B10" s="0" t="s">
        <v>51</v>
      </c>
      <c r="C10" s="0" t="s">
        <v>52</v>
      </c>
    </row>
    <row r="11">
      <c r="A11" s="0" t="s">
        <v>53</v>
      </c>
      <c r="B11" s="0" t="s">
        <v>54</v>
      </c>
      <c r="C11" s="0" t="s">
        <v>55</v>
      </c>
    </row>
    <row r="12">
      <c r="A12" s="0" t="s">
        <v>56</v>
      </c>
      <c r="B12" s="0" t="s">
        <v>57</v>
      </c>
      <c r="C12" s="0" t="s">
        <v>58</v>
      </c>
    </row>
    <row r="13">
      <c r="A13" s="0" t="s">
        <v>59</v>
      </c>
      <c r="B13" s="0" t="s">
        <v>60</v>
      </c>
      <c r="C13" s="0" t="s">
        <v>61</v>
      </c>
    </row>
    <row r="14">
      <c r="A14" s="0" t="s">
        <v>62</v>
      </c>
      <c r="B14" s="0" t="s">
        <v>63</v>
      </c>
      <c r="C14" s="0" t="s">
        <v>64</v>
      </c>
    </row>
    <row r="15">
      <c r="B15" s="0" t="s">
        <v>65</v>
      </c>
      <c r="C15" s="0" t="s">
        <v>66</v>
      </c>
    </row>
    <row r="16">
      <c r="B16" s="0" t="s">
        <v>67</v>
      </c>
      <c r="C16" s="0" t="s">
        <v>68</v>
      </c>
    </row>
    <row r="17">
      <c r="B17" s="0" t="s">
        <v>69</v>
      </c>
      <c r="C17" s="0" t="s">
        <v>70</v>
      </c>
    </row>
    <row r="18">
      <c r="B18" s="0" t="s">
        <v>71</v>
      </c>
      <c r="C18" s="0" t="s">
        <v>72</v>
      </c>
    </row>
    <row r="19">
      <c r="B19" s="0" t="s">
        <v>73</v>
      </c>
      <c r="C19" s="0" t="s">
        <v>19</v>
      </c>
    </row>
    <row r="20">
      <c r="B20" s="0" t="s">
        <v>74</v>
      </c>
    </row>
    <row r="21">
      <c r="B21" s="0" t="s">
        <v>75</v>
      </c>
    </row>
    <row r="22">
      <c r="B22" s="0" t="s">
        <v>76</v>
      </c>
    </row>
    <row r="23">
      <c r="B23" s="0" t="s">
        <v>77</v>
      </c>
    </row>
    <row r="24">
      <c r="B24" s="0" t="s">
        <v>78</v>
      </c>
    </row>
    <row r="25">
      <c r="B25" s="0" t="s">
        <v>79</v>
      </c>
    </row>
    <row r="26">
      <c r="B26" s="0" t="s">
        <v>80</v>
      </c>
    </row>
    <row r="27">
      <c r="B27" s="0" t="s">
        <v>81</v>
      </c>
    </row>
    <row r="28">
      <c r="B28" s="0" t="s">
        <v>82</v>
      </c>
    </row>
    <row r="29">
      <c r="B29" s="0" t="s">
        <v>83</v>
      </c>
    </row>
    <row r="30">
      <c r="B30" s="0" t="s">
        <v>84</v>
      </c>
    </row>
    <row r="31">
      <c r="B31" s="0" t="s">
        <v>85</v>
      </c>
    </row>
    <row r="32">
      <c r="B32" s="0" t="s">
        <v>86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28</v>
      </c>
    </row>
    <row r="2">
      <c r="A2" s="1" t="s">
        <v>3</v>
      </c>
      <c r="B2" s="0" t="s">
        <v>88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8</v>
      </c>
    </row>
    <row r="6">
      <c r="A6" s="4" t="s">
        <v>91</v>
      </c>
      <c r="B6" s="0">
        <v>8</v>
      </c>
    </row>
    <row r="7">
      <c r="A7" s="4" t="s">
        <v>92</v>
      </c>
      <c r="B7" s="0">
        <v>2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  <c r="C14" s="4" t="s">
        <v>101</v>
      </c>
      <c r="D14" s="4" t="s">
        <v>102</v>
      </c>
      <c r="E14" s="4" t="s">
        <v>103</v>
      </c>
      <c r="F14" s="4" t="s">
        <v>104</v>
      </c>
      <c r="G14" s="4" t="s">
        <v>105</v>
      </c>
      <c r="H14" s="4" t="s">
        <v>106</v>
      </c>
      <c r="I14" s="4" t="s">
        <v>107</v>
      </c>
      <c r="J14" s="4" t="s">
        <v>108</v>
      </c>
      <c r="K14" s="4" t="s">
        <v>109</v>
      </c>
      <c r="L14" s="4" t="s">
        <v>110</v>
      </c>
      <c r="M14" s="4" t="s">
        <v>111</v>
      </c>
    </row>
    <row r="15">
      <c r="A15" s="1" t="s">
        <v>112</v>
      </c>
      <c r="B15" s="0" t="s">
        <v>31</v>
      </c>
      <c r="C15" s="0" t="s">
        <v>79</v>
      </c>
      <c r="D15" s="0" t="s">
        <v>78</v>
      </c>
      <c r="E15" s="0" t="s">
        <v>85</v>
      </c>
      <c r="F15" s="0" t="s">
        <v>65</v>
      </c>
      <c r="G15" s="0" t="s">
        <v>69</v>
      </c>
      <c r="H15" s="0" t="s">
        <v>36</v>
      </c>
      <c r="I15" s="0" t="s">
        <v>27</v>
      </c>
      <c r="J15" s="0" t="s">
        <v>86</v>
      </c>
      <c r="K15" s="0" t="s">
        <v>74</v>
      </c>
      <c r="L15" s="0" t="s">
        <v>76</v>
      </c>
      <c r="M15" s="0" t="s">
        <v>83</v>
      </c>
    </row>
    <row r="16">
      <c r="A16" s="4" t="s">
        <v>113</v>
      </c>
      <c r="B16" s="0" t="s">
        <v>114</v>
      </c>
      <c r="C16" s="0" t="s">
        <v>115</v>
      </c>
      <c r="D16" s="0" t="s">
        <v>116</v>
      </c>
      <c r="E16" s="0" t="s">
        <v>117</v>
      </c>
      <c r="F16" s="0" t="s">
        <v>118</v>
      </c>
      <c r="G16" s="0" t="s">
        <v>119</v>
      </c>
      <c r="H16" s="0" t="s">
        <v>120</v>
      </c>
      <c r="I16" s="0" t="s">
        <v>121</v>
      </c>
      <c r="J16" s="0" t="s">
        <v>122</v>
      </c>
      <c r="K16" s="0" t="s">
        <v>123</v>
      </c>
      <c r="L16" s="0" t="s">
        <v>124</v>
      </c>
      <c r="M16" s="0" t="s">
        <v>125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</row>
    <row r="40">
      <c r="A40" s="1" t="s">
        <v>132</v>
      </c>
      <c r="B40" s="0" t="s">
        <v>133</v>
      </c>
      <c r="C40" s="0" t="s">
        <v>134</v>
      </c>
      <c r="D40" s="0" t="s">
        <v>135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-15,0,1,12),MATCH(1&amp;","&amp;10,OFFSET($B$15,$F$46-15,0,1,12),0)),"")&lt;&gt;"",IFERROR(INDEX(OFFSET($B$15,$D$46-15,0,1,12),MATCH(1&amp;","&amp;10,OFFSET($B$15,$F$46-15,0,1,12),0)),""),IF($B$46="Start",IFERROR(INDEX($B$39:$F$39,MATCH(1&amp;","&amp;10,$B$40:$F$40,0)),""),"")))</f>
      </c>
      <c r="C49" s="12">
        <f>IF(OR(2&gt;$B$5,10&gt;$B$6),"X",IF(IFERROR(INDEX(OFFSET($B$15,$D$46-15,0,1,12),MATCH(2&amp;","&amp;10,OFFSET($B$15,$F$46-15,0,1,12),0)),"")&lt;&gt;"",IFERROR(INDEX(OFFSET($B$15,$D$46-15,0,1,12),MATCH(2&amp;","&amp;10,OFFSET($B$15,$F$46-15,0,1,12),0)),""),IF($B$46="Start",IFERROR(INDEX($B$39:$F$39,MATCH(2&amp;","&amp;10,$B$40:$F$40,0)),""),"")))</f>
      </c>
      <c r="D49" s="12">
        <f>IF(OR(3&gt;$B$5,10&gt;$B$6),"X",IF(IFERROR(INDEX(OFFSET($B$15,$D$46-15,0,1,12),MATCH(3&amp;","&amp;10,OFFSET($B$15,$F$46-15,0,1,12),0)),"")&lt;&gt;"",IFERROR(INDEX(OFFSET($B$15,$D$46-15,0,1,12),MATCH(3&amp;","&amp;10,OFFSET($B$15,$F$46-15,0,1,12),0)),""),IF($B$46="Start",IFERROR(INDEX($B$39:$F$39,MATCH(3&amp;","&amp;10,$B$40:$F$40,0)),""),"")))</f>
      </c>
      <c r="E49" s="12">
        <f>IF(OR(4&gt;$B$5,10&gt;$B$6),"X",IF(IFERROR(INDEX(OFFSET($B$15,$D$46-15,0,1,12),MATCH(4&amp;","&amp;10,OFFSET($B$15,$F$46-15,0,1,12),0)),"")&lt;&gt;"",IFERROR(INDEX(OFFSET($B$15,$D$46-15,0,1,12),MATCH(4&amp;","&amp;10,OFFSET($B$15,$F$46-15,0,1,12),0)),""),IF($B$46="Start",IFERROR(INDEX($B$39:$F$39,MATCH(4&amp;","&amp;10,$B$40:$F$40,0)),""),"")))</f>
      </c>
      <c r="F49" s="12">
        <f>IF(OR(5&gt;$B$5,10&gt;$B$6),"X",IF(IFERROR(INDEX(OFFSET($B$15,$D$46-15,0,1,12),MATCH(5&amp;","&amp;10,OFFSET($B$15,$F$46-15,0,1,12),0)),"")&lt;&gt;"",IFERROR(INDEX(OFFSET($B$15,$D$46-15,0,1,12),MATCH(5&amp;","&amp;10,OFFSET($B$15,$F$46-15,0,1,12),0)),""),IF($B$46="Start",IFERROR(INDEX($B$39:$F$39,MATCH(5&amp;","&amp;10,$B$40:$F$40,0)),""),"")))</f>
      </c>
      <c r="G49" s="12">
        <f>IF(OR(6&gt;$B$5,10&gt;$B$6),"X",IF(IFERROR(INDEX(OFFSET($B$15,$D$46-15,0,1,12),MATCH(6&amp;","&amp;10,OFFSET($B$15,$F$46-15,0,1,12),0)),"")&lt;&gt;"",IFERROR(INDEX(OFFSET($B$15,$D$46-15,0,1,12),MATCH(6&amp;","&amp;10,OFFSET($B$15,$F$46-15,0,1,12),0)),""),IF($B$46="Start",IFERROR(INDEX($B$39:$F$39,MATCH(6&amp;","&amp;10,$B$40:$F$40,0)),""),"")))</f>
      </c>
      <c r="H49" s="12">
        <f>IF(OR(7&gt;$B$5,10&gt;$B$6),"X",IF(IFERROR(INDEX(OFFSET($B$15,$D$46-15,0,1,12),MATCH(7&amp;","&amp;10,OFFSET($B$15,$F$46-15,0,1,12),0)),"")&lt;&gt;"",IFERROR(INDEX(OFFSET($B$15,$D$46-15,0,1,12),MATCH(7&amp;","&amp;10,OFFSET($B$15,$F$46-15,0,1,12),0)),""),IF($B$46="Start",IFERROR(INDEX($B$39:$F$39,MATCH(7&amp;","&amp;10,$B$40:$F$40,0)),""),"")))</f>
      </c>
      <c r="I49" s="12">
        <f>IF(OR(8&gt;$B$5,10&gt;$B$6),"X",IF(IFERROR(INDEX(OFFSET($B$15,$D$46-15,0,1,12),MATCH(8&amp;","&amp;10,OFFSET($B$15,$F$46-15,0,1,12),0)),"")&lt;&gt;"",IFERROR(INDEX(OFFSET($B$15,$D$46-15,0,1,12),MATCH(8&amp;","&amp;10,OFFSET($B$15,$F$46-15,0,1,12),0)),""),IF($B$46="Start",IFERROR(INDEX($B$39:$F$39,MATCH(8&amp;","&amp;10,$B$40:$F$40,0)),""),"")))</f>
      </c>
      <c r="J49" s="12">
        <f>IF(OR(9&gt;$B$5,10&gt;$B$6),"X",IF(IFERROR(INDEX(OFFSET($B$15,$D$46-15,0,1,12),MATCH(9&amp;","&amp;10,OFFSET($B$15,$F$46-15,0,1,12),0)),"")&lt;&gt;"",IFERROR(INDEX(OFFSET($B$15,$D$46-15,0,1,12),MATCH(9&amp;","&amp;10,OFFSET($B$15,$F$46-15,0,1,12),0)),""),IF($B$46="Start",IFERROR(INDEX($B$39:$F$39,MATCH(9&amp;","&amp;10,$B$40:$F$40,0)),""),"")))</f>
      </c>
      <c r="K49" s="12">
        <f>IF(OR(10&gt;$B$5,10&gt;$B$6),"X",IF(IFERROR(INDEX(OFFSET($B$15,$D$46-15,0,1,12),MATCH(10&amp;","&amp;10,OFFSET($B$15,$F$46-15,0,1,12),0)),"")&lt;&gt;"",IFERROR(INDEX(OFFSET($B$15,$D$46-15,0,1,12),MATCH(10&amp;","&amp;10,OFFSET($B$15,$F$46-15,0,1,12),0)),""),IF($B$46="Start",IFERROR(INDEX($B$39:$F$39,MATCH(10&amp;","&amp;10,$B$40:$F$40,0)),""),"")))</f>
      </c>
    </row>
    <row r="50">
      <c r="A50" s="11">
        <v>9</v>
      </c>
      <c r="B50" s="12">
        <f>IF(OR(1&gt;$B$5,9&gt;$B$6),"X",IF(IFERROR(INDEX(OFFSET($B$15,$D$46-15,0,1,12),MATCH(1&amp;","&amp;9,OFFSET($B$15,$F$46-15,0,1,12),0)),"")&lt;&gt;"",IFERROR(INDEX(OFFSET($B$15,$D$46-15,0,1,12),MATCH(1&amp;","&amp;9,OFFSET($B$15,$F$46-15,0,1,12),0)),""),IF($B$46="Start",IFERROR(INDEX($B$39:$F$39,MATCH(1&amp;","&amp;9,$B$40:$F$40,0)),""),"")))</f>
      </c>
      <c r="C50" s="12">
        <f>IF(OR(2&gt;$B$5,9&gt;$B$6),"X",IF(IFERROR(INDEX(OFFSET($B$15,$D$46-15,0,1,12),MATCH(2&amp;","&amp;9,OFFSET($B$15,$F$46-15,0,1,12),0)),"")&lt;&gt;"",IFERROR(INDEX(OFFSET($B$15,$D$46-15,0,1,12),MATCH(2&amp;","&amp;9,OFFSET($B$15,$F$46-15,0,1,12),0)),""),IF($B$46="Start",IFERROR(INDEX($B$39:$F$39,MATCH(2&amp;","&amp;9,$B$40:$F$40,0)),""),"")))</f>
      </c>
      <c r="D50" s="12">
        <f>IF(OR(3&gt;$B$5,9&gt;$B$6),"X",IF(IFERROR(INDEX(OFFSET($B$15,$D$46-15,0,1,12),MATCH(3&amp;","&amp;9,OFFSET($B$15,$F$46-15,0,1,12),0)),"")&lt;&gt;"",IFERROR(INDEX(OFFSET($B$15,$D$46-15,0,1,12),MATCH(3&amp;","&amp;9,OFFSET($B$15,$F$46-15,0,1,12),0)),""),IF($B$46="Start",IFERROR(INDEX($B$39:$F$39,MATCH(3&amp;","&amp;9,$B$40:$F$40,0)),""),"")))</f>
      </c>
      <c r="E50" s="12">
        <f>IF(OR(4&gt;$B$5,9&gt;$B$6),"X",IF(IFERROR(INDEX(OFFSET($B$15,$D$46-15,0,1,12),MATCH(4&amp;","&amp;9,OFFSET($B$15,$F$46-15,0,1,12),0)),"")&lt;&gt;"",IFERROR(INDEX(OFFSET($B$15,$D$46-15,0,1,12),MATCH(4&amp;","&amp;9,OFFSET($B$15,$F$46-15,0,1,12),0)),""),IF($B$46="Start",IFERROR(INDEX($B$39:$F$39,MATCH(4&amp;","&amp;9,$B$40:$F$40,0)),""),"")))</f>
      </c>
      <c r="F50" s="12">
        <f>IF(OR(5&gt;$B$5,9&gt;$B$6),"X",IF(IFERROR(INDEX(OFFSET($B$15,$D$46-15,0,1,12),MATCH(5&amp;","&amp;9,OFFSET($B$15,$F$46-15,0,1,12),0)),"")&lt;&gt;"",IFERROR(INDEX(OFFSET($B$15,$D$46-15,0,1,12),MATCH(5&amp;","&amp;9,OFFSET($B$15,$F$46-15,0,1,12),0)),""),IF($B$46="Start",IFERROR(INDEX($B$39:$F$39,MATCH(5&amp;","&amp;9,$B$40:$F$40,0)),""),"")))</f>
      </c>
      <c r="G50" s="12">
        <f>IF(OR(6&gt;$B$5,9&gt;$B$6),"X",IF(IFERROR(INDEX(OFFSET($B$15,$D$46-15,0,1,12),MATCH(6&amp;","&amp;9,OFFSET($B$15,$F$46-15,0,1,12),0)),"")&lt;&gt;"",IFERROR(INDEX(OFFSET($B$15,$D$46-15,0,1,12),MATCH(6&amp;","&amp;9,OFFSET($B$15,$F$46-15,0,1,12),0)),""),IF($B$46="Start",IFERROR(INDEX($B$39:$F$39,MATCH(6&amp;","&amp;9,$B$40:$F$40,0)),""),"")))</f>
      </c>
      <c r="H50" s="12">
        <f>IF(OR(7&gt;$B$5,9&gt;$B$6),"X",IF(IFERROR(INDEX(OFFSET($B$15,$D$46-15,0,1,12),MATCH(7&amp;","&amp;9,OFFSET($B$15,$F$46-15,0,1,12),0)),"")&lt;&gt;"",IFERROR(INDEX(OFFSET($B$15,$D$46-15,0,1,12),MATCH(7&amp;","&amp;9,OFFSET($B$15,$F$46-15,0,1,12),0)),""),IF($B$46="Start",IFERROR(INDEX($B$39:$F$39,MATCH(7&amp;","&amp;9,$B$40:$F$40,0)),""),"")))</f>
      </c>
      <c r="I50" s="12">
        <f>IF(OR(8&gt;$B$5,9&gt;$B$6),"X",IF(IFERROR(INDEX(OFFSET($B$15,$D$46-15,0,1,12),MATCH(8&amp;","&amp;9,OFFSET($B$15,$F$46-15,0,1,12),0)),"")&lt;&gt;"",IFERROR(INDEX(OFFSET($B$15,$D$46-15,0,1,12),MATCH(8&amp;","&amp;9,OFFSET($B$15,$F$46-15,0,1,12),0)),""),IF($B$46="Start",IFERROR(INDEX($B$39:$F$39,MATCH(8&amp;","&amp;9,$B$40:$F$40,0)),""),"")))</f>
      </c>
      <c r="J50" s="12">
        <f>IF(OR(9&gt;$B$5,9&gt;$B$6),"X",IF(IFERROR(INDEX(OFFSET($B$15,$D$46-15,0,1,12),MATCH(9&amp;","&amp;9,OFFSET($B$15,$F$46-15,0,1,12),0)),"")&lt;&gt;"",IFERROR(INDEX(OFFSET($B$15,$D$46-15,0,1,12),MATCH(9&amp;","&amp;9,OFFSET($B$15,$F$46-15,0,1,12),0)),""),IF($B$46="Start",IFERROR(INDEX($B$39:$F$39,MATCH(9&amp;","&amp;9,$B$40:$F$40,0)),""),"")))</f>
      </c>
      <c r="K50" s="12">
        <f>IF(OR(10&gt;$B$5,9&gt;$B$6),"X",IF(IFERROR(INDEX(OFFSET($B$15,$D$46-15,0,1,12),MATCH(10&amp;","&amp;9,OFFSET($B$15,$F$46-15,0,1,12),0)),"")&lt;&gt;"",IFERROR(INDEX(OFFSET($B$15,$D$46-15,0,1,12),MATCH(10&amp;","&amp;9,OFFSET($B$15,$F$46-15,0,1,12),0)),""),IF($B$46="Start",IFERROR(INDEX($B$39:$F$39,MATCH(10&amp;","&amp;9,$B$40:$F$40,0)),""),"")))</f>
      </c>
    </row>
    <row r="51">
      <c r="A51" s="11">
        <v>8</v>
      </c>
      <c r="B51" s="12">
        <f>IF(OR(1&gt;$B$5,8&gt;$B$6),"X",IF(IFERROR(INDEX(OFFSET($B$15,$D$46-15,0,1,12),MATCH(1&amp;","&amp;8,OFFSET($B$15,$F$46-15,0,1,12),0)),"")&lt;&gt;"",IFERROR(INDEX(OFFSET($B$15,$D$46-15,0,1,12),MATCH(1&amp;","&amp;8,OFFSET($B$15,$F$46-15,0,1,12),0)),""),IF($B$46="Start",IFERROR(INDEX($B$39:$F$39,MATCH(1&amp;","&amp;8,$B$40:$F$40,0)),""),"")))</f>
      </c>
      <c r="C51" s="12">
        <f>IF(OR(2&gt;$B$5,8&gt;$B$6),"X",IF(IFERROR(INDEX(OFFSET($B$15,$D$46-15,0,1,12),MATCH(2&amp;","&amp;8,OFFSET($B$15,$F$46-15,0,1,12),0)),"")&lt;&gt;"",IFERROR(INDEX(OFFSET($B$15,$D$46-15,0,1,12),MATCH(2&amp;","&amp;8,OFFSET($B$15,$F$46-15,0,1,12),0)),""),IF($B$46="Start",IFERROR(INDEX($B$39:$F$39,MATCH(2&amp;","&amp;8,$B$40:$F$40,0)),""),"")))</f>
      </c>
      <c r="D51" s="12">
        <f>IF(OR(3&gt;$B$5,8&gt;$B$6),"X",IF(IFERROR(INDEX(OFFSET($B$15,$D$46-15,0,1,12),MATCH(3&amp;","&amp;8,OFFSET($B$15,$F$46-15,0,1,12),0)),"")&lt;&gt;"",IFERROR(INDEX(OFFSET($B$15,$D$46-15,0,1,12),MATCH(3&amp;","&amp;8,OFFSET($B$15,$F$46-15,0,1,12),0)),""),IF($B$46="Start",IFERROR(INDEX($B$39:$F$39,MATCH(3&amp;","&amp;8,$B$40:$F$40,0)),""),"")))</f>
      </c>
      <c r="E51" s="12">
        <f>IF(OR(4&gt;$B$5,8&gt;$B$6),"X",IF(IFERROR(INDEX(OFFSET($B$15,$D$46-15,0,1,12),MATCH(4&amp;","&amp;8,OFFSET($B$15,$F$46-15,0,1,12),0)),"")&lt;&gt;"",IFERROR(INDEX(OFFSET($B$15,$D$46-15,0,1,12),MATCH(4&amp;","&amp;8,OFFSET($B$15,$F$46-15,0,1,12),0)),""),IF($B$46="Start",IFERROR(INDEX($B$39:$F$39,MATCH(4&amp;","&amp;8,$B$40:$F$40,0)),""),"")))</f>
      </c>
      <c r="F51" s="12">
        <f>IF(OR(5&gt;$B$5,8&gt;$B$6),"X",IF(IFERROR(INDEX(OFFSET($B$15,$D$46-15,0,1,12),MATCH(5&amp;","&amp;8,OFFSET($B$15,$F$46-15,0,1,12),0)),"")&lt;&gt;"",IFERROR(INDEX(OFFSET($B$15,$D$46-15,0,1,12),MATCH(5&amp;","&amp;8,OFFSET($B$15,$F$46-15,0,1,12),0)),""),IF($B$46="Start",IFERROR(INDEX($B$39:$F$39,MATCH(5&amp;","&amp;8,$B$40:$F$40,0)),""),"")))</f>
      </c>
      <c r="G51" s="12">
        <f>IF(OR(6&gt;$B$5,8&gt;$B$6),"X",IF(IFERROR(INDEX(OFFSET($B$15,$D$46-15,0,1,12),MATCH(6&amp;","&amp;8,OFFSET($B$15,$F$46-15,0,1,12),0)),"")&lt;&gt;"",IFERROR(INDEX(OFFSET($B$15,$D$46-15,0,1,12),MATCH(6&amp;","&amp;8,OFFSET($B$15,$F$46-15,0,1,12),0)),""),IF($B$46="Start",IFERROR(INDEX($B$39:$F$39,MATCH(6&amp;","&amp;8,$B$40:$F$40,0)),""),"")))</f>
      </c>
      <c r="H51" s="12">
        <f>IF(OR(7&gt;$B$5,8&gt;$B$6),"X",IF(IFERROR(INDEX(OFFSET($B$15,$D$46-15,0,1,12),MATCH(7&amp;","&amp;8,OFFSET($B$15,$F$46-15,0,1,12),0)),"")&lt;&gt;"",IFERROR(INDEX(OFFSET($B$15,$D$46-15,0,1,12),MATCH(7&amp;","&amp;8,OFFSET($B$15,$F$46-15,0,1,12),0)),""),IF($B$46="Start",IFERROR(INDEX($B$39:$F$39,MATCH(7&amp;","&amp;8,$B$40:$F$40,0)),""),"")))</f>
      </c>
      <c r="I51" s="12">
        <f>IF(OR(8&gt;$B$5,8&gt;$B$6),"X",IF(IFERROR(INDEX(OFFSET($B$15,$D$46-15,0,1,12),MATCH(8&amp;","&amp;8,OFFSET($B$15,$F$46-15,0,1,12),0)),"")&lt;&gt;"",IFERROR(INDEX(OFFSET($B$15,$D$46-15,0,1,12),MATCH(8&amp;","&amp;8,OFFSET($B$15,$F$46-15,0,1,12),0)),""),IF($B$46="Start",IFERROR(INDEX($B$39:$F$39,MATCH(8&amp;","&amp;8,$B$40:$F$40,0)),""),"")))</f>
      </c>
      <c r="J51" s="12">
        <f>IF(OR(9&gt;$B$5,8&gt;$B$6),"X",IF(IFERROR(INDEX(OFFSET($B$15,$D$46-15,0,1,12),MATCH(9&amp;","&amp;8,OFFSET($B$15,$F$46-15,0,1,12),0)),"")&lt;&gt;"",IFERROR(INDEX(OFFSET($B$15,$D$46-15,0,1,12),MATCH(9&amp;","&amp;8,OFFSET($B$15,$F$46-15,0,1,12),0)),""),IF($B$46="Start",IFERROR(INDEX($B$39:$F$39,MATCH(9&amp;","&amp;8,$B$40:$F$40,0)),""),"")))</f>
      </c>
      <c r="K51" s="12">
        <f>IF(OR(10&gt;$B$5,8&gt;$B$6),"X",IF(IFERROR(INDEX(OFFSET($B$15,$D$46-15,0,1,12),MATCH(10&amp;","&amp;8,OFFSET($B$15,$F$46-15,0,1,12),0)),"")&lt;&gt;"",IFERROR(INDEX(OFFSET($B$15,$D$46-15,0,1,12),MATCH(10&amp;","&amp;8,OFFSET($B$15,$F$46-15,0,1,12),0)),""),IF($B$46="Start",IFERROR(INDEX($B$39:$F$39,MATCH(10&amp;","&amp;8,$B$40:$F$40,0)),""),"")))</f>
      </c>
    </row>
    <row r="52">
      <c r="A52" s="11">
        <v>7</v>
      </c>
      <c r="B52" s="12">
        <f>IF(OR(1&gt;$B$5,7&gt;$B$6),"X",IF(IFERROR(INDEX(OFFSET($B$15,$D$46-15,0,1,12),MATCH(1&amp;","&amp;7,OFFSET($B$15,$F$46-15,0,1,12),0)),"")&lt;&gt;"",IFERROR(INDEX(OFFSET($B$15,$D$46-15,0,1,12),MATCH(1&amp;","&amp;7,OFFSET($B$15,$F$46-15,0,1,12),0)),""),IF($B$46="Start",IFERROR(INDEX($B$39:$F$39,MATCH(1&amp;","&amp;7,$B$40:$F$40,0)),""),"")))</f>
      </c>
      <c r="C52" s="12">
        <f>IF(OR(2&gt;$B$5,7&gt;$B$6),"X",IF(IFERROR(INDEX(OFFSET($B$15,$D$46-15,0,1,12),MATCH(2&amp;","&amp;7,OFFSET($B$15,$F$46-15,0,1,12),0)),"")&lt;&gt;"",IFERROR(INDEX(OFFSET($B$15,$D$46-15,0,1,12),MATCH(2&amp;","&amp;7,OFFSET($B$15,$F$46-15,0,1,12),0)),""),IF($B$46="Start",IFERROR(INDEX($B$39:$F$39,MATCH(2&amp;","&amp;7,$B$40:$F$40,0)),""),"")))</f>
      </c>
      <c r="D52" s="12">
        <f>IF(OR(3&gt;$B$5,7&gt;$B$6),"X",IF(IFERROR(INDEX(OFFSET($B$15,$D$46-15,0,1,12),MATCH(3&amp;","&amp;7,OFFSET($B$15,$F$46-15,0,1,12),0)),"")&lt;&gt;"",IFERROR(INDEX(OFFSET($B$15,$D$46-15,0,1,12),MATCH(3&amp;","&amp;7,OFFSET($B$15,$F$46-15,0,1,12),0)),""),IF($B$46="Start",IFERROR(INDEX($B$39:$F$39,MATCH(3&amp;","&amp;7,$B$40:$F$40,0)),""),"")))</f>
      </c>
      <c r="E52" s="12">
        <f>IF(OR(4&gt;$B$5,7&gt;$B$6),"X",IF(IFERROR(INDEX(OFFSET($B$15,$D$46-15,0,1,12),MATCH(4&amp;","&amp;7,OFFSET($B$15,$F$46-15,0,1,12),0)),"")&lt;&gt;"",IFERROR(INDEX(OFFSET($B$15,$D$46-15,0,1,12),MATCH(4&amp;","&amp;7,OFFSET($B$15,$F$46-15,0,1,12),0)),""),IF($B$46="Start",IFERROR(INDEX($B$39:$F$39,MATCH(4&amp;","&amp;7,$B$40:$F$40,0)),""),"")))</f>
      </c>
      <c r="F52" s="12">
        <f>IF(OR(5&gt;$B$5,7&gt;$B$6),"X",IF(IFERROR(INDEX(OFFSET($B$15,$D$46-15,0,1,12),MATCH(5&amp;","&amp;7,OFFSET($B$15,$F$46-15,0,1,12),0)),"")&lt;&gt;"",IFERROR(INDEX(OFFSET($B$15,$D$46-15,0,1,12),MATCH(5&amp;","&amp;7,OFFSET($B$15,$F$46-15,0,1,12),0)),""),IF($B$46="Start",IFERROR(INDEX($B$39:$F$39,MATCH(5&amp;","&amp;7,$B$40:$F$40,0)),""),"")))</f>
      </c>
      <c r="G52" s="12">
        <f>IF(OR(6&gt;$B$5,7&gt;$B$6),"X",IF(IFERROR(INDEX(OFFSET($B$15,$D$46-15,0,1,12),MATCH(6&amp;","&amp;7,OFFSET($B$15,$F$46-15,0,1,12),0)),"")&lt;&gt;"",IFERROR(INDEX(OFFSET($B$15,$D$46-15,0,1,12),MATCH(6&amp;","&amp;7,OFFSET($B$15,$F$46-15,0,1,12),0)),""),IF($B$46="Start",IFERROR(INDEX($B$39:$F$39,MATCH(6&amp;","&amp;7,$B$40:$F$40,0)),""),"")))</f>
      </c>
      <c r="H52" s="12">
        <f>IF(OR(7&gt;$B$5,7&gt;$B$6),"X",IF(IFERROR(INDEX(OFFSET($B$15,$D$46-15,0,1,12),MATCH(7&amp;","&amp;7,OFFSET($B$15,$F$46-15,0,1,12),0)),"")&lt;&gt;"",IFERROR(INDEX(OFFSET($B$15,$D$46-15,0,1,12),MATCH(7&amp;","&amp;7,OFFSET($B$15,$F$46-15,0,1,12),0)),""),IF($B$46="Start",IFERROR(INDEX($B$39:$F$39,MATCH(7&amp;","&amp;7,$B$40:$F$40,0)),""),"")))</f>
      </c>
      <c r="I52" s="12">
        <f>IF(OR(8&gt;$B$5,7&gt;$B$6),"X",IF(IFERROR(INDEX(OFFSET($B$15,$D$46-15,0,1,12),MATCH(8&amp;","&amp;7,OFFSET($B$15,$F$46-15,0,1,12),0)),"")&lt;&gt;"",IFERROR(INDEX(OFFSET($B$15,$D$46-15,0,1,12),MATCH(8&amp;","&amp;7,OFFSET($B$15,$F$46-15,0,1,12),0)),""),IF($B$46="Start",IFERROR(INDEX($B$39:$F$39,MATCH(8&amp;","&amp;7,$B$40:$F$40,0)),""),"")))</f>
      </c>
      <c r="J52" s="12">
        <f>IF(OR(9&gt;$B$5,7&gt;$B$6),"X",IF(IFERROR(INDEX(OFFSET($B$15,$D$46-15,0,1,12),MATCH(9&amp;","&amp;7,OFFSET($B$15,$F$46-15,0,1,12),0)),"")&lt;&gt;"",IFERROR(INDEX(OFFSET($B$15,$D$46-15,0,1,12),MATCH(9&amp;","&amp;7,OFFSET($B$15,$F$46-15,0,1,12),0)),""),IF($B$46="Start",IFERROR(INDEX($B$39:$F$39,MATCH(9&amp;","&amp;7,$B$40:$F$40,0)),""),"")))</f>
      </c>
      <c r="K52" s="12">
        <f>IF(OR(10&gt;$B$5,7&gt;$B$6),"X",IF(IFERROR(INDEX(OFFSET($B$15,$D$46-15,0,1,12),MATCH(10&amp;","&amp;7,OFFSET($B$15,$F$46-15,0,1,12),0)),"")&lt;&gt;"",IFERROR(INDEX(OFFSET($B$15,$D$46-15,0,1,12),MATCH(10&amp;","&amp;7,OFFSET($B$15,$F$46-15,0,1,12),0)),""),IF($B$46="Start",IFERROR(INDEX($B$39:$F$39,MATCH(10&amp;","&amp;7,$B$40:$F$40,0)),""),"")))</f>
      </c>
    </row>
    <row r="53">
      <c r="A53" s="11">
        <v>6</v>
      </c>
      <c r="B53" s="12">
        <f>IF(OR(1&gt;$B$5,6&gt;$B$6),"X",IF(IFERROR(INDEX(OFFSET($B$15,$D$46-15,0,1,12),MATCH(1&amp;","&amp;6,OFFSET($B$15,$F$46-15,0,1,12),0)),"")&lt;&gt;"",IFERROR(INDEX(OFFSET($B$15,$D$46-15,0,1,12),MATCH(1&amp;","&amp;6,OFFSET($B$15,$F$46-15,0,1,12),0)),""),IF($B$46="Start",IFERROR(INDEX($B$39:$F$39,MATCH(1&amp;","&amp;6,$B$40:$F$40,0)),""),"")))</f>
      </c>
      <c r="C53" s="12">
        <f>IF(OR(2&gt;$B$5,6&gt;$B$6),"X",IF(IFERROR(INDEX(OFFSET($B$15,$D$46-15,0,1,12),MATCH(2&amp;","&amp;6,OFFSET($B$15,$F$46-15,0,1,12),0)),"")&lt;&gt;"",IFERROR(INDEX(OFFSET($B$15,$D$46-15,0,1,12),MATCH(2&amp;","&amp;6,OFFSET($B$15,$F$46-15,0,1,12),0)),""),IF($B$46="Start",IFERROR(INDEX($B$39:$F$39,MATCH(2&amp;","&amp;6,$B$40:$F$40,0)),""),"")))</f>
      </c>
      <c r="D53" s="12">
        <f>IF(OR(3&gt;$B$5,6&gt;$B$6),"X",IF(IFERROR(INDEX(OFFSET($B$15,$D$46-15,0,1,12),MATCH(3&amp;","&amp;6,OFFSET($B$15,$F$46-15,0,1,12),0)),"")&lt;&gt;"",IFERROR(INDEX(OFFSET($B$15,$D$46-15,0,1,12),MATCH(3&amp;","&amp;6,OFFSET($B$15,$F$46-15,0,1,12),0)),""),IF($B$46="Start",IFERROR(INDEX($B$39:$F$39,MATCH(3&amp;","&amp;6,$B$40:$F$40,0)),""),"")))</f>
      </c>
      <c r="E53" s="12">
        <f>IF(OR(4&gt;$B$5,6&gt;$B$6),"X",IF(IFERROR(INDEX(OFFSET($B$15,$D$46-15,0,1,12),MATCH(4&amp;","&amp;6,OFFSET($B$15,$F$46-15,0,1,12),0)),"")&lt;&gt;"",IFERROR(INDEX(OFFSET($B$15,$D$46-15,0,1,12),MATCH(4&amp;","&amp;6,OFFSET($B$15,$F$46-15,0,1,12),0)),""),IF($B$46="Start",IFERROR(INDEX($B$39:$F$39,MATCH(4&amp;","&amp;6,$B$40:$F$40,0)),""),"")))</f>
      </c>
      <c r="F53" s="12">
        <f>IF(OR(5&gt;$B$5,6&gt;$B$6),"X",IF(IFERROR(INDEX(OFFSET($B$15,$D$46-15,0,1,12),MATCH(5&amp;","&amp;6,OFFSET($B$15,$F$46-15,0,1,12),0)),"")&lt;&gt;"",IFERROR(INDEX(OFFSET($B$15,$D$46-15,0,1,12),MATCH(5&amp;","&amp;6,OFFSET($B$15,$F$46-15,0,1,12),0)),""),IF($B$46="Start",IFERROR(INDEX($B$39:$F$39,MATCH(5&amp;","&amp;6,$B$40:$F$40,0)),""),"")))</f>
      </c>
      <c r="G53" s="12">
        <f>IF(OR(6&gt;$B$5,6&gt;$B$6),"X",IF(IFERROR(INDEX(OFFSET($B$15,$D$46-15,0,1,12),MATCH(6&amp;","&amp;6,OFFSET($B$15,$F$46-15,0,1,12),0)),"")&lt;&gt;"",IFERROR(INDEX(OFFSET($B$15,$D$46-15,0,1,12),MATCH(6&amp;","&amp;6,OFFSET($B$15,$F$46-15,0,1,12),0)),""),IF($B$46="Start",IFERROR(INDEX($B$39:$F$39,MATCH(6&amp;","&amp;6,$B$40:$F$40,0)),""),"")))</f>
      </c>
      <c r="H53" s="12">
        <f>IF(OR(7&gt;$B$5,6&gt;$B$6),"X",IF(IFERROR(INDEX(OFFSET($B$15,$D$46-15,0,1,12),MATCH(7&amp;","&amp;6,OFFSET($B$15,$F$46-15,0,1,12),0)),"")&lt;&gt;"",IFERROR(INDEX(OFFSET($B$15,$D$46-15,0,1,12),MATCH(7&amp;","&amp;6,OFFSET($B$15,$F$46-15,0,1,12),0)),""),IF($B$46="Start",IFERROR(INDEX($B$39:$F$39,MATCH(7&amp;","&amp;6,$B$40:$F$40,0)),""),"")))</f>
      </c>
      <c r="I53" s="12">
        <f>IF(OR(8&gt;$B$5,6&gt;$B$6),"X",IF(IFERROR(INDEX(OFFSET($B$15,$D$46-15,0,1,12),MATCH(8&amp;","&amp;6,OFFSET($B$15,$F$46-15,0,1,12),0)),"")&lt;&gt;"",IFERROR(INDEX(OFFSET($B$15,$D$46-15,0,1,12),MATCH(8&amp;","&amp;6,OFFSET($B$15,$F$46-15,0,1,12),0)),""),IF($B$46="Start",IFERROR(INDEX($B$39:$F$39,MATCH(8&amp;","&amp;6,$B$40:$F$40,0)),""),"")))</f>
      </c>
      <c r="J53" s="12">
        <f>IF(OR(9&gt;$B$5,6&gt;$B$6),"X",IF(IFERROR(INDEX(OFFSET($B$15,$D$46-15,0,1,12),MATCH(9&amp;","&amp;6,OFFSET($B$15,$F$46-15,0,1,12),0)),"")&lt;&gt;"",IFERROR(INDEX(OFFSET($B$15,$D$46-15,0,1,12),MATCH(9&amp;","&amp;6,OFFSET($B$15,$F$46-15,0,1,12),0)),""),IF($B$46="Start",IFERROR(INDEX($B$39:$F$39,MATCH(9&amp;","&amp;6,$B$40:$F$40,0)),""),"")))</f>
      </c>
      <c r="K53" s="12">
        <f>IF(OR(10&gt;$B$5,6&gt;$B$6),"X",IF(IFERROR(INDEX(OFFSET($B$15,$D$46-15,0,1,12),MATCH(10&amp;","&amp;6,OFFSET($B$15,$F$46-15,0,1,12),0)),"")&lt;&gt;"",IFERROR(INDEX(OFFSET($B$15,$D$46-15,0,1,12),MATCH(10&amp;","&amp;6,OFFSET($B$15,$F$46-15,0,1,12),0)),""),IF($B$46="Start",IFERROR(INDEX($B$39:$F$39,MATCH(10&amp;","&amp;6,$B$40:$F$40,0)),""),"")))</f>
      </c>
    </row>
    <row r="54">
      <c r="A54" s="11">
        <v>5</v>
      </c>
      <c r="B54" s="12">
        <f>IF(OR(1&gt;$B$5,5&gt;$B$6),"X",IF(IFERROR(INDEX(OFFSET($B$15,$D$46-15,0,1,12),MATCH(1&amp;","&amp;5,OFFSET($B$15,$F$46-15,0,1,12),0)),"")&lt;&gt;"",IFERROR(INDEX(OFFSET($B$15,$D$46-15,0,1,12),MATCH(1&amp;","&amp;5,OFFSET($B$15,$F$46-15,0,1,12),0)),""),IF($B$46="Start",IFERROR(INDEX($B$39:$F$39,MATCH(1&amp;","&amp;5,$B$40:$F$40,0)),""),"")))</f>
      </c>
      <c r="C54" s="12">
        <f>IF(OR(2&gt;$B$5,5&gt;$B$6),"X",IF(IFERROR(INDEX(OFFSET($B$15,$D$46-15,0,1,12),MATCH(2&amp;","&amp;5,OFFSET($B$15,$F$46-15,0,1,12),0)),"")&lt;&gt;"",IFERROR(INDEX(OFFSET($B$15,$D$46-15,0,1,12),MATCH(2&amp;","&amp;5,OFFSET($B$15,$F$46-15,0,1,12),0)),""),IF($B$46="Start",IFERROR(INDEX($B$39:$F$39,MATCH(2&amp;","&amp;5,$B$40:$F$40,0)),""),"")))</f>
      </c>
      <c r="D54" s="12">
        <f>IF(OR(3&gt;$B$5,5&gt;$B$6),"X",IF(IFERROR(INDEX(OFFSET($B$15,$D$46-15,0,1,12),MATCH(3&amp;","&amp;5,OFFSET($B$15,$F$46-15,0,1,12),0)),"")&lt;&gt;"",IFERROR(INDEX(OFFSET($B$15,$D$46-15,0,1,12),MATCH(3&amp;","&amp;5,OFFSET($B$15,$F$46-15,0,1,12),0)),""),IF($B$46="Start",IFERROR(INDEX($B$39:$F$39,MATCH(3&amp;","&amp;5,$B$40:$F$40,0)),""),"")))</f>
      </c>
      <c r="E54" s="12">
        <f>IF(OR(4&gt;$B$5,5&gt;$B$6),"X",IF(IFERROR(INDEX(OFFSET($B$15,$D$46-15,0,1,12),MATCH(4&amp;","&amp;5,OFFSET($B$15,$F$46-15,0,1,12),0)),"")&lt;&gt;"",IFERROR(INDEX(OFFSET($B$15,$D$46-15,0,1,12),MATCH(4&amp;","&amp;5,OFFSET($B$15,$F$46-15,0,1,12),0)),""),IF($B$46="Start",IFERROR(INDEX($B$39:$F$39,MATCH(4&amp;","&amp;5,$B$40:$F$40,0)),""),"")))</f>
      </c>
      <c r="F54" s="12">
        <f>IF(OR(5&gt;$B$5,5&gt;$B$6),"X",IF(IFERROR(INDEX(OFFSET($B$15,$D$46-15,0,1,12),MATCH(5&amp;","&amp;5,OFFSET($B$15,$F$46-15,0,1,12),0)),"")&lt;&gt;"",IFERROR(INDEX(OFFSET($B$15,$D$46-15,0,1,12),MATCH(5&amp;","&amp;5,OFFSET($B$15,$F$46-15,0,1,12),0)),""),IF($B$46="Start",IFERROR(INDEX($B$39:$F$39,MATCH(5&amp;","&amp;5,$B$40:$F$40,0)),""),"")))</f>
      </c>
      <c r="G54" s="12">
        <f>IF(OR(6&gt;$B$5,5&gt;$B$6),"X",IF(IFERROR(INDEX(OFFSET($B$15,$D$46-15,0,1,12),MATCH(6&amp;","&amp;5,OFFSET($B$15,$F$46-15,0,1,12),0)),"")&lt;&gt;"",IFERROR(INDEX(OFFSET($B$15,$D$46-15,0,1,12),MATCH(6&amp;","&amp;5,OFFSET($B$15,$F$46-15,0,1,12),0)),""),IF($B$46="Start",IFERROR(INDEX($B$39:$F$39,MATCH(6&amp;","&amp;5,$B$40:$F$40,0)),""),"")))</f>
      </c>
      <c r="H54" s="12">
        <f>IF(OR(7&gt;$B$5,5&gt;$B$6),"X",IF(IFERROR(INDEX(OFFSET($B$15,$D$46-15,0,1,12),MATCH(7&amp;","&amp;5,OFFSET($B$15,$F$46-15,0,1,12),0)),"")&lt;&gt;"",IFERROR(INDEX(OFFSET($B$15,$D$46-15,0,1,12),MATCH(7&amp;","&amp;5,OFFSET($B$15,$F$46-15,0,1,12),0)),""),IF($B$46="Start",IFERROR(INDEX($B$39:$F$39,MATCH(7&amp;","&amp;5,$B$40:$F$40,0)),""),"")))</f>
      </c>
      <c r="I54" s="12">
        <f>IF(OR(8&gt;$B$5,5&gt;$B$6),"X",IF(IFERROR(INDEX(OFFSET($B$15,$D$46-15,0,1,12),MATCH(8&amp;","&amp;5,OFFSET($B$15,$F$46-15,0,1,12),0)),"")&lt;&gt;"",IFERROR(INDEX(OFFSET($B$15,$D$46-15,0,1,12),MATCH(8&amp;","&amp;5,OFFSET($B$15,$F$46-15,0,1,12),0)),""),IF($B$46="Start",IFERROR(INDEX($B$39:$F$39,MATCH(8&amp;","&amp;5,$B$40:$F$40,0)),""),"")))</f>
      </c>
      <c r="J54" s="12">
        <f>IF(OR(9&gt;$B$5,5&gt;$B$6),"X",IF(IFERROR(INDEX(OFFSET($B$15,$D$46-15,0,1,12),MATCH(9&amp;","&amp;5,OFFSET($B$15,$F$46-15,0,1,12),0)),"")&lt;&gt;"",IFERROR(INDEX(OFFSET($B$15,$D$46-15,0,1,12),MATCH(9&amp;","&amp;5,OFFSET($B$15,$F$46-15,0,1,12),0)),""),IF($B$46="Start",IFERROR(INDEX($B$39:$F$39,MATCH(9&amp;","&amp;5,$B$40:$F$40,0)),""),"")))</f>
      </c>
      <c r="K54" s="12">
        <f>IF(OR(10&gt;$B$5,5&gt;$B$6),"X",IF(IFERROR(INDEX(OFFSET($B$15,$D$46-15,0,1,12),MATCH(10&amp;","&amp;5,OFFSET($B$15,$F$46-15,0,1,12),0)),"")&lt;&gt;"",IFERROR(INDEX(OFFSET($B$15,$D$46-15,0,1,12),MATCH(10&amp;","&amp;5,OFFSET($B$15,$F$46-15,0,1,12),0)),""),IF($B$46="Start",IFERROR(INDEX($B$39:$F$39,MATCH(10&amp;","&amp;5,$B$40:$F$40,0)),""),"")))</f>
      </c>
    </row>
    <row r="55">
      <c r="A55" s="11">
        <v>4</v>
      </c>
      <c r="B55" s="12">
        <f>IF(OR(1&gt;$B$5,4&gt;$B$6),"X",IF(IFERROR(INDEX(OFFSET($B$15,$D$46-15,0,1,12),MATCH(1&amp;","&amp;4,OFFSET($B$15,$F$46-15,0,1,12),0)),"")&lt;&gt;"",IFERROR(INDEX(OFFSET($B$15,$D$46-15,0,1,12),MATCH(1&amp;","&amp;4,OFFSET($B$15,$F$46-15,0,1,12),0)),""),IF($B$46="Start",IFERROR(INDEX($B$39:$F$39,MATCH(1&amp;","&amp;4,$B$40:$F$40,0)),""),"")))</f>
      </c>
      <c r="C55" s="12">
        <f>IF(OR(2&gt;$B$5,4&gt;$B$6),"X",IF(IFERROR(INDEX(OFFSET($B$15,$D$46-15,0,1,12),MATCH(2&amp;","&amp;4,OFFSET($B$15,$F$46-15,0,1,12),0)),"")&lt;&gt;"",IFERROR(INDEX(OFFSET($B$15,$D$46-15,0,1,12),MATCH(2&amp;","&amp;4,OFFSET($B$15,$F$46-15,0,1,12),0)),""),IF($B$46="Start",IFERROR(INDEX($B$39:$F$39,MATCH(2&amp;","&amp;4,$B$40:$F$40,0)),""),"")))</f>
      </c>
      <c r="D55" s="12">
        <f>IF(OR(3&gt;$B$5,4&gt;$B$6),"X",IF(IFERROR(INDEX(OFFSET($B$15,$D$46-15,0,1,12),MATCH(3&amp;","&amp;4,OFFSET($B$15,$F$46-15,0,1,12),0)),"")&lt;&gt;"",IFERROR(INDEX(OFFSET($B$15,$D$46-15,0,1,12),MATCH(3&amp;","&amp;4,OFFSET($B$15,$F$46-15,0,1,12),0)),""),IF($B$46="Start",IFERROR(INDEX($B$39:$F$39,MATCH(3&amp;","&amp;4,$B$40:$F$40,0)),""),"")))</f>
      </c>
      <c r="E55" s="12">
        <f>IF(OR(4&gt;$B$5,4&gt;$B$6),"X",IF(IFERROR(INDEX(OFFSET($B$15,$D$46-15,0,1,12),MATCH(4&amp;","&amp;4,OFFSET($B$15,$F$46-15,0,1,12),0)),"")&lt;&gt;"",IFERROR(INDEX(OFFSET($B$15,$D$46-15,0,1,12),MATCH(4&amp;","&amp;4,OFFSET($B$15,$F$46-15,0,1,12),0)),""),IF($B$46="Start",IFERROR(INDEX($B$39:$F$39,MATCH(4&amp;","&amp;4,$B$40:$F$40,0)),""),"")))</f>
      </c>
      <c r="F55" s="12">
        <f>IF(OR(5&gt;$B$5,4&gt;$B$6),"X",IF(IFERROR(INDEX(OFFSET($B$15,$D$46-15,0,1,12),MATCH(5&amp;","&amp;4,OFFSET($B$15,$F$46-15,0,1,12),0)),"")&lt;&gt;"",IFERROR(INDEX(OFFSET($B$15,$D$46-15,0,1,12),MATCH(5&amp;","&amp;4,OFFSET($B$15,$F$46-15,0,1,12),0)),""),IF($B$46="Start",IFERROR(INDEX($B$39:$F$39,MATCH(5&amp;","&amp;4,$B$40:$F$40,0)),""),"")))</f>
      </c>
      <c r="G55" s="12">
        <f>IF(OR(6&gt;$B$5,4&gt;$B$6),"X",IF(IFERROR(INDEX(OFFSET($B$15,$D$46-15,0,1,12),MATCH(6&amp;","&amp;4,OFFSET($B$15,$F$46-15,0,1,12),0)),"")&lt;&gt;"",IFERROR(INDEX(OFFSET($B$15,$D$46-15,0,1,12),MATCH(6&amp;","&amp;4,OFFSET($B$15,$F$46-15,0,1,12),0)),""),IF($B$46="Start",IFERROR(INDEX($B$39:$F$39,MATCH(6&amp;","&amp;4,$B$40:$F$40,0)),""),"")))</f>
      </c>
      <c r="H55" s="12">
        <f>IF(OR(7&gt;$B$5,4&gt;$B$6),"X",IF(IFERROR(INDEX(OFFSET($B$15,$D$46-15,0,1,12),MATCH(7&amp;","&amp;4,OFFSET($B$15,$F$46-15,0,1,12),0)),"")&lt;&gt;"",IFERROR(INDEX(OFFSET($B$15,$D$46-15,0,1,12),MATCH(7&amp;","&amp;4,OFFSET($B$15,$F$46-15,0,1,12),0)),""),IF($B$46="Start",IFERROR(INDEX($B$39:$F$39,MATCH(7&amp;","&amp;4,$B$40:$F$40,0)),""),"")))</f>
      </c>
      <c r="I55" s="12">
        <f>IF(OR(8&gt;$B$5,4&gt;$B$6),"X",IF(IFERROR(INDEX(OFFSET($B$15,$D$46-15,0,1,12),MATCH(8&amp;","&amp;4,OFFSET($B$15,$F$46-15,0,1,12),0)),"")&lt;&gt;"",IFERROR(INDEX(OFFSET($B$15,$D$46-15,0,1,12),MATCH(8&amp;","&amp;4,OFFSET($B$15,$F$46-15,0,1,12),0)),""),IF($B$46="Start",IFERROR(INDEX($B$39:$F$39,MATCH(8&amp;","&amp;4,$B$40:$F$40,0)),""),"")))</f>
      </c>
      <c r="J55" s="12">
        <f>IF(OR(9&gt;$B$5,4&gt;$B$6),"X",IF(IFERROR(INDEX(OFFSET($B$15,$D$46-15,0,1,12),MATCH(9&amp;","&amp;4,OFFSET($B$15,$F$46-15,0,1,12),0)),"")&lt;&gt;"",IFERROR(INDEX(OFFSET($B$15,$D$46-15,0,1,12),MATCH(9&amp;","&amp;4,OFFSET($B$15,$F$46-15,0,1,12),0)),""),IF($B$46="Start",IFERROR(INDEX($B$39:$F$39,MATCH(9&amp;","&amp;4,$B$40:$F$40,0)),""),"")))</f>
      </c>
      <c r="K55" s="12">
        <f>IF(OR(10&gt;$B$5,4&gt;$B$6),"X",IF(IFERROR(INDEX(OFFSET($B$15,$D$46-15,0,1,12),MATCH(10&amp;","&amp;4,OFFSET($B$15,$F$46-15,0,1,12),0)),"")&lt;&gt;"",IFERROR(INDEX(OFFSET($B$15,$D$46-15,0,1,12),MATCH(10&amp;","&amp;4,OFFSET($B$15,$F$46-15,0,1,12),0)),""),IF($B$46="Start",IFERROR(INDEX($B$39:$F$39,MATCH(10&amp;","&amp;4,$B$40:$F$40,0)),""),"")))</f>
      </c>
    </row>
    <row r="56">
      <c r="A56" s="11">
        <v>3</v>
      </c>
      <c r="B56" s="12">
        <f>IF(OR(1&gt;$B$5,3&gt;$B$6),"X",IF(IFERROR(INDEX(OFFSET($B$15,$D$46-15,0,1,12),MATCH(1&amp;","&amp;3,OFFSET($B$15,$F$46-15,0,1,12),0)),"")&lt;&gt;"",IFERROR(INDEX(OFFSET($B$15,$D$46-15,0,1,12),MATCH(1&amp;","&amp;3,OFFSET($B$15,$F$46-15,0,1,12),0)),""),IF($B$46="Start",IFERROR(INDEX($B$39:$F$39,MATCH(1&amp;","&amp;3,$B$40:$F$40,0)),""),"")))</f>
      </c>
      <c r="C56" s="12">
        <f>IF(OR(2&gt;$B$5,3&gt;$B$6),"X",IF(IFERROR(INDEX(OFFSET($B$15,$D$46-15,0,1,12),MATCH(2&amp;","&amp;3,OFFSET($B$15,$F$46-15,0,1,12),0)),"")&lt;&gt;"",IFERROR(INDEX(OFFSET($B$15,$D$46-15,0,1,12),MATCH(2&amp;","&amp;3,OFFSET($B$15,$F$46-15,0,1,12),0)),""),IF($B$46="Start",IFERROR(INDEX($B$39:$F$39,MATCH(2&amp;","&amp;3,$B$40:$F$40,0)),""),"")))</f>
      </c>
      <c r="D56" s="12">
        <f>IF(OR(3&gt;$B$5,3&gt;$B$6),"X",IF(IFERROR(INDEX(OFFSET($B$15,$D$46-15,0,1,12),MATCH(3&amp;","&amp;3,OFFSET($B$15,$F$46-15,0,1,12),0)),"")&lt;&gt;"",IFERROR(INDEX(OFFSET($B$15,$D$46-15,0,1,12),MATCH(3&amp;","&amp;3,OFFSET($B$15,$F$46-15,0,1,12),0)),""),IF($B$46="Start",IFERROR(INDEX($B$39:$F$39,MATCH(3&amp;","&amp;3,$B$40:$F$40,0)),""),"")))</f>
      </c>
      <c r="E56" s="12">
        <f>IF(OR(4&gt;$B$5,3&gt;$B$6),"X",IF(IFERROR(INDEX(OFFSET($B$15,$D$46-15,0,1,12),MATCH(4&amp;","&amp;3,OFFSET($B$15,$F$46-15,0,1,12),0)),"")&lt;&gt;"",IFERROR(INDEX(OFFSET($B$15,$D$46-15,0,1,12),MATCH(4&amp;","&amp;3,OFFSET($B$15,$F$46-15,0,1,12),0)),""),IF($B$46="Start",IFERROR(INDEX($B$39:$F$39,MATCH(4&amp;","&amp;3,$B$40:$F$40,0)),""),"")))</f>
      </c>
      <c r="F56" s="12">
        <f>IF(OR(5&gt;$B$5,3&gt;$B$6),"X",IF(IFERROR(INDEX(OFFSET($B$15,$D$46-15,0,1,12),MATCH(5&amp;","&amp;3,OFFSET($B$15,$F$46-15,0,1,12),0)),"")&lt;&gt;"",IFERROR(INDEX(OFFSET($B$15,$D$46-15,0,1,12),MATCH(5&amp;","&amp;3,OFFSET($B$15,$F$46-15,0,1,12),0)),""),IF($B$46="Start",IFERROR(INDEX($B$39:$F$39,MATCH(5&amp;","&amp;3,$B$40:$F$40,0)),""),"")))</f>
      </c>
      <c r="G56" s="12">
        <f>IF(OR(6&gt;$B$5,3&gt;$B$6),"X",IF(IFERROR(INDEX(OFFSET($B$15,$D$46-15,0,1,12),MATCH(6&amp;","&amp;3,OFFSET($B$15,$F$46-15,0,1,12),0)),"")&lt;&gt;"",IFERROR(INDEX(OFFSET($B$15,$D$46-15,0,1,12),MATCH(6&amp;","&amp;3,OFFSET($B$15,$F$46-15,0,1,12),0)),""),IF($B$46="Start",IFERROR(INDEX($B$39:$F$39,MATCH(6&amp;","&amp;3,$B$40:$F$40,0)),""),"")))</f>
      </c>
      <c r="H56" s="12">
        <f>IF(OR(7&gt;$B$5,3&gt;$B$6),"X",IF(IFERROR(INDEX(OFFSET($B$15,$D$46-15,0,1,12),MATCH(7&amp;","&amp;3,OFFSET($B$15,$F$46-15,0,1,12),0)),"")&lt;&gt;"",IFERROR(INDEX(OFFSET($B$15,$D$46-15,0,1,12),MATCH(7&amp;","&amp;3,OFFSET($B$15,$F$46-15,0,1,12),0)),""),IF($B$46="Start",IFERROR(INDEX($B$39:$F$39,MATCH(7&amp;","&amp;3,$B$40:$F$40,0)),""),"")))</f>
      </c>
      <c r="I56" s="12">
        <f>IF(OR(8&gt;$B$5,3&gt;$B$6),"X",IF(IFERROR(INDEX(OFFSET($B$15,$D$46-15,0,1,12),MATCH(8&amp;","&amp;3,OFFSET($B$15,$F$46-15,0,1,12),0)),"")&lt;&gt;"",IFERROR(INDEX(OFFSET($B$15,$D$46-15,0,1,12),MATCH(8&amp;","&amp;3,OFFSET($B$15,$F$46-15,0,1,12),0)),""),IF($B$46="Start",IFERROR(INDEX($B$39:$F$39,MATCH(8&amp;","&amp;3,$B$40:$F$40,0)),""),"")))</f>
      </c>
      <c r="J56" s="12">
        <f>IF(OR(9&gt;$B$5,3&gt;$B$6),"X",IF(IFERROR(INDEX(OFFSET($B$15,$D$46-15,0,1,12),MATCH(9&amp;","&amp;3,OFFSET($B$15,$F$46-15,0,1,12),0)),"")&lt;&gt;"",IFERROR(INDEX(OFFSET($B$15,$D$46-15,0,1,12),MATCH(9&amp;","&amp;3,OFFSET($B$15,$F$46-15,0,1,12),0)),""),IF($B$46="Start",IFERROR(INDEX($B$39:$F$39,MATCH(9&amp;","&amp;3,$B$40:$F$40,0)),""),"")))</f>
      </c>
      <c r="K56" s="12">
        <f>IF(OR(10&gt;$B$5,3&gt;$B$6),"X",IF(IFERROR(INDEX(OFFSET($B$15,$D$46-15,0,1,12),MATCH(10&amp;","&amp;3,OFFSET($B$15,$F$46-15,0,1,12),0)),"")&lt;&gt;"",IFERROR(INDEX(OFFSET($B$15,$D$46-15,0,1,12),MATCH(10&amp;","&amp;3,OFFSET($B$15,$F$46-15,0,1,12),0)),""),IF($B$46="Start",IFERROR(INDEX($B$39:$F$39,MATCH(10&amp;","&amp;3,$B$40:$F$40,0)),""),"")))</f>
      </c>
    </row>
    <row r="57">
      <c r="A57" s="11">
        <v>2</v>
      </c>
      <c r="B57" s="12">
        <f>IF(OR(1&gt;$B$5,2&gt;$B$6),"X",IF(IFERROR(INDEX(OFFSET($B$15,$D$46-15,0,1,12),MATCH(1&amp;","&amp;2,OFFSET($B$15,$F$46-15,0,1,12),0)),"")&lt;&gt;"",IFERROR(INDEX(OFFSET($B$15,$D$46-15,0,1,12),MATCH(1&amp;","&amp;2,OFFSET($B$15,$F$46-15,0,1,12),0)),""),IF($B$46="Start",IFERROR(INDEX($B$39:$F$39,MATCH(1&amp;","&amp;2,$B$40:$F$40,0)),""),"")))</f>
      </c>
      <c r="C57" s="12">
        <f>IF(OR(2&gt;$B$5,2&gt;$B$6),"X",IF(IFERROR(INDEX(OFFSET($B$15,$D$46-15,0,1,12),MATCH(2&amp;","&amp;2,OFFSET($B$15,$F$46-15,0,1,12),0)),"")&lt;&gt;"",IFERROR(INDEX(OFFSET($B$15,$D$46-15,0,1,12),MATCH(2&amp;","&amp;2,OFFSET($B$15,$F$46-15,0,1,12),0)),""),IF($B$46="Start",IFERROR(INDEX($B$39:$F$39,MATCH(2&amp;","&amp;2,$B$40:$F$40,0)),""),"")))</f>
      </c>
      <c r="D57" s="12">
        <f>IF(OR(3&gt;$B$5,2&gt;$B$6),"X",IF(IFERROR(INDEX(OFFSET($B$15,$D$46-15,0,1,12),MATCH(3&amp;","&amp;2,OFFSET($B$15,$F$46-15,0,1,12),0)),"")&lt;&gt;"",IFERROR(INDEX(OFFSET($B$15,$D$46-15,0,1,12),MATCH(3&amp;","&amp;2,OFFSET($B$15,$F$46-15,0,1,12),0)),""),IF($B$46="Start",IFERROR(INDEX($B$39:$F$39,MATCH(3&amp;","&amp;2,$B$40:$F$40,0)),""),"")))</f>
      </c>
      <c r="E57" s="12">
        <f>IF(OR(4&gt;$B$5,2&gt;$B$6),"X",IF(IFERROR(INDEX(OFFSET($B$15,$D$46-15,0,1,12),MATCH(4&amp;","&amp;2,OFFSET($B$15,$F$46-15,0,1,12),0)),"")&lt;&gt;"",IFERROR(INDEX(OFFSET($B$15,$D$46-15,0,1,12),MATCH(4&amp;","&amp;2,OFFSET($B$15,$F$46-15,0,1,12),0)),""),IF($B$46="Start",IFERROR(INDEX($B$39:$F$39,MATCH(4&amp;","&amp;2,$B$40:$F$40,0)),""),"")))</f>
      </c>
      <c r="F57" s="12">
        <f>IF(OR(5&gt;$B$5,2&gt;$B$6),"X",IF(IFERROR(INDEX(OFFSET($B$15,$D$46-15,0,1,12),MATCH(5&amp;","&amp;2,OFFSET($B$15,$F$46-15,0,1,12),0)),"")&lt;&gt;"",IFERROR(INDEX(OFFSET($B$15,$D$46-15,0,1,12),MATCH(5&amp;","&amp;2,OFFSET($B$15,$F$46-15,0,1,12),0)),""),IF($B$46="Start",IFERROR(INDEX($B$39:$F$39,MATCH(5&amp;","&amp;2,$B$40:$F$40,0)),""),"")))</f>
      </c>
      <c r="G57" s="12">
        <f>IF(OR(6&gt;$B$5,2&gt;$B$6),"X",IF(IFERROR(INDEX(OFFSET($B$15,$D$46-15,0,1,12),MATCH(6&amp;","&amp;2,OFFSET($B$15,$F$46-15,0,1,12),0)),"")&lt;&gt;"",IFERROR(INDEX(OFFSET($B$15,$D$46-15,0,1,12),MATCH(6&amp;","&amp;2,OFFSET($B$15,$F$46-15,0,1,12),0)),""),IF($B$46="Start",IFERROR(INDEX($B$39:$F$39,MATCH(6&amp;","&amp;2,$B$40:$F$40,0)),""),"")))</f>
      </c>
      <c r="H57" s="12">
        <f>IF(OR(7&gt;$B$5,2&gt;$B$6),"X",IF(IFERROR(INDEX(OFFSET($B$15,$D$46-15,0,1,12),MATCH(7&amp;","&amp;2,OFFSET($B$15,$F$46-15,0,1,12),0)),"")&lt;&gt;"",IFERROR(INDEX(OFFSET($B$15,$D$46-15,0,1,12),MATCH(7&amp;","&amp;2,OFFSET($B$15,$F$46-15,0,1,12),0)),""),IF($B$46="Start",IFERROR(INDEX($B$39:$F$39,MATCH(7&amp;","&amp;2,$B$40:$F$40,0)),""),"")))</f>
      </c>
      <c r="I57" s="12">
        <f>IF(OR(8&gt;$B$5,2&gt;$B$6),"X",IF(IFERROR(INDEX(OFFSET($B$15,$D$46-15,0,1,12),MATCH(8&amp;","&amp;2,OFFSET($B$15,$F$46-15,0,1,12),0)),"")&lt;&gt;"",IFERROR(INDEX(OFFSET($B$15,$D$46-15,0,1,12),MATCH(8&amp;","&amp;2,OFFSET($B$15,$F$46-15,0,1,12),0)),""),IF($B$46="Start",IFERROR(INDEX($B$39:$F$39,MATCH(8&amp;","&amp;2,$B$40:$F$40,0)),""),"")))</f>
      </c>
      <c r="J57" s="12">
        <f>IF(OR(9&gt;$B$5,2&gt;$B$6),"X",IF(IFERROR(INDEX(OFFSET($B$15,$D$46-15,0,1,12),MATCH(9&amp;","&amp;2,OFFSET($B$15,$F$46-15,0,1,12),0)),"")&lt;&gt;"",IFERROR(INDEX(OFFSET($B$15,$D$46-15,0,1,12),MATCH(9&amp;","&amp;2,OFFSET($B$15,$F$46-15,0,1,12),0)),""),IF($B$46="Start",IFERROR(INDEX($B$39:$F$39,MATCH(9&amp;","&amp;2,$B$40:$F$40,0)),""),"")))</f>
      </c>
      <c r="K57" s="12">
        <f>IF(OR(10&gt;$B$5,2&gt;$B$6),"X",IF(IFERROR(INDEX(OFFSET($B$15,$D$46-15,0,1,12),MATCH(10&amp;","&amp;2,OFFSET($B$15,$F$46-15,0,1,12),0)),"")&lt;&gt;"",IFERROR(INDEX(OFFSET($B$15,$D$46-15,0,1,12),MATCH(10&amp;","&amp;2,OFFSET($B$15,$F$46-15,0,1,12),0)),""),IF($B$46="Start",IFERROR(INDEX($B$39:$F$39,MATCH(10&amp;","&amp;2,$B$40:$F$40,0)),""),"")))</f>
      </c>
    </row>
    <row r="58">
      <c r="A58" s="11">
        <v>1</v>
      </c>
      <c r="B58" s="12">
        <f>IF(OR(1&gt;$B$5,1&gt;$B$6),"X",IF(IFERROR(INDEX(OFFSET($B$15,$D$46-15,0,1,12),MATCH(1&amp;","&amp;1,OFFSET($B$15,$F$46-15,0,1,12),0)),"")&lt;&gt;"",IFERROR(INDEX(OFFSET($B$15,$D$46-15,0,1,12),MATCH(1&amp;","&amp;1,OFFSET($B$15,$F$46-15,0,1,12),0)),""),IF($B$46="Start",IFERROR(INDEX($B$39:$F$39,MATCH(1&amp;","&amp;1,$B$40:$F$40,0)),""),"")))</f>
      </c>
      <c r="C58" s="12">
        <f>IF(OR(2&gt;$B$5,1&gt;$B$6),"X",IF(IFERROR(INDEX(OFFSET($B$15,$D$46-15,0,1,12),MATCH(2&amp;","&amp;1,OFFSET($B$15,$F$46-15,0,1,12),0)),"")&lt;&gt;"",IFERROR(INDEX(OFFSET($B$15,$D$46-15,0,1,12),MATCH(2&amp;","&amp;1,OFFSET($B$15,$F$46-15,0,1,12),0)),""),IF($B$46="Start",IFERROR(INDEX($B$39:$F$39,MATCH(2&amp;","&amp;1,$B$40:$F$40,0)),""),"")))</f>
      </c>
      <c r="D58" s="12">
        <f>IF(OR(3&gt;$B$5,1&gt;$B$6),"X",IF(IFERROR(INDEX(OFFSET($B$15,$D$46-15,0,1,12),MATCH(3&amp;","&amp;1,OFFSET($B$15,$F$46-15,0,1,12),0)),"")&lt;&gt;"",IFERROR(INDEX(OFFSET($B$15,$D$46-15,0,1,12),MATCH(3&amp;","&amp;1,OFFSET($B$15,$F$46-15,0,1,12),0)),""),IF($B$46="Start",IFERROR(INDEX($B$39:$F$39,MATCH(3&amp;","&amp;1,$B$40:$F$40,0)),""),"")))</f>
      </c>
      <c r="E58" s="12">
        <f>IF(OR(4&gt;$B$5,1&gt;$B$6),"X",IF(IFERROR(INDEX(OFFSET($B$15,$D$46-15,0,1,12),MATCH(4&amp;","&amp;1,OFFSET($B$15,$F$46-15,0,1,12),0)),"")&lt;&gt;"",IFERROR(INDEX(OFFSET($B$15,$D$46-15,0,1,12),MATCH(4&amp;","&amp;1,OFFSET($B$15,$F$46-15,0,1,12),0)),""),IF($B$46="Start",IFERROR(INDEX($B$39:$F$39,MATCH(4&amp;","&amp;1,$B$40:$F$40,0)),""),"")))</f>
      </c>
      <c r="F58" s="12">
        <f>IF(OR(5&gt;$B$5,1&gt;$B$6),"X",IF(IFERROR(INDEX(OFFSET($B$15,$D$46-15,0,1,12),MATCH(5&amp;","&amp;1,OFFSET($B$15,$F$46-15,0,1,12),0)),"")&lt;&gt;"",IFERROR(INDEX(OFFSET($B$15,$D$46-15,0,1,12),MATCH(5&amp;","&amp;1,OFFSET($B$15,$F$46-15,0,1,12),0)),""),IF($B$46="Start",IFERROR(INDEX($B$39:$F$39,MATCH(5&amp;","&amp;1,$B$40:$F$40,0)),""),"")))</f>
      </c>
      <c r="G58" s="12">
        <f>IF(OR(6&gt;$B$5,1&gt;$B$6),"X",IF(IFERROR(INDEX(OFFSET($B$15,$D$46-15,0,1,12),MATCH(6&amp;","&amp;1,OFFSET($B$15,$F$46-15,0,1,12),0)),"")&lt;&gt;"",IFERROR(INDEX(OFFSET($B$15,$D$46-15,0,1,12),MATCH(6&amp;","&amp;1,OFFSET($B$15,$F$46-15,0,1,12),0)),""),IF($B$46="Start",IFERROR(INDEX($B$39:$F$39,MATCH(6&amp;","&amp;1,$B$40:$F$40,0)),""),"")))</f>
      </c>
      <c r="H58" s="12">
        <f>IF(OR(7&gt;$B$5,1&gt;$B$6),"X",IF(IFERROR(INDEX(OFFSET($B$15,$D$46-15,0,1,12),MATCH(7&amp;","&amp;1,OFFSET($B$15,$F$46-15,0,1,12),0)),"")&lt;&gt;"",IFERROR(INDEX(OFFSET($B$15,$D$46-15,0,1,12),MATCH(7&amp;","&amp;1,OFFSET($B$15,$F$46-15,0,1,12),0)),""),IF($B$46="Start",IFERROR(INDEX($B$39:$F$39,MATCH(7&amp;","&amp;1,$B$40:$F$40,0)),""),"")))</f>
      </c>
      <c r="I58" s="12">
        <f>IF(OR(8&gt;$B$5,1&gt;$B$6),"X",IF(IFERROR(INDEX(OFFSET($B$15,$D$46-15,0,1,12),MATCH(8&amp;","&amp;1,OFFSET($B$15,$F$46-15,0,1,12),0)),"")&lt;&gt;"",IFERROR(INDEX(OFFSET($B$15,$D$46-15,0,1,12),MATCH(8&amp;","&amp;1,OFFSET($B$15,$F$46-15,0,1,12),0)),""),IF($B$46="Start",IFERROR(INDEX($B$39:$F$39,MATCH(8&amp;","&amp;1,$B$40:$F$40,0)),""),"")))</f>
      </c>
      <c r="J58" s="12">
        <f>IF(OR(9&gt;$B$5,1&gt;$B$6),"X",IF(IFERROR(INDEX(OFFSET($B$15,$D$46-15,0,1,12),MATCH(9&amp;","&amp;1,OFFSET($B$15,$F$46-15,0,1,12),0)),"")&lt;&gt;"",IFERROR(INDEX(OFFSET($B$15,$D$46-15,0,1,12),MATCH(9&amp;","&amp;1,OFFSET($B$15,$F$46-15,0,1,12),0)),""),IF($B$46="Start",IFERROR(INDEX($B$39:$F$39,MATCH(9&amp;","&amp;1,$B$40:$F$40,0)),""),"")))</f>
      </c>
      <c r="K58" s="12">
        <f>IF(OR(10&gt;$B$5,1&gt;$B$6),"X",IF(IFERROR(INDEX(OFFSET($B$15,$D$46-15,0,1,12),MATCH(10&amp;","&amp;1,OFFSET($B$15,$F$46-15,0,1,12),0)),"")&lt;&gt;"",IFERROR(INDEX(OFFSET($B$15,$D$46-15,0,1,12),MATCH(10&amp;","&amp;1,OFFSET($B$15,$F$46-15,0,1,12),0)),""),IF($B$46="Start",IFERROR(INDEX($B$39:$F$39,MATCH(10&amp;","&amp;1,$B$40:$F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M15" showErrorMessage="0" allowBlank="1">
      <formula1>=list_Prefab</formula1>
    </dataValidation>
    <dataValidation type="list" sqref="B17:M17" showErrorMessage="0" allowBlank="1">
      <formula1>=list_Prefab</formula1>
    </dataValidation>
    <dataValidation type="list" sqref="B19:M19" showErrorMessage="0" allowBlank="1">
      <formula1>=list_Prefab</formula1>
    </dataValidation>
    <dataValidation type="list" sqref="B21:M21" showErrorMessage="0" allowBlank="1">
      <formula1>=list_Prefab</formula1>
    </dataValidation>
    <dataValidation type="list" sqref="B23:M23" showErrorMessage="0" allowBlank="1">
      <formula1>=list_Prefab</formula1>
    </dataValidation>
    <dataValidation type="list" sqref="B25:M25" showErrorMessage="0" allowBlank="1">
      <formula1>=list_Prefab</formula1>
    </dataValidation>
    <dataValidation type="list" sqref="B27:M27" showErrorMessage="0" allowBlank="1">
      <formula1>=list_Prefab</formula1>
    </dataValidation>
    <dataValidation type="list" sqref="B29:M29" showErrorMessage="0" allowBlank="1">
      <formula1>=list_Prefab</formula1>
    </dataValidation>
    <dataValidation type="list" sqref="B31:M31" showErrorMessage="0" allowBlank="1">
      <formula1>=list_Prefab</formula1>
    </dataValidation>
    <dataValidation type="list" sqref="B33:M33" showErrorMessage="0" allowBlank="1">
      <formula1>=list_Prefab</formula1>
    </dataValidation>
    <dataValidation type="list" sqref="B35:M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32</v>
      </c>
    </row>
    <row r="2">
      <c r="A2" s="1" t="s">
        <v>3</v>
      </c>
      <c r="B2" s="0" t="s">
        <v>154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8</v>
      </c>
    </row>
    <row r="6">
      <c r="A6" s="4" t="s">
        <v>91</v>
      </c>
      <c r="B6" s="0">
        <v>8</v>
      </c>
    </row>
    <row r="7">
      <c r="A7" s="4" t="s">
        <v>92</v>
      </c>
      <c r="B7" s="0">
        <v>2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  <c r="C14" s="4" t="s">
        <v>101</v>
      </c>
      <c r="D14" s="4" t="s">
        <v>102</v>
      </c>
      <c r="E14" s="4" t="s">
        <v>103</v>
      </c>
      <c r="F14" s="4" t="s">
        <v>104</v>
      </c>
      <c r="G14" s="4" t="s">
        <v>105</v>
      </c>
      <c r="H14" s="4" t="s">
        <v>106</v>
      </c>
      <c r="I14" s="4" t="s">
        <v>107</v>
      </c>
      <c r="J14" s="4" t="s">
        <v>108</v>
      </c>
      <c r="K14" s="4" t="s">
        <v>109</v>
      </c>
      <c r="L14" s="4" t="s">
        <v>110</v>
      </c>
      <c r="M14" s="4" t="s">
        <v>111</v>
      </c>
      <c r="N14" s="4" t="s">
        <v>155</v>
      </c>
    </row>
    <row r="15">
      <c r="A15" s="1" t="s">
        <v>112</v>
      </c>
      <c r="B15" s="0" t="s">
        <v>42</v>
      </c>
      <c r="C15" s="0" t="s">
        <v>51</v>
      </c>
      <c r="D15" s="0" t="s">
        <v>54</v>
      </c>
      <c r="E15" s="0" t="s">
        <v>45</v>
      </c>
      <c r="F15" s="0" t="s">
        <v>57</v>
      </c>
      <c r="G15" s="0" t="s">
        <v>67</v>
      </c>
      <c r="H15" s="0" t="s">
        <v>48</v>
      </c>
      <c r="I15" s="0" t="s">
        <v>71</v>
      </c>
      <c r="J15" s="0" t="s">
        <v>75</v>
      </c>
      <c r="K15" s="0" t="s">
        <v>84</v>
      </c>
      <c r="L15" s="0" t="s">
        <v>63</v>
      </c>
      <c r="M15" s="0" t="s">
        <v>73</v>
      </c>
      <c r="N15" s="0" t="s">
        <v>80</v>
      </c>
    </row>
    <row r="16">
      <c r="A16" s="4" t="s">
        <v>113</v>
      </c>
      <c r="B16" s="0" t="s">
        <v>156</v>
      </c>
      <c r="C16" s="0" t="s">
        <v>114</v>
      </c>
      <c r="D16" s="0" t="s">
        <v>115</v>
      </c>
      <c r="E16" s="0" t="s">
        <v>116</v>
      </c>
      <c r="F16" s="0" t="s">
        <v>117</v>
      </c>
      <c r="G16" s="0" t="s">
        <v>118</v>
      </c>
      <c r="H16" s="0" t="s">
        <v>119</v>
      </c>
      <c r="I16" s="0" t="s">
        <v>120</v>
      </c>
      <c r="J16" s="0" t="s">
        <v>121</v>
      </c>
      <c r="K16" s="0" t="s">
        <v>122</v>
      </c>
      <c r="L16" s="0" t="s">
        <v>123</v>
      </c>
      <c r="M16" s="0" t="s">
        <v>124</v>
      </c>
      <c r="N16" s="0" t="s">
        <v>125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</row>
    <row r="40">
      <c r="A40" s="1" t="s">
        <v>132</v>
      </c>
      <c r="B40" s="0" t="s">
        <v>133</v>
      </c>
      <c r="C40" s="0" t="s">
        <v>134</v>
      </c>
      <c r="D40" s="0" t="s">
        <v>135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-15,0,1,13),MATCH(1&amp;","&amp;10,OFFSET($B$15,$F$46-15,0,1,13),0)),"")&lt;&gt;"",IFERROR(INDEX(OFFSET($B$15,$D$46-15,0,1,13),MATCH(1&amp;","&amp;10,OFFSET($B$15,$F$46-15,0,1,13),0)),""),IF($B$46="Start",IFERROR(INDEX($B$39:$F$39,MATCH(1&amp;","&amp;10,$B$40:$F$40,0)),""),"")))</f>
      </c>
      <c r="C49" s="12">
        <f>IF(OR(2&gt;$B$5,10&gt;$B$6),"X",IF(IFERROR(INDEX(OFFSET($B$15,$D$46-15,0,1,13),MATCH(2&amp;","&amp;10,OFFSET($B$15,$F$46-15,0,1,13),0)),"")&lt;&gt;"",IFERROR(INDEX(OFFSET($B$15,$D$46-15,0,1,13),MATCH(2&amp;","&amp;10,OFFSET($B$15,$F$46-15,0,1,13),0)),""),IF($B$46="Start",IFERROR(INDEX($B$39:$F$39,MATCH(2&amp;","&amp;10,$B$40:$F$40,0)),""),"")))</f>
      </c>
      <c r="D49" s="12">
        <f>IF(OR(3&gt;$B$5,10&gt;$B$6),"X",IF(IFERROR(INDEX(OFFSET($B$15,$D$46-15,0,1,13),MATCH(3&amp;","&amp;10,OFFSET($B$15,$F$46-15,0,1,13),0)),"")&lt;&gt;"",IFERROR(INDEX(OFFSET($B$15,$D$46-15,0,1,13),MATCH(3&amp;","&amp;10,OFFSET($B$15,$F$46-15,0,1,13),0)),""),IF($B$46="Start",IFERROR(INDEX($B$39:$F$39,MATCH(3&amp;","&amp;10,$B$40:$F$40,0)),""),"")))</f>
      </c>
      <c r="E49" s="12">
        <f>IF(OR(4&gt;$B$5,10&gt;$B$6),"X",IF(IFERROR(INDEX(OFFSET($B$15,$D$46-15,0,1,13),MATCH(4&amp;","&amp;10,OFFSET($B$15,$F$46-15,0,1,13),0)),"")&lt;&gt;"",IFERROR(INDEX(OFFSET($B$15,$D$46-15,0,1,13),MATCH(4&amp;","&amp;10,OFFSET($B$15,$F$46-15,0,1,13),0)),""),IF($B$46="Start",IFERROR(INDEX($B$39:$F$39,MATCH(4&amp;","&amp;10,$B$40:$F$40,0)),""),"")))</f>
      </c>
      <c r="F49" s="12">
        <f>IF(OR(5&gt;$B$5,10&gt;$B$6),"X",IF(IFERROR(INDEX(OFFSET($B$15,$D$46-15,0,1,13),MATCH(5&amp;","&amp;10,OFFSET($B$15,$F$46-15,0,1,13),0)),"")&lt;&gt;"",IFERROR(INDEX(OFFSET($B$15,$D$46-15,0,1,13),MATCH(5&amp;","&amp;10,OFFSET($B$15,$F$46-15,0,1,13),0)),""),IF($B$46="Start",IFERROR(INDEX($B$39:$F$39,MATCH(5&amp;","&amp;10,$B$40:$F$40,0)),""),"")))</f>
      </c>
      <c r="G49" s="12">
        <f>IF(OR(6&gt;$B$5,10&gt;$B$6),"X",IF(IFERROR(INDEX(OFFSET($B$15,$D$46-15,0,1,13),MATCH(6&amp;","&amp;10,OFFSET($B$15,$F$46-15,0,1,13),0)),"")&lt;&gt;"",IFERROR(INDEX(OFFSET($B$15,$D$46-15,0,1,13),MATCH(6&amp;","&amp;10,OFFSET($B$15,$F$46-15,0,1,13),0)),""),IF($B$46="Start",IFERROR(INDEX($B$39:$F$39,MATCH(6&amp;","&amp;10,$B$40:$F$40,0)),""),"")))</f>
      </c>
      <c r="H49" s="12">
        <f>IF(OR(7&gt;$B$5,10&gt;$B$6),"X",IF(IFERROR(INDEX(OFFSET($B$15,$D$46-15,0,1,13),MATCH(7&amp;","&amp;10,OFFSET($B$15,$F$46-15,0,1,13),0)),"")&lt;&gt;"",IFERROR(INDEX(OFFSET($B$15,$D$46-15,0,1,13),MATCH(7&amp;","&amp;10,OFFSET($B$15,$F$46-15,0,1,13),0)),""),IF($B$46="Start",IFERROR(INDEX($B$39:$F$39,MATCH(7&amp;","&amp;10,$B$40:$F$40,0)),""),"")))</f>
      </c>
      <c r="I49" s="12">
        <f>IF(OR(8&gt;$B$5,10&gt;$B$6),"X",IF(IFERROR(INDEX(OFFSET($B$15,$D$46-15,0,1,13),MATCH(8&amp;","&amp;10,OFFSET($B$15,$F$46-15,0,1,13),0)),"")&lt;&gt;"",IFERROR(INDEX(OFFSET($B$15,$D$46-15,0,1,13),MATCH(8&amp;","&amp;10,OFFSET($B$15,$F$46-15,0,1,13),0)),""),IF($B$46="Start",IFERROR(INDEX($B$39:$F$39,MATCH(8&amp;","&amp;10,$B$40:$F$40,0)),""),"")))</f>
      </c>
      <c r="J49" s="12">
        <f>IF(OR(9&gt;$B$5,10&gt;$B$6),"X",IF(IFERROR(INDEX(OFFSET($B$15,$D$46-15,0,1,13),MATCH(9&amp;","&amp;10,OFFSET($B$15,$F$46-15,0,1,13),0)),"")&lt;&gt;"",IFERROR(INDEX(OFFSET($B$15,$D$46-15,0,1,13),MATCH(9&amp;","&amp;10,OFFSET($B$15,$F$46-15,0,1,13),0)),""),IF($B$46="Start",IFERROR(INDEX($B$39:$F$39,MATCH(9&amp;","&amp;10,$B$40:$F$40,0)),""),"")))</f>
      </c>
      <c r="K49" s="12">
        <f>IF(OR(10&gt;$B$5,10&gt;$B$6),"X",IF(IFERROR(INDEX(OFFSET($B$15,$D$46-15,0,1,13),MATCH(10&amp;","&amp;10,OFFSET($B$15,$F$46-15,0,1,13),0)),"")&lt;&gt;"",IFERROR(INDEX(OFFSET($B$15,$D$46-15,0,1,13),MATCH(10&amp;","&amp;10,OFFSET($B$15,$F$46-15,0,1,13),0)),""),IF($B$46="Start",IFERROR(INDEX($B$39:$F$39,MATCH(10&amp;","&amp;10,$B$40:$F$40,0)),""),"")))</f>
      </c>
    </row>
    <row r="50">
      <c r="A50" s="11">
        <v>9</v>
      </c>
      <c r="B50" s="12">
        <f>IF(OR(1&gt;$B$5,9&gt;$B$6),"X",IF(IFERROR(INDEX(OFFSET($B$15,$D$46-15,0,1,13),MATCH(1&amp;","&amp;9,OFFSET($B$15,$F$46-15,0,1,13),0)),"")&lt;&gt;"",IFERROR(INDEX(OFFSET($B$15,$D$46-15,0,1,13),MATCH(1&amp;","&amp;9,OFFSET($B$15,$F$46-15,0,1,13),0)),""),IF($B$46="Start",IFERROR(INDEX($B$39:$F$39,MATCH(1&amp;","&amp;9,$B$40:$F$40,0)),""),"")))</f>
      </c>
      <c r="C50" s="12">
        <f>IF(OR(2&gt;$B$5,9&gt;$B$6),"X",IF(IFERROR(INDEX(OFFSET($B$15,$D$46-15,0,1,13),MATCH(2&amp;","&amp;9,OFFSET($B$15,$F$46-15,0,1,13),0)),"")&lt;&gt;"",IFERROR(INDEX(OFFSET($B$15,$D$46-15,0,1,13),MATCH(2&amp;","&amp;9,OFFSET($B$15,$F$46-15,0,1,13),0)),""),IF($B$46="Start",IFERROR(INDEX($B$39:$F$39,MATCH(2&amp;","&amp;9,$B$40:$F$40,0)),""),"")))</f>
      </c>
      <c r="D50" s="12">
        <f>IF(OR(3&gt;$B$5,9&gt;$B$6),"X",IF(IFERROR(INDEX(OFFSET($B$15,$D$46-15,0,1,13),MATCH(3&amp;","&amp;9,OFFSET($B$15,$F$46-15,0,1,13),0)),"")&lt;&gt;"",IFERROR(INDEX(OFFSET($B$15,$D$46-15,0,1,13),MATCH(3&amp;","&amp;9,OFFSET($B$15,$F$46-15,0,1,13),0)),""),IF($B$46="Start",IFERROR(INDEX($B$39:$F$39,MATCH(3&amp;","&amp;9,$B$40:$F$40,0)),""),"")))</f>
      </c>
      <c r="E50" s="12">
        <f>IF(OR(4&gt;$B$5,9&gt;$B$6),"X",IF(IFERROR(INDEX(OFFSET($B$15,$D$46-15,0,1,13),MATCH(4&amp;","&amp;9,OFFSET($B$15,$F$46-15,0,1,13),0)),"")&lt;&gt;"",IFERROR(INDEX(OFFSET($B$15,$D$46-15,0,1,13),MATCH(4&amp;","&amp;9,OFFSET($B$15,$F$46-15,0,1,13),0)),""),IF($B$46="Start",IFERROR(INDEX($B$39:$F$39,MATCH(4&amp;","&amp;9,$B$40:$F$40,0)),""),"")))</f>
      </c>
      <c r="F50" s="12">
        <f>IF(OR(5&gt;$B$5,9&gt;$B$6),"X",IF(IFERROR(INDEX(OFFSET($B$15,$D$46-15,0,1,13),MATCH(5&amp;","&amp;9,OFFSET($B$15,$F$46-15,0,1,13),0)),"")&lt;&gt;"",IFERROR(INDEX(OFFSET($B$15,$D$46-15,0,1,13),MATCH(5&amp;","&amp;9,OFFSET($B$15,$F$46-15,0,1,13),0)),""),IF($B$46="Start",IFERROR(INDEX($B$39:$F$39,MATCH(5&amp;","&amp;9,$B$40:$F$40,0)),""),"")))</f>
      </c>
      <c r="G50" s="12">
        <f>IF(OR(6&gt;$B$5,9&gt;$B$6),"X",IF(IFERROR(INDEX(OFFSET($B$15,$D$46-15,0,1,13),MATCH(6&amp;","&amp;9,OFFSET($B$15,$F$46-15,0,1,13),0)),"")&lt;&gt;"",IFERROR(INDEX(OFFSET($B$15,$D$46-15,0,1,13),MATCH(6&amp;","&amp;9,OFFSET($B$15,$F$46-15,0,1,13),0)),""),IF($B$46="Start",IFERROR(INDEX($B$39:$F$39,MATCH(6&amp;","&amp;9,$B$40:$F$40,0)),""),"")))</f>
      </c>
      <c r="H50" s="12">
        <f>IF(OR(7&gt;$B$5,9&gt;$B$6),"X",IF(IFERROR(INDEX(OFFSET($B$15,$D$46-15,0,1,13),MATCH(7&amp;","&amp;9,OFFSET($B$15,$F$46-15,0,1,13),0)),"")&lt;&gt;"",IFERROR(INDEX(OFFSET($B$15,$D$46-15,0,1,13),MATCH(7&amp;","&amp;9,OFFSET($B$15,$F$46-15,0,1,13),0)),""),IF($B$46="Start",IFERROR(INDEX($B$39:$F$39,MATCH(7&amp;","&amp;9,$B$40:$F$40,0)),""),"")))</f>
      </c>
      <c r="I50" s="12">
        <f>IF(OR(8&gt;$B$5,9&gt;$B$6),"X",IF(IFERROR(INDEX(OFFSET($B$15,$D$46-15,0,1,13),MATCH(8&amp;","&amp;9,OFFSET($B$15,$F$46-15,0,1,13),0)),"")&lt;&gt;"",IFERROR(INDEX(OFFSET($B$15,$D$46-15,0,1,13),MATCH(8&amp;","&amp;9,OFFSET($B$15,$F$46-15,0,1,13),0)),""),IF($B$46="Start",IFERROR(INDEX($B$39:$F$39,MATCH(8&amp;","&amp;9,$B$40:$F$40,0)),""),"")))</f>
      </c>
      <c r="J50" s="12">
        <f>IF(OR(9&gt;$B$5,9&gt;$B$6),"X",IF(IFERROR(INDEX(OFFSET($B$15,$D$46-15,0,1,13),MATCH(9&amp;","&amp;9,OFFSET($B$15,$F$46-15,0,1,13),0)),"")&lt;&gt;"",IFERROR(INDEX(OFFSET($B$15,$D$46-15,0,1,13),MATCH(9&amp;","&amp;9,OFFSET($B$15,$F$46-15,0,1,13),0)),""),IF($B$46="Start",IFERROR(INDEX($B$39:$F$39,MATCH(9&amp;","&amp;9,$B$40:$F$40,0)),""),"")))</f>
      </c>
      <c r="K50" s="12">
        <f>IF(OR(10&gt;$B$5,9&gt;$B$6),"X",IF(IFERROR(INDEX(OFFSET($B$15,$D$46-15,0,1,13),MATCH(10&amp;","&amp;9,OFFSET($B$15,$F$46-15,0,1,13),0)),"")&lt;&gt;"",IFERROR(INDEX(OFFSET($B$15,$D$46-15,0,1,13),MATCH(10&amp;","&amp;9,OFFSET($B$15,$F$46-15,0,1,13),0)),""),IF($B$46="Start",IFERROR(INDEX($B$39:$F$39,MATCH(10&amp;","&amp;9,$B$40:$F$40,0)),""),"")))</f>
      </c>
    </row>
    <row r="51">
      <c r="A51" s="11">
        <v>8</v>
      </c>
      <c r="B51" s="12">
        <f>IF(OR(1&gt;$B$5,8&gt;$B$6),"X",IF(IFERROR(INDEX(OFFSET($B$15,$D$46-15,0,1,13),MATCH(1&amp;","&amp;8,OFFSET($B$15,$F$46-15,0,1,13),0)),"")&lt;&gt;"",IFERROR(INDEX(OFFSET($B$15,$D$46-15,0,1,13),MATCH(1&amp;","&amp;8,OFFSET($B$15,$F$46-15,0,1,13),0)),""),IF($B$46="Start",IFERROR(INDEX($B$39:$F$39,MATCH(1&amp;","&amp;8,$B$40:$F$40,0)),""),"")))</f>
      </c>
      <c r="C51" s="12">
        <f>IF(OR(2&gt;$B$5,8&gt;$B$6),"X",IF(IFERROR(INDEX(OFFSET($B$15,$D$46-15,0,1,13),MATCH(2&amp;","&amp;8,OFFSET($B$15,$F$46-15,0,1,13),0)),"")&lt;&gt;"",IFERROR(INDEX(OFFSET($B$15,$D$46-15,0,1,13),MATCH(2&amp;","&amp;8,OFFSET($B$15,$F$46-15,0,1,13),0)),""),IF($B$46="Start",IFERROR(INDEX($B$39:$F$39,MATCH(2&amp;","&amp;8,$B$40:$F$40,0)),""),"")))</f>
      </c>
      <c r="D51" s="12">
        <f>IF(OR(3&gt;$B$5,8&gt;$B$6),"X",IF(IFERROR(INDEX(OFFSET($B$15,$D$46-15,0,1,13),MATCH(3&amp;","&amp;8,OFFSET($B$15,$F$46-15,0,1,13),0)),"")&lt;&gt;"",IFERROR(INDEX(OFFSET($B$15,$D$46-15,0,1,13),MATCH(3&amp;","&amp;8,OFFSET($B$15,$F$46-15,0,1,13),0)),""),IF($B$46="Start",IFERROR(INDEX($B$39:$F$39,MATCH(3&amp;","&amp;8,$B$40:$F$40,0)),""),"")))</f>
      </c>
      <c r="E51" s="12">
        <f>IF(OR(4&gt;$B$5,8&gt;$B$6),"X",IF(IFERROR(INDEX(OFFSET($B$15,$D$46-15,0,1,13),MATCH(4&amp;","&amp;8,OFFSET($B$15,$F$46-15,0,1,13),0)),"")&lt;&gt;"",IFERROR(INDEX(OFFSET($B$15,$D$46-15,0,1,13),MATCH(4&amp;","&amp;8,OFFSET($B$15,$F$46-15,0,1,13),0)),""),IF($B$46="Start",IFERROR(INDEX($B$39:$F$39,MATCH(4&amp;","&amp;8,$B$40:$F$40,0)),""),"")))</f>
      </c>
      <c r="F51" s="12">
        <f>IF(OR(5&gt;$B$5,8&gt;$B$6),"X",IF(IFERROR(INDEX(OFFSET($B$15,$D$46-15,0,1,13),MATCH(5&amp;","&amp;8,OFFSET($B$15,$F$46-15,0,1,13),0)),"")&lt;&gt;"",IFERROR(INDEX(OFFSET($B$15,$D$46-15,0,1,13),MATCH(5&amp;","&amp;8,OFFSET($B$15,$F$46-15,0,1,13),0)),""),IF($B$46="Start",IFERROR(INDEX($B$39:$F$39,MATCH(5&amp;","&amp;8,$B$40:$F$40,0)),""),"")))</f>
      </c>
      <c r="G51" s="12">
        <f>IF(OR(6&gt;$B$5,8&gt;$B$6),"X",IF(IFERROR(INDEX(OFFSET($B$15,$D$46-15,0,1,13),MATCH(6&amp;","&amp;8,OFFSET($B$15,$F$46-15,0,1,13),0)),"")&lt;&gt;"",IFERROR(INDEX(OFFSET($B$15,$D$46-15,0,1,13),MATCH(6&amp;","&amp;8,OFFSET($B$15,$F$46-15,0,1,13),0)),""),IF($B$46="Start",IFERROR(INDEX($B$39:$F$39,MATCH(6&amp;","&amp;8,$B$40:$F$40,0)),""),"")))</f>
      </c>
      <c r="H51" s="12">
        <f>IF(OR(7&gt;$B$5,8&gt;$B$6),"X",IF(IFERROR(INDEX(OFFSET($B$15,$D$46-15,0,1,13),MATCH(7&amp;","&amp;8,OFFSET($B$15,$F$46-15,0,1,13),0)),"")&lt;&gt;"",IFERROR(INDEX(OFFSET($B$15,$D$46-15,0,1,13),MATCH(7&amp;","&amp;8,OFFSET($B$15,$F$46-15,0,1,13),0)),""),IF($B$46="Start",IFERROR(INDEX($B$39:$F$39,MATCH(7&amp;","&amp;8,$B$40:$F$40,0)),""),"")))</f>
      </c>
      <c r="I51" s="12">
        <f>IF(OR(8&gt;$B$5,8&gt;$B$6),"X",IF(IFERROR(INDEX(OFFSET($B$15,$D$46-15,0,1,13),MATCH(8&amp;","&amp;8,OFFSET($B$15,$F$46-15,0,1,13),0)),"")&lt;&gt;"",IFERROR(INDEX(OFFSET($B$15,$D$46-15,0,1,13),MATCH(8&amp;","&amp;8,OFFSET($B$15,$F$46-15,0,1,13),0)),""),IF($B$46="Start",IFERROR(INDEX($B$39:$F$39,MATCH(8&amp;","&amp;8,$B$40:$F$40,0)),""),"")))</f>
      </c>
      <c r="J51" s="12">
        <f>IF(OR(9&gt;$B$5,8&gt;$B$6),"X",IF(IFERROR(INDEX(OFFSET($B$15,$D$46-15,0,1,13),MATCH(9&amp;","&amp;8,OFFSET($B$15,$F$46-15,0,1,13),0)),"")&lt;&gt;"",IFERROR(INDEX(OFFSET($B$15,$D$46-15,0,1,13),MATCH(9&amp;","&amp;8,OFFSET($B$15,$F$46-15,0,1,13),0)),""),IF($B$46="Start",IFERROR(INDEX($B$39:$F$39,MATCH(9&amp;","&amp;8,$B$40:$F$40,0)),""),"")))</f>
      </c>
      <c r="K51" s="12">
        <f>IF(OR(10&gt;$B$5,8&gt;$B$6),"X",IF(IFERROR(INDEX(OFFSET($B$15,$D$46-15,0,1,13),MATCH(10&amp;","&amp;8,OFFSET($B$15,$F$46-15,0,1,13),0)),"")&lt;&gt;"",IFERROR(INDEX(OFFSET($B$15,$D$46-15,0,1,13),MATCH(10&amp;","&amp;8,OFFSET($B$15,$F$46-15,0,1,13),0)),""),IF($B$46="Start",IFERROR(INDEX($B$39:$F$39,MATCH(10&amp;","&amp;8,$B$40:$F$40,0)),""),"")))</f>
      </c>
    </row>
    <row r="52">
      <c r="A52" s="11">
        <v>7</v>
      </c>
      <c r="B52" s="12">
        <f>IF(OR(1&gt;$B$5,7&gt;$B$6),"X",IF(IFERROR(INDEX(OFFSET($B$15,$D$46-15,0,1,13),MATCH(1&amp;","&amp;7,OFFSET($B$15,$F$46-15,0,1,13),0)),"")&lt;&gt;"",IFERROR(INDEX(OFFSET($B$15,$D$46-15,0,1,13),MATCH(1&amp;","&amp;7,OFFSET($B$15,$F$46-15,0,1,13),0)),""),IF($B$46="Start",IFERROR(INDEX($B$39:$F$39,MATCH(1&amp;","&amp;7,$B$40:$F$40,0)),""),"")))</f>
      </c>
      <c r="C52" s="12">
        <f>IF(OR(2&gt;$B$5,7&gt;$B$6),"X",IF(IFERROR(INDEX(OFFSET($B$15,$D$46-15,0,1,13),MATCH(2&amp;","&amp;7,OFFSET($B$15,$F$46-15,0,1,13),0)),"")&lt;&gt;"",IFERROR(INDEX(OFFSET($B$15,$D$46-15,0,1,13),MATCH(2&amp;","&amp;7,OFFSET($B$15,$F$46-15,0,1,13),0)),""),IF($B$46="Start",IFERROR(INDEX($B$39:$F$39,MATCH(2&amp;","&amp;7,$B$40:$F$40,0)),""),"")))</f>
      </c>
      <c r="D52" s="12">
        <f>IF(OR(3&gt;$B$5,7&gt;$B$6),"X",IF(IFERROR(INDEX(OFFSET($B$15,$D$46-15,0,1,13),MATCH(3&amp;","&amp;7,OFFSET($B$15,$F$46-15,0,1,13),0)),"")&lt;&gt;"",IFERROR(INDEX(OFFSET($B$15,$D$46-15,0,1,13),MATCH(3&amp;","&amp;7,OFFSET($B$15,$F$46-15,0,1,13),0)),""),IF($B$46="Start",IFERROR(INDEX($B$39:$F$39,MATCH(3&amp;","&amp;7,$B$40:$F$40,0)),""),"")))</f>
      </c>
      <c r="E52" s="12">
        <f>IF(OR(4&gt;$B$5,7&gt;$B$6),"X",IF(IFERROR(INDEX(OFFSET($B$15,$D$46-15,0,1,13),MATCH(4&amp;","&amp;7,OFFSET($B$15,$F$46-15,0,1,13),0)),"")&lt;&gt;"",IFERROR(INDEX(OFFSET($B$15,$D$46-15,0,1,13),MATCH(4&amp;","&amp;7,OFFSET($B$15,$F$46-15,0,1,13),0)),""),IF($B$46="Start",IFERROR(INDEX($B$39:$F$39,MATCH(4&amp;","&amp;7,$B$40:$F$40,0)),""),"")))</f>
      </c>
      <c r="F52" s="12">
        <f>IF(OR(5&gt;$B$5,7&gt;$B$6),"X",IF(IFERROR(INDEX(OFFSET($B$15,$D$46-15,0,1,13),MATCH(5&amp;","&amp;7,OFFSET($B$15,$F$46-15,0,1,13),0)),"")&lt;&gt;"",IFERROR(INDEX(OFFSET($B$15,$D$46-15,0,1,13),MATCH(5&amp;","&amp;7,OFFSET($B$15,$F$46-15,0,1,13),0)),""),IF($B$46="Start",IFERROR(INDEX($B$39:$F$39,MATCH(5&amp;","&amp;7,$B$40:$F$40,0)),""),"")))</f>
      </c>
      <c r="G52" s="12">
        <f>IF(OR(6&gt;$B$5,7&gt;$B$6),"X",IF(IFERROR(INDEX(OFFSET($B$15,$D$46-15,0,1,13),MATCH(6&amp;","&amp;7,OFFSET($B$15,$F$46-15,0,1,13),0)),"")&lt;&gt;"",IFERROR(INDEX(OFFSET($B$15,$D$46-15,0,1,13),MATCH(6&amp;","&amp;7,OFFSET($B$15,$F$46-15,0,1,13),0)),""),IF($B$46="Start",IFERROR(INDEX($B$39:$F$39,MATCH(6&amp;","&amp;7,$B$40:$F$40,0)),""),"")))</f>
      </c>
      <c r="H52" s="12">
        <f>IF(OR(7&gt;$B$5,7&gt;$B$6),"X",IF(IFERROR(INDEX(OFFSET($B$15,$D$46-15,0,1,13),MATCH(7&amp;","&amp;7,OFFSET($B$15,$F$46-15,0,1,13),0)),"")&lt;&gt;"",IFERROR(INDEX(OFFSET($B$15,$D$46-15,0,1,13),MATCH(7&amp;","&amp;7,OFFSET($B$15,$F$46-15,0,1,13),0)),""),IF($B$46="Start",IFERROR(INDEX($B$39:$F$39,MATCH(7&amp;","&amp;7,$B$40:$F$40,0)),""),"")))</f>
      </c>
      <c r="I52" s="12">
        <f>IF(OR(8&gt;$B$5,7&gt;$B$6),"X",IF(IFERROR(INDEX(OFFSET($B$15,$D$46-15,0,1,13),MATCH(8&amp;","&amp;7,OFFSET($B$15,$F$46-15,0,1,13),0)),"")&lt;&gt;"",IFERROR(INDEX(OFFSET($B$15,$D$46-15,0,1,13),MATCH(8&amp;","&amp;7,OFFSET($B$15,$F$46-15,0,1,13),0)),""),IF($B$46="Start",IFERROR(INDEX($B$39:$F$39,MATCH(8&amp;","&amp;7,$B$40:$F$40,0)),""),"")))</f>
      </c>
      <c r="J52" s="12">
        <f>IF(OR(9&gt;$B$5,7&gt;$B$6),"X",IF(IFERROR(INDEX(OFFSET($B$15,$D$46-15,0,1,13),MATCH(9&amp;","&amp;7,OFFSET($B$15,$F$46-15,0,1,13),0)),"")&lt;&gt;"",IFERROR(INDEX(OFFSET($B$15,$D$46-15,0,1,13),MATCH(9&amp;","&amp;7,OFFSET($B$15,$F$46-15,0,1,13),0)),""),IF($B$46="Start",IFERROR(INDEX($B$39:$F$39,MATCH(9&amp;","&amp;7,$B$40:$F$40,0)),""),"")))</f>
      </c>
      <c r="K52" s="12">
        <f>IF(OR(10&gt;$B$5,7&gt;$B$6),"X",IF(IFERROR(INDEX(OFFSET($B$15,$D$46-15,0,1,13),MATCH(10&amp;","&amp;7,OFFSET($B$15,$F$46-15,0,1,13),0)),"")&lt;&gt;"",IFERROR(INDEX(OFFSET($B$15,$D$46-15,0,1,13),MATCH(10&amp;","&amp;7,OFFSET($B$15,$F$46-15,0,1,13),0)),""),IF($B$46="Start",IFERROR(INDEX($B$39:$F$39,MATCH(10&amp;","&amp;7,$B$40:$F$40,0)),""),"")))</f>
      </c>
    </row>
    <row r="53">
      <c r="A53" s="11">
        <v>6</v>
      </c>
      <c r="B53" s="12">
        <f>IF(OR(1&gt;$B$5,6&gt;$B$6),"X",IF(IFERROR(INDEX(OFFSET($B$15,$D$46-15,0,1,13),MATCH(1&amp;","&amp;6,OFFSET($B$15,$F$46-15,0,1,13),0)),"")&lt;&gt;"",IFERROR(INDEX(OFFSET($B$15,$D$46-15,0,1,13),MATCH(1&amp;","&amp;6,OFFSET($B$15,$F$46-15,0,1,13),0)),""),IF($B$46="Start",IFERROR(INDEX($B$39:$F$39,MATCH(1&amp;","&amp;6,$B$40:$F$40,0)),""),"")))</f>
      </c>
      <c r="C53" s="12">
        <f>IF(OR(2&gt;$B$5,6&gt;$B$6),"X",IF(IFERROR(INDEX(OFFSET($B$15,$D$46-15,0,1,13),MATCH(2&amp;","&amp;6,OFFSET($B$15,$F$46-15,0,1,13),0)),"")&lt;&gt;"",IFERROR(INDEX(OFFSET($B$15,$D$46-15,0,1,13),MATCH(2&amp;","&amp;6,OFFSET($B$15,$F$46-15,0,1,13),0)),""),IF($B$46="Start",IFERROR(INDEX($B$39:$F$39,MATCH(2&amp;","&amp;6,$B$40:$F$40,0)),""),"")))</f>
      </c>
      <c r="D53" s="12">
        <f>IF(OR(3&gt;$B$5,6&gt;$B$6),"X",IF(IFERROR(INDEX(OFFSET($B$15,$D$46-15,0,1,13),MATCH(3&amp;","&amp;6,OFFSET($B$15,$F$46-15,0,1,13),0)),"")&lt;&gt;"",IFERROR(INDEX(OFFSET($B$15,$D$46-15,0,1,13),MATCH(3&amp;","&amp;6,OFFSET($B$15,$F$46-15,0,1,13),0)),""),IF($B$46="Start",IFERROR(INDEX($B$39:$F$39,MATCH(3&amp;","&amp;6,$B$40:$F$40,0)),""),"")))</f>
      </c>
      <c r="E53" s="12">
        <f>IF(OR(4&gt;$B$5,6&gt;$B$6),"X",IF(IFERROR(INDEX(OFFSET($B$15,$D$46-15,0,1,13),MATCH(4&amp;","&amp;6,OFFSET($B$15,$F$46-15,0,1,13),0)),"")&lt;&gt;"",IFERROR(INDEX(OFFSET($B$15,$D$46-15,0,1,13),MATCH(4&amp;","&amp;6,OFFSET($B$15,$F$46-15,0,1,13),0)),""),IF($B$46="Start",IFERROR(INDEX($B$39:$F$39,MATCH(4&amp;","&amp;6,$B$40:$F$40,0)),""),"")))</f>
      </c>
      <c r="F53" s="12">
        <f>IF(OR(5&gt;$B$5,6&gt;$B$6),"X",IF(IFERROR(INDEX(OFFSET($B$15,$D$46-15,0,1,13),MATCH(5&amp;","&amp;6,OFFSET($B$15,$F$46-15,0,1,13),0)),"")&lt;&gt;"",IFERROR(INDEX(OFFSET($B$15,$D$46-15,0,1,13),MATCH(5&amp;","&amp;6,OFFSET($B$15,$F$46-15,0,1,13),0)),""),IF($B$46="Start",IFERROR(INDEX($B$39:$F$39,MATCH(5&amp;","&amp;6,$B$40:$F$40,0)),""),"")))</f>
      </c>
      <c r="G53" s="12">
        <f>IF(OR(6&gt;$B$5,6&gt;$B$6),"X",IF(IFERROR(INDEX(OFFSET($B$15,$D$46-15,0,1,13),MATCH(6&amp;","&amp;6,OFFSET($B$15,$F$46-15,0,1,13),0)),"")&lt;&gt;"",IFERROR(INDEX(OFFSET($B$15,$D$46-15,0,1,13),MATCH(6&amp;","&amp;6,OFFSET($B$15,$F$46-15,0,1,13),0)),""),IF($B$46="Start",IFERROR(INDEX($B$39:$F$39,MATCH(6&amp;","&amp;6,$B$40:$F$40,0)),""),"")))</f>
      </c>
      <c r="H53" s="12">
        <f>IF(OR(7&gt;$B$5,6&gt;$B$6),"X",IF(IFERROR(INDEX(OFFSET($B$15,$D$46-15,0,1,13),MATCH(7&amp;","&amp;6,OFFSET($B$15,$F$46-15,0,1,13),0)),"")&lt;&gt;"",IFERROR(INDEX(OFFSET($B$15,$D$46-15,0,1,13),MATCH(7&amp;","&amp;6,OFFSET($B$15,$F$46-15,0,1,13),0)),""),IF($B$46="Start",IFERROR(INDEX($B$39:$F$39,MATCH(7&amp;","&amp;6,$B$40:$F$40,0)),""),"")))</f>
      </c>
      <c r="I53" s="12">
        <f>IF(OR(8&gt;$B$5,6&gt;$B$6),"X",IF(IFERROR(INDEX(OFFSET($B$15,$D$46-15,0,1,13),MATCH(8&amp;","&amp;6,OFFSET($B$15,$F$46-15,0,1,13),0)),"")&lt;&gt;"",IFERROR(INDEX(OFFSET($B$15,$D$46-15,0,1,13),MATCH(8&amp;","&amp;6,OFFSET($B$15,$F$46-15,0,1,13),0)),""),IF($B$46="Start",IFERROR(INDEX($B$39:$F$39,MATCH(8&amp;","&amp;6,$B$40:$F$40,0)),""),"")))</f>
      </c>
      <c r="J53" s="12">
        <f>IF(OR(9&gt;$B$5,6&gt;$B$6),"X",IF(IFERROR(INDEX(OFFSET($B$15,$D$46-15,0,1,13),MATCH(9&amp;","&amp;6,OFFSET($B$15,$F$46-15,0,1,13),0)),"")&lt;&gt;"",IFERROR(INDEX(OFFSET($B$15,$D$46-15,0,1,13),MATCH(9&amp;","&amp;6,OFFSET($B$15,$F$46-15,0,1,13),0)),""),IF($B$46="Start",IFERROR(INDEX($B$39:$F$39,MATCH(9&amp;","&amp;6,$B$40:$F$40,0)),""),"")))</f>
      </c>
      <c r="K53" s="12">
        <f>IF(OR(10&gt;$B$5,6&gt;$B$6),"X",IF(IFERROR(INDEX(OFFSET($B$15,$D$46-15,0,1,13),MATCH(10&amp;","&amp;6,OFFSET($B$15,$F$46-15,0,1,13),0)),"")&lt;&gt;"",IFERROR(INDEX(OFFSET($B$15,$D$46-15,0,1,13),MATCH(10&amp;","&amp;6,OFFSET($B$15,$F$46-15,0,1,13),0)),""),IF($B$46="Start",IFERROR(INDEX($B$39:$F$39,MATCH(10&amp;","&amp;6,$B$40:$F$40,0)),""),"")))</f>
      </c>
    </row>
    <row r="54">
      <c r="A54" s="11">
        <v>5</v>
      </c>
      <c r="B54" s="12">
        <f>IF(OR(1&gt;$B$5,5&gt;$B$6),"X",IF(IFERROR(INDEX(OFFSET($B$15,$D$46-15,0,1,13),MATCH(1&amp;","&amp;5,OFFSET($B$15,$F$46-15,0,1,13),0)),"")&lt;&gt;"",IFERROR(INDEX(OFFSET($B$15,$D$46-15,0,1,13),MATCH(1&amp;","&amp;5,OFFSET($B$15,$F$46-15,0,1,13),0)),""),IF($B$46="Start",IFERROR(INDEX($B$39:$F$39,MATCH(1&amp;","&amp;5,$B$40:$F$40,0)),""),"")))</f>
      </c>
      <c r="C54" s="12">
        <f>IF(OR(2&gt;$B$5,5&gt;$B$6),"X",IF(IFERROR(INDEX(OFFSET($B$15,$D$46-15,0,1,13),MATCH(2&amp;","&amp;5,OFFSET($B$15,$F$46-15,0,1,13),0)),"")&lt;&gt;"",IFERROR(INDEX(OFFSET($B$15,$D$46-15,0,1,13),MATCH(2&amp;","&amp;5,OFFSET($B$15,$F$46-15,0,1,13),0)),""),IF($B$46="Start",IFERROR(INDEX($B$39:$F$39,MATCH(2&amp;","&amp;5,$B$40:$F$40,0)),""),"")))</f>
      </c>
      <c r="D54" s="12">
        <f>IF(OR(3&gt;$B$5,5&gt;$B$6),"X",IF(IFERROR(INDEX(OFFSET($B$15,$D$46-15,0,1,13),MATCH(3&amp;","&amp;5,OFFSET($B$15,$F$46-15,0,1,13),0)),"")&lt;&gt;"",IFERROR(INDEX(OFFSET($B$15,$D$46-15,0,1,13),MATCH(3&amp;","&amp;5,OFFSET($B$15,$F$46-15,0,1,13),0)),""),IF($B$46="Start",IFERROR(INDEX($B$39:$F$39,MATCH(3&amp;","&amp;5,$B$40:$F$40,0)),""),"")))</f>
      </c>
      <c r="E54" s="12">
        <f>IF(OR(4&gt;$B$5,5&gt;$B$6),"X",IF(IFERROR(INDEX(OFFSET($B$15,$D$46-15,0,1,13),MATCH(4&amp;","&amp;5,OFFSET($B$15,$F$46-15,0,1,13),0)),"")&lt;&gt;"",IFERROR(INDEX(OFFSET($B$15,$D$46-15,0,1,13),MATCH(4&amp;","&amp;5,OFFSET($B$15,$F$46-15,0,1,13),0)),""),IF($B$46="Start",IFERROR(INDEX($B$39:$F$39,MATCH(4&amp;","&amp;5,$B$40:$F$40,0)),""),"")))</f>
      </c>
      <c r="F54" s="12">
        <f>IF(OR(5&gt;$B$5,5&gt;$B$6),"X",IF(IFERROR(INDEX(OFFSET($B$15,$D$46-15,0,1,13),MATCH(5&amp;","&amp;5,OFFSET($B$15,$F$46-15,0,1,13),0)),"")&lt;&gt;"",IFERROR(INDEX(OFFSET($B$15,$D$46-15,0,1,13),MATCH(5&amp;","&amp;5,OFFSET($B$15,$F$46-15,0,1,13),0)),""),IF($B$46="Start",IFERROR(INDEX($B$39:$F$39,MATCH(5&amp;","&amp;5,$B$40:$F$40,0)),""),"")))</f>
      </c>
      <c r="G54" s="12">
        <f>IF(OR(6&gt;$B$5,5&gt;$B$6),"X",IF(IFERROR(INDEX(OFFSET($B$15,$D$46-15,0,1,13),MATCH(6&amp;","&amp;5,OFFSET($B$15,$F$46-15,0,1,13),0)),"")&lt;&gt;"",IFERROR(INDEX(OFFSET($B$15,$D$46-15,0,1,13),MATCH(6&amp;","&amp;5,OFFSET($B$15,$F$46-15,0,1,13),0)),""),IF($B$46="Start",IFERROR(INDEX($B$39:$F$39,MATCH(6&amp;","&amp;5,$B$40:$F$40,0)),""),"")))</f>
      </c>
      <c r="H54" s="12">
        <f>IF(OR(7&gt;$B$5,5&gt;$B$6),"X",IF(IFERROR(INDEX(OFFSET($B$15,$D$46-15,0,1,13),MATCH(7&amp;","&amp;5,OFFSET($B$15,$F$46-15,0,1,13),0)),"")&lt;&gt;"",IFERROR(INDEX(OFFSET($B$15,$D$46-15,0,1,13),MATCH(7&amp;","&amp;5,OFFSET($B$15,$F$46-15,0,1,13),0)),""),IF($B$46="Start",IFERROR(INDEX($B$39:$F$39,MATCH(7&amp;","&amp;5,$B$40:$F$40,0)),""),"")))</f>
      </c>
      <c r="I54" s="12">
        <f>IF(OR(8&gt;$B$5,5&gt;$B$6),"X",IF(IFERROR(INDEX(OFFSET($B$15,$D$46-15,0,1,13),MATCH(8&amp;","&amp;5,OFFSET($B$15,$F$46-15,0,1,13),0)),"")&lt;&gt;"",IFERROR(INDEX(OFFSET($B$15,$D$46-15,0,1,13),MATCH(8&amp;","&amp;5,OFFSET($B$15,$F$46-15,0,1,13),0)),""),IF($B$46="Start",IFERROR(INDEX($B$39:$F$39,MATCH(8&amp;","&amp;5,$B$40:$F$40,0)),""),"")))</f>
      </c>
      <c r="J54" s="12">
        <f>IF(OR(9&gt;$B$5,5&gt;$B$6),"X",IF(IFERROR(INDEX(OFFSET($B$15,$D$46-15,0,1,13),MATCH(9&amp;","&amp;5,OFFSET($B$15,$F$46-15,0,1,13),0)),"")&lt;&gt;"",IFERROR(INDEX(OFFSET($B$15,$D$46-15,0,1,13),MATCH(9&amp;","&amp;5,OFFSET($B$15,$F$46-15,0,1,13),0)),""),IF($B$46="Start",IFERROR(INDEX($B$39:$F$39,MATCH(9&amp;","&amp;5,$B$40:$F$40,0)),""),"")))</f>
      </c>
      <c r="K54" s="12">
        <f>IF(OR(10&gt;$B$5,5&gt;$B$6),"X",IF(IFERROR(INDEX(OFFSET($B$15,$D$46-15,0,1,13),MATCH(10&amp;","&amp;5,OFFSET($B$15,$F$46-15,0,1,13),0)),"")&lt;&gt;"",IFERROR(INDEX(OFFSET($B$15,$D$46-15,0,1,13),MATCH(10&amp;","&amp;5,OFFSET($B$15,$F$46-15,0,1,13),0)),""),IF($B$46="Start",IFERROR(INDEX($B$39:$F$39,MATCH(10&amp;","&amp;5,$B$40:$F$40,0)),""),"")))</f>
      </c>
    </row>
    <row r="55">
      <c r="A55" s="11">
        <v>4</v>
      </c>
      <c r="B55" s="12">
        <f>IF(OR(1&gt;$B$5,4&gt;$B$6),"X",IF(IFERROR(INDEX(OFFSET($B$15,$D$46-15,0,1,13),MATCH(1&amp;","&amp;4,OFFSET($B$15,$F$46-15,0,1,13),0)),"")&lt;&gt;"",IFERROR(INDEX(OFFSET($B$15,$D$46-15,0,1,13),MATCH(1&amp;","&amp;4,OFFSET($B$15,$F$46-15,0,1,13),0)),""),IF($B$46="Start",IFERROR(INDEX($B$39:$F$39,MATCH(1&amp;","&amp;4,$B$40:$F$40,0)),""),"")))</f>
      </c>
      <c r="C55" s="12">
        <f>IF(OR(2&gt;$B$5,4&gt;$B$6),"X",IF(IFERROR(INDEX(OFFSET($B$15,$D$46-15,0,1,13),MATCH(2&amp;","&amp;4,OFFSET($B$15,$F$46-15,0,1,13),0)),"")&lt;&gt;"",IFERROR(INDEX(OFFSET($B$15,$D$46-15,0,1,13),MATCH(2&amp;","&amp;4,OFFSET($B$15,$F$46-15,0,1,13),0)),""),IF($B$46="Start",IFERROR(INDEX($B$39:$F$39,MATCH(2&amp;","&amp;4,$B$40:$F$40,0)),""),"")))</f>
      </c>
      <c r="D55" s="12">
        <f>IF(OR(3&gt;$B$5,4&gt;$B$6),"X",IF(IFERROR(INDEX(OFFSET($B$15,$D$46-15,0,1,13),MATCH(3&amp;","&amp;4,OFFSET($B$15,$F$46-15,0,1,13),0)),"")&lt;&gt;"",IFERROR(INDEX(OFFSET($B$15,$D$46-15,0,1,13),MATCH(3&amp;","&amp;4,OFFSET($B$15,$F$46-15,0,1,13),0)),""),IF($B$46="Start",IFERROR(INDEX($B$39:$F$39,MATCH(3&amp;","&amp;4,$B$40:$F$40,0)),""),"")))</f>
      </c>
      <c r="E55" s="12">
        <f>IF(OR(4&gt;$B$5,4&gt;$B$6),"X",IF(IFERROR(INDEX(OFFSET($B$15,$D$46-15,0,1,13),MATCH(4&amp;","&amp;4,OFFSET($B$15,$F$46-15,0,1,13),0)),"")&lt;&gt;"",IFERROR(INDEX(OFFSET($B$15,$D$46-15,0,1,13),MATCH(4&amp;","&amp;4,OFFSET($B$15,$F$46-15,0,1,13),0)),""),IF($B$46="Start",IFERROR(INDEX($B$39:$F$39,MATCH(4&amp;","&amp;4,$B$40:$F$40,0)),""),"")))</f>
      </c>
      <c r="F55" s="12">
        <f>IF(OR(5&gt;$B$5,4&gt;$B$6),"X",IF(IFERROR(INDEX(OFFSET($B$15,$D$46-15,0,1,13),MATCH(5&amp;","&amp;4,OFFSET($B$15,$F$46-15,0,1,13),0)),"")&lt;&gt;"",IFERROR(INDEX(OFFSET($B$15,$D$46-15,0,1,13),MATCH(5&amp;","&amp;4,OFFSET($B$15,$F$46-15,0,1,13),0)),""),IF($B$46="Start",IFERROR(INDEX($B$39:$F$39,MATCH(5&amp;","&amp;4,$B$40:$F$40,0)),""),"")))</f>
      </c>
      <c r="G55" s="12">
        <f>IF(OR(6&gt;$B$5,4&gt;$B$6),"X",IF(IFERROR(INDEX(OFFSET($B$15,$D$46-15,0,1,13),MATCH(6&amp;","&amp;4,OFFSET($B$15,$F$46-15,0,1,13),0)),"")&lt;&gt;"",IFERROR(INDEX(OFFSET($B$15,$D$46-15,0,1,13),MATCH(6&amp;","&amp;4,OFFSET($B$15,$F$46-15,0,1,13),0)),""),IF($B$46="Start",IFERROR(INDEX($B$39:$F$39,MATCH(6&amp;","&amp;4,$B$40:$F$40,0)),""),"")))</f>
      </c>
      <c r="H55" s="12">
        <f>IF(OR(7&gt;$B$5,4&gt;$B$6),"X",IF(IFERROR(INDEX(OFFSET($B$15,$D$46-15,0,1,13),MATCH(7&amp;","&amp;4,OFFSET($B$15,$F$46-15,0,1,13),0)),"")&lt;&gt;"",IFERROR(INDEX(OFFSET($B$15,$D$46-15,0,1,13),MATCH(7&amp;","&amp;4,OFFSET($B$15,$F$46-15,0,1,13),0)),""),IF($B$46="Start",IFERROR(INDEX($B$39:$F$39,MATCH(7&amp;","&amp;4,$B$40:$F$40,0)),""),"")))</f>
      </c>
      <c r="I55" s="12">
        <f>IF(OR(8&gt;$B$5,4&gt;$B$6),"X",IF(IFERROR(INDEX(OFFSET($B$15,$D$46-15,0,1,13),MATCH(8&amp;","&amp;4,OFFSET($B$15,$F$46-15,0,1,13),0)),"")&lt;&gt;"",IFERROR(INDEX(OFFSET($B$15,$D$46-15,0,1,13),MATCH(8&amp;","&amp;4,OFFSET($B$15,$F$46-15,0,1,13),0)),""),IF($B$46="Start",IFERROR(INDEX($B$39:$F$39,MATCH(8&amp;","&amp;4,$B$40:$F$40,0)),""),"")))</f>
      </c>
      <c r="J55" s="12">
        <f>IF(OR(9&gt;$B$5,4&gt;$B$6),"X",IF(IFERROR(INDEX(OFFSET($B$15,$D$46-15,0,1,13),MATCH(9&amp;","&amp;4,OFFSET($B$15,$F$46-15,0,1,13),0)),"")&lt;&gt;"",IFERROR(INDEX(OFFSET($B$15,$D$46-15,0,1,13),MATCH(9&amp;","&amp;4,OFFSET($B$15,$F$46-15,0,1,13),0)),""),IF($B$46="Start",IFERROR(INDEX($B$39:$F$39,MATCH(9&amp;","&amp;4,$B$40:$F$40,0)),""),"")))</f>
      </c>
      <c r="K55" s="12">
        <f>IF(OR(10&gt;$B$5,4&gt;$B$6),"X",IF(IFERROR(INDEX(OFFSET($B$15,$D$46-15,0,1,13),MATCH(10&amp;","&amp;4,OFFSET($B$15,$F$46-15,0,1,13),0)),"")&lt;&gt;"",IFERROR(INDEX(OFFSET($B$15,$D$46-15,0,1,13),MATCH(10&amp;","&amp;4,OFFSET($B$15,$F$46-15,0,1,13),0)),""),IF($B$46="Start",IFERROR(INDEX($B$39:$F$39,MATCH(10&amp;","&amp;4,$B$40:$F$40,0)),""),"")))</f>
      </c>
    </row>
    <row r="56">
      <c r="A56" s="11">
        <v>3</v>
      </c>
      <c r="B56" s="12">
        <f>IF(OR(1&gt;$B$5,3&gt;$B$6),"X",IF(IFERROR(INDEX(OFFSET($B$15,$D$46-15,0,1,13),MATCH(1&amp;","&amp;3,OFFSET($B$15,$F$46-15,0,1,13),0)),"")&lt;&gt;"",IFERROR(INDEX(OFFSET($B$15,$D$46-15,0,1,13),MATCH(1&amp;","&amp;3,OFFSET($B$15,$F$46-15,0,1,13),0)),""),IF($B$46="Start",IFERROR(INDEX($B$39:$F$39,MATCH(1&amp;","&amp;3,$B$40:$F$40,0)),""),"")))</f>
      </c>
      <c r="C56" s="12">
        <f>IF(OR(2&gt;$B$5,3&gt;$B$6),"X",IF(IFERROR(INDEX(OFFSET($B$15,$D$46-15,0,1,13),MATCH(2&amp;","&amp;3,OFFSET($B$15,$F$46-15,0,1,13),0)),"")&lt;&gt;"",IFERROR(INDEX(OFFSET($B$15,$D$46-15,0,1,13),MATCH(2&amp;","&amp;3,OFFSET($B$15,$F$46-15,0,1,13),0)),""),IF($B$46="Start",IFERROR(INDEX($B$39:$F$39,MATCH(2&amp;","&amp;3,$B$40:$F$40,0)),""),"")))</f>
      </c>
      <c r="D56" s="12">
        <f>IF(OR(3&gt;$B$5,3&gt;$B$6),"X",IF(IFERROR(INDEX(OFFSET($B$15,$D$46-15,0,1,13),MATCH(3&amp;","&amp;3,OFFSET($B$15,$F$46-15,0,1,13),0)),"")&lt;&gt;"",IFERROR(INDEX(OFFSET($B$15,$D$46-15,0,1,13),MATCH(3&amp;","&amp;3,OFFSET($B$15,$F$46-15,0,1,13),0)),""),IF($B$46="Start",IFERROR(INDEX($B$39:$F$39,MATCH(3&amp;","&amp;3,$B$40:$F$40,0)),""),"")))</f>
      </c>
      <c r="E56" s="12">
        <f>IF(OR(4&gt;$B$5,3&gt;$B$6),"X",IF(IFERROR(INDEX(OFFSET($B$15,$D$46-15,0,1,13),MATCH(4&amp;","&amp;3,OFFSET($B$15,$F$46-15,0,1,13),0)),"")&lt;&gt;"",IFERROR(INDEX(OFFSET($B$15,$D$46-15,0,1,13),MATCH(4&amp;","&amp;3,OFFSET($B$15,$F$46-15,0,1,13),0)),""),IF($B$46="Start",IFERROR(INDEX($B$39:$F$39,MATCH(4&amp;","&amp;3,$B$40:$F$40,0)),""),"")))</f>
      </c>
      <c r="F56" s="12">
        <f>IF(OR(5&gt;$B$5,3&gt;$B$6),"X",IF(IFERROR(INDEX(OFFSET($B$15,$D$46-15,0,1,13),MATCH(5&amp;","&amp;3,OFFSET($B$15,$F$46-15,0,1,13),0)),"")&lt;&gt;"",IFERROR(INDEX(OFFSET($B$15,$D$46-15,0,1,13),MATCH(5&amp;","&amp;3,OFFSET($B$15,$F$46-15,0,1,13),0)),""),IF($B$46="Start",IFERROR(INDEX($B$39:$F$39,MATCH(5&amp;","&amp;3,$B$40:$F$40,0)),""),"")))</f>
      </c>
      <c r="G56" s="12">
        <f>IF(OR(6&gt;$B$5,3&gt;$B$6),"X",IF(IFERROR(INDEX(OFFSET($B$15,$D$46-15,0,1,13),MATCH(6&amp;","&amp;3,OFFSET($B$15,$F$46-15,0,1,13),0)),"")&lt;&gt;"",IFERROR(INDEX(OFFSET($B$15,$D$46-15,0,1,13),MATCH(6&amp;","&amp;3,OFFSET($B$15,$F$46-15,0,1,13),0)),""),IF($B$46="Start",IFERROR(INDEX($B$39:$F$39,MATCH(6&amp;","&amp;3,$B$40:$F$40,0)),""),"")))</f>
      </c>
      <c r="H56" s="12">
        <f>IF(OR(7&gt;$B$5,3&gt;$B$6),"X",IF(IFERROR(INDEX(OFFSET($B$15,$D$46-15,0,1,13),MATCH(7&amp;","&amp;3,OFFSET($B$15,$F$46-15,0,1,13),0)),"")&lt;&gt;"",IFERROR(INDEX(OFFSET($B$15,$D$46-15,0,1,13),MATCH(7&amp;","&amp;3,OFFSET($B$15,$F$46-15,0,1,13),0)),""),IF($B$46="Start",IFERROR(INDEX($B$39:$F$39,MATCH(7&amp;","&amp;3,$B$40:$F$40,0)),""),"")))</f>
      </c>
      <c r="I56" s="12">
        <f>IF(OR(8&gt;$B$5,3&gt;$B$6),"X",IF(IFERROR(INDEX(OFFSET($B$15,$D$46-15,0,1,13),MATCH(8&amp;","&amp;3,OFFSET($B$15,$F$46-15,0,1,13),0)),"")&lt;&gt;"",IFERROR(INDEX(OFFSET($B$15,$D$46-15,0,1,13),MATCH(8&amp;","&amp;3,OFFSET($B$15,$F$46-15,0,1,13),0)),""),IF($B$46="Start",IFERROR(INDEX($B$39:$F$39,MATCH(8&amp;","&amp;3,$B$40:$F$40,0)),""),"")))</f>
      </c>
      <c r="J56" s="12">
        <f>IF(OR(9&gt;$B$5,3&gt;$B$6),"X",IF(IFERROR(INDEX(OFFSET($B$15,$D$46-15,0,1,13),MATCH(9&amp;","&amp;3,OFFSET($B$15,$F$46-15,0,1,13),0)),"")&lt;&gt;"",IFERROR(INDEX(OFFSET($B$15,$D$46-15,0,1,13),MATCH(9&amp;","&amp;3,OFFSET($B$15,$F$46-15,0,1,13),0)),""),IF($B$46="Start",IFERROR(INDEX($B$39:$F$39,MATCH(9&amp;","&amp;3,$B$40:$F$40,0)),""),"")))</f>
      </c>
      <c r="K56" s="12">
        <f>IF(OR(10&gt;$B$5,3&gt;$B$6),"X",IF(IFERROR(INDEX(OFFSET($B$15,$D$46-15,0,1,13),MATCH(10&amp;","&amp;3,OFFSET($B$15,$F$46-15,0,1,13),0)),"")&lt;&gt;"",IFERROR(INDEX(OFFSET($B$15,$D$46-15,0,1,13),MATCH(10&amp;","&amp;3,OFFSET($B$15,$F$46-15,0,1,13),0)),""),IF($B$46="Start",IFERROR(INDEX($B$39:$F$39,MATCH(10&amp;","&amp;3,$B$40:$F$40,0)),""),"")))</f>
      </c>
    </row>
    <row r="57">
      <c r="A57" s="11">
        <v>2</v>
      </c>
      <c r="B57" s="12">
        <f>IF(OR(1&gt;$B$5,2&gt;$B$6),"X",IF(IFERROR(INDEX(OFFSET($B$15,$D$46-15,0,1,13),MATCH(1&amp;","&amp;2,OFFSET($B$15,$F$46-15,0,1,13),0)),"")&lt;&gt;"",IFERROR(INDEX(OFFSET($B$15,$D$46-15,0,1,13),MATCH(1&amp;","&amp;2,OFFSET($B$15,$F$46-15,0,1,13),0)),""),IF($B$46="Start",IFERROR(INDEX($B$39:$F$39,MATCH(1&amp;","&amp;2,$B$40:$F$40,0)),""),"")))</f>
      </c>
      <c r="C57" s="12">
        <f>IF(OR(2&gt;$B$5,2&gt;$B$6),"X",IF(IFERROR(INDEX(OFFSET($B$15,$D$46-15,0,1,13),MATCH(2&amp;","&amp;2,OFFSET($B$15,$F$46-15,0,1,13),0)),"")&lt;&gt;"",IFERROR(INDEX(OFFSET($B$15,$D$46-15,0,1,13),MATCH(2&amp;","&amp;2,OFFSET($B$15,$F$46-15,0,1,13),0)),""),IF($B$46="Start",IFERROR(INDEX($B$39:$F$39,MATCH(2&amp;","&amp;2,$B$40:$F$40,0)),""),"")))</f>
      </c>
      <c r="D57" s="12">
        <f>IF(OR(3&gt;$B$5,2&gt;$B$6),"X",IF(IFERROR(INDEX(OFFSET($B$15,$D$46-15,0,1,13),MATCH(3&amp;","&amp;2,OFFSET($B$15,$F$46-15,0,1,13),0)),"")&lt;&gt;"",IFERROR(INDEX(OFFSET($B$15,$D$46-15,0,1,13),MATCH(3&amp;","&amp;2,OFFSET($B$15,$F$46-15,0,1,13),0)),""),IF($B$46="Start",IFERROR(INDEX($B$39:$F$39,MATCH(3&amp;","&amp;2,$B$40:$F$40,0)),""),"")))</f>
      </c>
      <c r="E57" s="12">
        <f>IF(OR(4&gt;$B$5,2&gt;$B$6),"X",IF(IFERROR(INDEX(OFFSET($B$15,$D$46-15,0,1,13),MATCH(4&amp;","&amp;2,OFFSET($B$15,$F$46-15,0,1,13),0)),"")&lt;&gt;"",IFERROR(INDEX(OFFSET($B$15,$D$46-15,0,1,13),MATCH(4&amp;","&amp;2,OFFSET($B$15,$F$46-15,0,1,13),0)),""),IF($B$46="Start",IFERROR(INDEX($B$39:$F$39,MATCH(4&amp;","&amp;2,$B$40:$F$40,0)),""),"")))</f>
      </c>
      <c r="F57" s="12">
        <f>IF(OR(5&gt;$B$5,2&gt;$B$6),"X",IF(IFERROR(INDEX(OFFSET($B$15,$D$46-15,0,1,13),MATCH(5&amp;","&amp;2,OFFSET($B$15,$F$46-15,0,1,13),0)),"")&lt;&gt;"",IFERROR(INDEX(OFFSET($B$15,$D$46-15,0,1,13),MATCH(5&amp;","&amp;2,OFFSET($B$15,$F$46-15,0,1,13),0)),""),IF($B$46="Start",IFERROR(INDEX($B$39:$F$39,MATCH(5&amp;","&amp;2,$B$40:$F$40,0)),""),"")))</f>
      </c>
      <c r="G57" s="12">
        <f>IF(OR(6&gt;$B$5,2&gt;$B$6),"X",IF(IFERROR(INDEX(OFFSET($B$15,$D$46-15,0,1,13),MATCH(6&amp;","&amp;2,OFFSET($B$15,$F$46-15,0,1,13),0)),"")&lt;&gt;"",IFERROR(INDEX(OFFSET($B$15,$D$46-15,0,1,13),MATCH(6&amp;","&amp;2,OFFSET($B$15,$F$46-15,0,1,13),0)),""),IF($B$46="Start",IFERROR(INDEX($B$39:$F$39,MATCH(6&amp;","&amp;2,$B$40:$F$40,0)),""),"")))</f>
      </c>
      <c r="H57" s="12">
        <f>IF(OR(7&gt;$B$5,2&gt;$B$6),"X",IF(IFERROR(INDEX(OFFSET($B$15,$D$46-15,0,1,13),MATCH(7&amp;","&amp;2,OFFSET($B$15,$F$46-15,0,1,13),0)),"")&lt;&gt;"",IFERROR(INDEX(OFFSET($B$15,$D$46-15,0,1,13),MATCH(7&amp;","&amp;2,OFFSET($B$15,$F$46-15,0,1,13),0)),""),IF($B$46="Start",IFERROR(INDEX($B$39:$F$39,MATCH(7&amp;","&amp;2,$B$40:$F$40,0)),""),"")))</f>
      </c>
      <c r="I57" s="12">
        <f>IF(OR(8&gt;$B$5,2&gt;$B$6),"X",IF(IFERROR(INDEX(OFFSET($B$15,$D$46-15,0,1,13),MATCH(8&amp;","&amp;2,OFFSET($B$15,$F$46-15,0,1,13),0)),"")&lt;&gt;"",IFERROR(INDEX(OFFSET($B$15,$D$46-15,0,1,13),MATCH(8&amp;","&amp;2,OFFSET($B$15,$F$46-15,0,1,13),0)),""),IF($B$46="Start",IFERROR(INDEX($B$39:$F$39,MATCH(8&amp;","&amp;2,$B$40:$F$40,0)),""),"")))</f>
      </c>
      <c r="J57" s="12">
        <f>IF(OR(9&gt;$B$5,2&gt;$B$6),"X",IF(IFERROR(INDEX(OFFSET($B$15,$D$46-15,0,1,13),MATCH(9&amp;","&amp;2,OFFSET($B$15,$F$46-15,0,1,13),0)),"")&lt;&gt;"",IFERROR(INDEX(OFFSET($B$15,$D$46-15,0,1,13),MATCH(9&amp;","&amp;2,OFFSET($B$15,$F$46-15,0,1,13),0)),""),IF($B$46="Start",IFERROR(INDEX($B$39:$F$39,MATCH(9&amp;","&amp;2,$B$40:$F$40,0)),""),"")))</f>
      </c>
      <c r="K57" s="12">
        <f>IF(OR(10&gt;$B$5,2&gt;$B$6),"X",IF(IFERROR(INDEX(OFFSET($B$15,$D$46-15,0,1,13),MATCH(10&amp;","&amp;2,OFFSET($B$15,$F$46-15,0,1,13),0)),"")&lt;&gt;"",IFERROR(INDEX(OFFSET($B$15,$D$46-15,0,1,13),MATCH(10&amp;","&amp;2,OFFSET($B$15,$F$46-15,0,1,13),0)),""),IF($B$46="Start",IFERROR(INDEX($B$39:$F$39,MATCH(10&amp;","&amp;2,$B$40:$F$40,0)),""),"")))</f>
      </c>
    </row>
    <row r="58">
      <c r="A58" s="11">
        <v>1</v>
      </c>
      <c r="B58" s="12">
        <f>IF(OR(1&gt;$B$5,1&gt;$B$6),"X",IF(IFERROR(INDEX(OFFSET($B$15,$D$46-15,0,1,13),MATCH(1&amp;","&amp;1,OFFSET($B$15,$F$46-15,0,1,13),0)),"")&lt;&gt;"",IFERROR(INDEX(OFFSET($B$15,$D$46-15,0,1,13),MATCH(1&amp;","&amp;1,OFFSET($B$15,$F$46-15,0,1,13),0)),""),IF($B$46="Start",IFERROR(INDEX($B$39:$F$39,MATCH(1&amp;","&amp;1,$B$40:$F$40,0)),""),"")))</f>
      </c>
      <c r="C58" s="12">
        <f>IF(OR(2&gt;$B$5,1&gt;$B$6),"X",IF(IFERROR(INDEX(OFFSET($B$15,$D$46-15,0,1,13),MATCH(2&amp;","&amp;1,OFFSET($B$15,$F$46-15,0,1,13),0)),"")&lt;&gt;"",IFERROR(INDEX(OFFSET($B$15,$D$46-15,0,1,13),MATCH(2&amp;","&amp;1,OFFSET($B$15,$F$46-15,0,1,13),0)),""),IF($B$46="Start",IFERROR(INDEX($B$39:$F$39,MATCH(2&amp;","&amp;1,$B$40:$F$40,0)),""),"")))</f>
      </c>
      <c r="D58" s="12">
        <f>IF(OR(3&gt;$B$5,1&gt;$B$6),"X",IF(IFERROR(INDEX(OFFSET($B$15,$D$46-15,0,1,13),MATCH(3&amp;","&amp;1,OFFSET($B$15,$F$46-15,0,1,13),0)),"")&lt;&gt;"",IFERROR(INDEX(OFFSET($B$15,$D$46-15,0,1,13),MATCH(3&amp;","&amp;1,OFFSET($B$15,$F$46-15,0,1,13),0)),""),IF($B$46="Start",IFERROR(INDEX($B$39:$F$39,MATCH(3&amp;","&amp;1,$B$40:$F$40,0)),""),"")))</f>
      </c>
      <c r="E58" s="12">
        <f>IF(OR(4&gt;$B$5,1&gt;$B$6),"X",IF(IFERROR(INDEX(OFFSET($B$15,$D$46-15,0,1,13),MATCH(4&amp;","&amp;1,OFFSET($B$15,$F$46-15,0,1,13),0)),"")&lt;&gt;"",IFERROR(INDEX(OFFSET($B$15,$D$46-15,0,1,13),MATCH(4&amp;","&amp;1,OFFSET($B$15,$F$46-15,0,1,13),0)),""),IF($B$46="Start",IFERROR(INDEX($B$39:$F$39,MATCH(4&amp;","&amp;1,$B$40:$F$40,0)),""),"")))</f>
      </c>
      <c r="F58" s="12">
        <f>IF(OR(5&gt;$B$5,1&gt;$B$6),"X",IF(IFERROR(INDEX(OFFSET($B$15,$D$46-15,0,1,13),MATCH(5&amp;","&amp;1,OFFSET($B$15,$F$46-15,0,1,13),0)),"")&lt;&gt;"",IFERROR(INDEX(OFFSET($B$15,$D$46-15,0,1,13),MATCH(5&amp;","&amp;1,OFFSET($B$15,$F$46-15,0,1,13),0)),""),IF($B$46="Start",IFERROR(INDEX($B$39:$F$39,MATCH(5&amp;","&amp;1,$B$40:$F$40,0)),""),"")))</f>
      </c>
      <c r="G58" s="12">
        <f>IF(OR(6&gt;$B$5,1&gt;$B$6),"X",IF(IFERROR(INDEX(OFFSET($B$15,$D$46-15,0,1,13),MATCH(6&amp;","&amp;1,OFFSET($B$15,$F$46-15,0,1,13),0)),"")&lt;&gt;"",IFERROR(INDEX(OFFSET($B$15,$D$46-15,0,1,13),MATCH(6&amp;","&amp;1,OFFSET($B$15,$F$46-15,0,1,13),0)),""),IF($B$46="Start",IFERROR(INDEX($B$39:$F$39,MATCH(6&amp;","&amp;1,$B$40:$F$40,0)),""),"")))</f>
      </c>
      <c r="H58" s="12">
        <f>IF(OR(7&gt;$B$5,1&gt;$B$6),"X",IF(IFERROR(INDEX(OFFSET($B$15,$D$46-15,0,1,13),MATCH(7&amp;","&amp;1,OFFSET($B$15,$F$46-15,0,1,13),0)),"")&lt;&gt;"",IFERROR(INDEX(OFFSET($B$15,$D$46-15,0,1,13),MATCH(7&amp;","&amp;1,OFFSET($B$15,$F$46-15,0,1,13),0)),""),IF($B$46="Start",IFERROR(INDEX($B$39:$F$39,MATCH(7&amp;","&amp;1,$B$40:$F$40,0)),""),"")))</f>
      </c>
      <c r="I58" s="12">
        <f>IF(OR(8&gt;$B$5,1&gt;$B$6),"X",IF(IFERROR(INDEX(OFFSET($B$15,$D$46-15,0,1,13),MATCH(8&amp;","&amp;1,OFFSET($B$15,$F$46-15,0,1,13),0)),"")&lt;&gt;"",IFERROR(INDEX(OFFSET($B$15,$D$46-15,0,1,13),MATCH(8&amp;","&amp;1,OFFSET($B$15,$F$46-15,0,1,13),0)),""),IF($B$46="Start",IFERROR(INDEX($B$39:$F$39,MATCH(8&amp;","&amp;1,$B$40:$F$40,0)),""),"")))</f>
      </c>
      <c r="J58" s="12">
        <f>IF(OR(9&gt;$B$5,1&gt;$B$6),"X",IF(IFERROR(INDEX(OFFSET($B$15,$D$46-15,0,1,13),MATCH(9&amp;","&amp;1,OFFSET($B$15,$F$46-15,0,1,13),0)),"")&lt;&gt;"",IFERROR(INDEX(OFFSET($B$15,$D$46-15,0,1,13),MATCH(9&amp;","&amp;1,OFFSET($B$15,$F$46-15,0,1,13),0)),""),IF($B$46="Start",IFERROR(INDEX($B$39:$F$39,MATCH(9&amp;","&amp;1,$B$40:$F$40,0)),""),"")))</f>
      </c>
      <c r="K58" s="12">
        <f>IF(OR(10&gt;$B$5,1&gt;$B$6),"X",IF(IFERROR(INDEX(OFFSET($B$15,$D$46-15,0,1,13),MATCH(10&amp;","&amp;1,OFFSET($B$15,$F$46-15,0,1,13),0)),"")&lt;&gt;"",IFERROR(INDEX(OFFSET($B$15,$D$46-15,0,1,13),MATCH(10&amp;","&amp;1,OFFSET($B$15,$F$46-15,0,1,13),0)),""),IF($B$46="Start",IFERROR(INDEX($B$39:$F$39,MATCH(10&amp;","&amp;1,$B$40:$F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N15" showErrorMessage="0" allowBlank="1">
      <formula1>=list_Prefab</formula1>
    </dataValidation>
    <dataValidation type="list" sqref="B17:N17" showErrorMessage="0" allowBlank="1">
      <formula1>=list_Prefab</formula1>
    </dataValidation>
    <dataValidation type="list" sqref="B19:N19" showErrorMessage="0" allowBlank="1">
      <formula1>=list_Prefab</formula1>
    </dataValidation>
    <dataValidation type="list" sqref="B21:N21" showErrorMessage="0" allowBlank="1">
      <formula1>=list_Prefab</formula1>
    </dataValidation>
    <dataValidation type="list" sqref="B23:N23" showErrorMessage="0" allowBlank="1">
      <formula1>=list_Prefab</formula1>
    </dataValidation>
    <dataValidation type="list" sqref="B25:N25" showErrorMessage="0" allowBlank="1">
      <formula1>=list_Prefab</formula1>
    </dataValidation>
    <dataValidation type="list" sqref="B27:N27" showErrorMessage="0" allowBlank="1">
      <formula1>=list_Prefab</formula1>
    </dataValidation>
    <dataValidation type="list" sqref="B29:N29" showErrorMessage="0" allowBlank="1">
      <formula1>=list_Prefab</formula1>
    </dataValidation>
    <dataValidation type="list" sqref="B31:N31" showErrorMessage="0" allowBlank="1">
      <formula1>=list_Prefab</formula1>
    </dataValidation>
    <dataValidation type="list" sqref="B33:N33" showErrorMessage="0" allowBlank="1">
      <formula1>=list_Prefab</formula1>
    </dataValidation>
    <dataValidation type="list" sqref="B35:N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10</v>
      </c>
    </row>
    <row r="2">
      <c r="A2" s="1" t="s">
        <v>3</v>
      </c>
      <c r="B2" s="0" t="s">
        <v>157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8</v>
      </c>
    </row>
    <row r="6">
      <c r="A6" s="4" t="s">
        <v>91</v>
      </c>
      <c r="B6" s="0">
        <v>8</v>
      </c>
    </row>
    <row r="7">
      <c r="A7" s="4" t="s">
        <v>92</v>
      </c>
      <c r="B7" s="0">
        <v>999</v>
      </c>
    </row>
    <row r="8">
      <c r="A8" s="4" t="s">
        <v>93</v>
      </c>
      <c r="B8" s="0">
        <v>7</v>
      </c>
    </row>
    <row r="9">
      <c r="A9" s="4" t="s">
        <v>94</v>
      </c>
      <c r="B9" s="0" t="s">
        <v>26</v>
      </c>
    </row>
    <row r="10">
      <c r="A10" s="4" t="s">
        <v>95</v>
      </c>
      <c r="B10" s="0" t="s">
        <v>26</v>
      </c>
    </row>
    <row r="11">
      <c r="A11" s="4" t="s">
        <v>96</v>
      </c>
      <c r="B11" s="0" t="s">
        <v>26</v>
      </c>
    </row>
    <row r="13">
      <c r="A13" s="1" t="s">
        <v>98</v>
      </c>
    </row>
    <row r="14">
      <c r="A14" s="4" t="s">
        <v>99</v>
      </c>
      <c r="B14" s="4" t="s">
        <v>100</v>
      </c>
      <c r="C14" s="4" t="s">
        <v>101</v>
      </c>
      <c r="D14" s="4" t="s">
        <v>102</v>
      </c>
      <c r="E14" s="4" t="s">
        <v>103</v>
      </c>
    </row>
    <row r="15">
      <c r="A15" s="1" t="s">
        <v>112</v>
      </c>
      <c r="B15" s="0" t="s">
        <v>34</v>
      </c>
      <c r="C15" s="0" t="s">
        <v>34</v>
      </c>
      <c r="D15" s="0" t="s">
        <v>65</v>
      </c>
      <c r="E15" s="0" t="s">
        <v>65</v>
      </c>
    </row>
    <row r="16">
      <c r="A16" s="4" t="s">
        <v>113</v>
      </c>
      <c r="B16" s="0" t="s">
        <v>158</v>
      </c>
      <c r="C16" s="0" t="s">
        <v>119</v>
      </c>
      <c r="D16" s="0" t="s">
        <v>159</v>
      </c>
      <c r="E16" s="0" t="s">
        <v>160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162</v>
      </c>
      <c r="C40" s="0" t="s">
        <v>163</v>
      </c>
      <c r="D40" s="0" t="s">
        <v>164</v>
      </c>
      <c r="E40" s="0" t="s">
        <v>165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-15,0,1,4),MATCH(1&amp;","&amp;10,OFFSET($B$15,$F$46-15,0,1,4),0)),"")&lt;&gt;"",IFERROR(INDEX(OFFSET($B$15,$D$46-15,0,1,4),MATCH(1&amp;","&amp;10,OFFSET($B$15,$F$46-15,0,1,4),0)),""),IF($B$46="Start",IFERROR(INDEX($B$39:$G$39,MATCH(1&amp;","&amp;10,$B$40:$G$40,0)),""),"")))</f>
      </c>
      <c r="C49" s="12">
        <f>IF(OR(2&gt;$B$5,10&gt;$B$6),"X",IF(IFERROR(INDEX(OFFSET($B$15,$D$46-15,0,1,4),MATCH(2&amp;","&amp;10,OFFSET($B$15,$F$46-15,0,1,4),0)),"")&lt;&gt;"",IFERROR(INDEX(OFFSET($B$15,$D$46-15,0,1,4),MATCH(2&amp;","&amp;10,OFFSET($B$15,$F$46-15,0,1,4),0)),""),IF($B$46="Start",IFERROR(INDEX($B$39:$G$39,MATCH(2&amp;","&amp;10,$B$40:$G$40,0)),""),"")))</f>
      </c>
      <c r="D49" s="12">
        <f>IF(OR(3&gt;$B$5,10&gt;$B$6),"X",IF(IFERROR(INDEX(OFFSET($B$15,$D$46-15,0,1,4),MATCH(3&amp;","&amp;10,OFFSET($B$15,$F$46-15,0,1,4),0)),"")&lt;&gt;"",IFERROR(INDEX(OFFSET($B$15,$D$46-15,0,1,4),MATCH(3&amp;","&amp;10,OFFSET($B$15,$F$46-15,0,1,4),0)),""),IF($B$46="Start",IFERROR(INDEX($B$39:$G$39,MATCH(3&amp;","&amp;10,$B$40:$G$40,0)),""),"")))</f>
      </c>
      <c r="E49" s="12">
        <f>IF(OR(4&gt;$B$5,10&gt;$B$6),"X",IF(IFERROR(INDEX(OFFSET($B$15,$D$46-15,0,1,4),MATCH(4&amp;","&amp;10,OFFSET($B$15,$F$46-15,0,1,4),0)),"")&lt;&gt;"",IFERROR(INDEX(OFFSET($B$15,$D$46-15,0,1,4),MATCH(4&amp;","&amp;10,OFFSET($B$15,$F$46-15,0,1,4),0)),""),IF($B$46="Start",IFERROR(INDEX($B$39:$G$39,MATCH(4&amp;","&amp;10,$B$40:$G$40,0)),""),"")))</f>
      </c>
      <c r="F49" s="12">
        <f>IF(OR(5&gt;$B$5,10&gt;$B$6),"X",IF(IFERROR(INDEX(OFFSET($B$15,$D$46-15,0,1,4),MATCH(5&amp;","&amp;10,OFFSET($B$15,$F$46-15,0,1,4),0)),"")&lt;&gt;"",IFERROR(INDEX(OFFSET($B$15,$D$46-15,0,1,4),MATCH(5&amp;","&amp;10,OFFSET($B$15,$F$46-15,0,1,4),0)),""),IF($B$46="Start",IFERROR(INDEX($B$39:$G$39,MATCH(5&amp;","&amp;10,$B$40:$G$40,0)),""),"")))</f>
      </c>
      <c r="G49" s="12">
        <f>IF(OR(6&gt;$B$5,10&gt;$B$6),"X",IF(IFERROR(INDEX(OFFSET($B$15,$D$46-15,0,1,4),MATCH(6&amp;","&amp;10,OFFSET($B$15,$F$46-15,0,1,4),0)),"")&lt;&gt;"",IFERROR(INDEX(OFFSET($B$15,$D$46-15,0,1,4),MATCH(6&amp;","&amp;10,OFFSET($B$15,$F$46-15,0,1,4),0)),""),IF($B$46="Start",IFERROR(INDEX($B$39:$G$39,MATCH(6&amp;","&amp;10,$B$40:$G$40,0)),""),"")))</f>
      </c>
      <c r="H49" s="12">
        <f>IF(OR(7&gt;$B$5,10&gt;$B$6),"X",IF(IFERROR(INDEX(OFFSET($B$15,$D$46-15,0,1,4),MATCH(7&amp;","&amp;10,OFFSET($B$15,$F$46-15,0,1,4),0)),"")&lt;&gt;"",IFERROR(INDEX(OFFSET($B$15,$D$46-15,0,1,4),MATCH(7&amp;","&amp;10,OFFSET($B$15,$F$46-15,0,1,4),0)),""),IF($B$46="Start",IFERROR(INDEX($B$39:$G$39,MATCH(7&amp;","&amp;10,$B$40:$G$40,0)),""),"")))</f>
      </c>
      <c r="I49" s="12">
        <f>IF(OR(8&gt;$B$5,10&gt;$B$6),"X",IF(IFERROR(INDEX(OFFSET($B$15,$D$46-15,0,1,4),MATCH(8&amp;","&amp;10,OFFSET($B$15,$F$46-15,0,1,4),0)),"")&lt;&gt;"",IFERROR(INDEX(OFFSET($B$15,$D$46-15,0,1,4),MATCH(8&amp;","&amp;10,OFFSET($B$15,$F$46-15,0,1,4),0)),""),IF($B$46="Start",IFERROR(INDEX($B$39:$G$39,MATCH(8&amp;","&amp;10,$B$40:$G$40,0)),""),"")))</f>
      </c>
      <c r="J49" s="12">
        <f>IF(OR(9&gt;$B$5,10&gt;$B$6),"X",IF(IFERROR(INDEX(OFFSET($B$15,$D$46-15,0,1,4),MATCH(9&amp;","&amp;10,OFFSET($B$15,$F$46-15,0,1,4),0)),"")&lt;&gt;"",IFERROR(INDEX(OFFSET($B$15,$D$46-15,0,1,4),MATCH(9&amp;","&amp;10,OFFSET($B$15,$F$46-15,0,1,4),0)),""),IF($B$46="Start",IFERROR(INDEX($B$39:$G$39,MATCH(9&amp;","&amp;10,$B$40:$G$40,0)),""),"")))</f>
      </c>
      <c r="K49" s="12">
        <f>IF(OR(10&gt;$B$5,10&gt;$B$6),"X",IF(IFERROR(INDEX(OFFSET($B$15,$D$46-15,0,1,4),MATCH(10&amp;","&amp;10,OFFSET($B$15,$F$46-15,0,1,4),0)),"")&lt;&gt;"",IFERROR(INDEX(OFFSET($B$15,$D$46-15,0,1,4),MATCH(10&amp;","&amp;10,OFFSET($B$15,$F$46-15,0,1,4)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-15,0,1,4),MATCH(1&amp;","&amp;9,OFFSET($B$15,$F$46-15,0,1,4),0)),"")&lt;&gt;"",IFERROR(INDEX(OFFSET($B$15,$D$46-15,0,1,4),MATCH(1&amp;","&amp;9,OFFSET($B$15,$F$46-15,0,1,4),0)),""),IF($B$46="Start",IFERROR(INDEX($B$39:$G$39,MATCH(1&amp;","&amp;9,$B$40:$G$40,0)),""),"")))</f>
      </c>
      <c r="C50" s="12">
        <f>IF(OR(2&gt;$B$5,9&gt;$B$6),"X",IF(IFERROR(INDEX(OFFSET($B$15,$D$46-15,0,1,4),MATCH(2&amp;","&amp;9,OFFSET($B$15,$F$46-15,0,1,4),0)),"")&lt;&gt;"",IFERROR(INDEX(OFFSET($B$15,$D$46-15,0,1,4),MATCH(2&amp;","&amp;9,OFFSET($B$15,$F$46-15,0,1,4),0)),""),IF($B$46="Start",IFERROR(INDEX($B$39:$G$39,MATCH(2&amp;","&amp;9,$B$40:$G$40,0)),""),"")))</f>
      </c>
      <c r="D50" s="12">
        <f>IF(OR(3&gt;$B$5,9&gt;$B$6),"X",IF(IFERROR(INDEX(OFFSET($B$15,$D$46-15,0,1,4),MATCH(3&amp;","&amp;9,OFFSET($B$15,$F$46-15,0,1,4),0)),"")&lt;&gt;"",IFERROR(INDEX(OFFSET($B$15,$D$46-15,0,1,4),MATCH(3&amp;","&amp;9,OFFSET($B$15,$F$46-15,0,1,4),0)),""),IF($B$46="Start",IFERROR(INDEX($B$39:$G$39,MATCH(3&amp;","&amp;9,$B$40:$G$40,0)),""),"")))</f>
      </c>
      <c r="E50" s="12">
        <f>IF(OR(4&gt;$B$5,9&gt;$B$6),"X",IF(IFERROR(INDEX(OFFSET($B$15,$D$46-15,0,1,4),MATCH(4&amp;","&amp;9,OFFSET($B$15,$F$46-15,0,1,4),0)),"")&lt;&gt;"",IFERROR(INDEX(OFFSET($B$15,$D$46-15,0,1,4),MATCH(4&amp;","&amp;9,OFFSET($B$15,$F$46-15,0,1,4),0)),""),IF($B$46="Start",IFERROR(INDEX($B$39:$G$39,MATCH(4&amp;","&amp;9,$B$40:$G$40,0)),""),"")))</f>
      </c>
      <c r="F50" s="12">
        <f>IF(OR(5&gt;$B$5,9&gt;$B$6),"X",IF(IFERROR(INDEX(OFFSET($B$15,$D$46-15,0,1,4),MATCH(5&amp;","&amp;9,OFFSET($B$15,$F$46-15,0,1,4),0)),"")&lt;&gt;"",IFERROR(INDEX(OFFSET($B$15,$D$46-15,0,1,4),MATCH(5&amp;","&amp;9,OFFSET($B$15,$F$46-15,0,1,4),0)),""),IF($B$46="Start",IFERROR(INDEX($B$39:$G$39,MATCH(5&amp;","&amp;9,$B$40:$G$40,0)),""),"")))</f>
      </c>
      <c r="G50" s="12">
        <f>IF(OR(6&gt;$B$5,9&gt;$B$6),"X",IF(IFERROR(INDEX(OFFSET($B$15,$D$46-15,0,1,4),MATCH(6&amp;","&amp;9,OFFSET($B$15,$F$46-15,0,1,4),0)),"")&lt;&gt;"",IFERROR(INDEX(OFFSET($B$15,$D$46-15,0,1,4),MATCH(6&amp;","&amp;9,OFFSET($B$15,$F$46-15,0,1,4),0)),""),IF($B$46="Start",IFERROR(INDEX($B$39:$G$39,MATCH(6&amp;","&amp;9,$B$40:$G$40,0)),""),"")))</f>
      </c>
      <c r="H50" s="12">
        <f>IF(OR(7&gt;$B$5,9&gt;$B$6),"X",IF(IFERROR(INDEX(OFFSET($B$15,$D$46-15,0,1,4),MATCH(7&amp;","&amp;9,OFFSET($B$15,$F$46-15,0,1,4),0)),"")&lt;&gt;"",IFERROR(INDEX(OFFSET($B$15,$D$46-15,0,1,4),MATCH(7&amp;","&amp;9,OFFSET($B$15,$F$46-15,0,1,4),0)),""),IF($B$46="Start",IFERROR(INDEX($B$39:$G$39,MATCH(7&amp;","&amp;9,$B$40:$G$40,0)),""),"")))</f>
      </c>
      <c r="I50" s="12">
        <f>IF(OR(8&gt;$B$5,9&gt;$B$6),"X",IF(IFERROR(INDEX(OFFSET($B$15,$D$46-15,0,1,4),MATCH(8&amp;","&amp;9,OFFSET($B$15,$F$46-15,0,1,4),0)),"")&lt;&gt;"",IFERROR(INDEX(OFFSET($B$15,$D$46-15,0,1,4),MATCH(8&amp;","&amp;9,OFFSET($B$15,$F$46-15,0,1,4),0)),""),IF($B$46="Start",IFERROR(INDEX($B$39:$G$39,MATCH(8&amp;","&amp;9,$B$40:$G$40,0)),""),"")))</f>
      </c>
      <c r="J50" s="12">
        <f>IF(OR(9&gt;$B$5,9&gt;$B$6),"X",IF(IFERROR(INDEX(OFFSET($B$15,$D$46-15,0,1,4),MATCH(9&amp;","&amp;9,OFFSET($B$15,$F$46-15,0,1,4),0)),"")&lt;&gt;"",IFERROR(INDEX(OFFSET($B$15,$D$46-15,0,1,4),MATCH(9&amp;","&amp;9,OFFSET($B$15,$F$46-15,0,1,4),0)),""),IF($B$46="Start",IFERROR(INDEX($B$39:$G$39,MATCH(9&amp;","&amp;9,$B$40:$G$40,0)),""),"")))</f>
      </c>
      <c r="K50" s="12">
        <f>IF(OR(10&gt;$B$5,9&gt;$B$6),"X",IF(IFERROR(INDEX(OFFSET($B$15,$D$46-15,0,1,4),MATCH(10&amp;","&amp;9,OFFSET($B$15,$F$46-15,0,1,4),0)),"")&lt;&gt;"",IFERROR(INDEX(OFFSET($B$15,$D$46-15,0,1,4),MATCH(10&amp;","&amp;9,OFFSET($B$15,$F$46-15,0,1,4)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-15,0,1,4),MATCH(1&amp;","&amp;8,OFFSET($B$15,$F$46-15,0,1,4),0)),"")&lt;&gt;"",IFERROR(INDEX(OFFSET($B$15,$D$46-15,0,1,4),MATCH(1&amp;","&amp;8,OFFSET($B$15,$F$46-15,0,1,4),0)),""),IF($B$46="Start",IFERROR(INDEX($B$39:$G$39,MATCH(1&amp;","&amp;8,$B$40:$G$40,0)),""),"")))</f>
      </c>
      <c r="C51" s="12">
        <f>IF(OR(2&gt;$B$5,8&gt;$B$6),"X",IF(IFERROR(INDEX(OFFSET($B$15,$D$46-15,0,1,4),MATCH(2&amp;","&amp;8,OFFSET($B$15,$F$46-15,0,1,4),0)),"")&lt;&gt;"",IFERROR(INDEX(OFFSET($B$15,$D$46-15,0,1,4),MATCH(2&amp;","&amp;8,OFFSET($B$15,$F$46-15,0,1,4),0)),""),IF($B$46="Start",IFERROR(INDEX($B$39:$G$39,MATCH(2&amp;","&amp;8,$B$40:$G$40,0)),""),"")))</f>
      </c>
      <c r="D51" s="12">
        <f>IF(OR(3&gt;$B$5,8&gt;$B$6),"X",IF(IFERROR(INDEX(OFFSET($B$15,$D$46-15,0,1,4),MATCH(3&amp;","&amp;8,OFFSET($B$15,$F$46-15,0,1,4),0)),"")&lt;&gt;"",IFERROR(INDEX(OFFSET($B$15,$D$46-15,0,1,4),MATCH(3&amp;","&amp;8,OFFSET($B$15,$F$46-15,0,1,4),0)),""),IF($B$46="Start",IFERROR(INDEX($B$39:$G$39,MATCH(3&amp;","&amp;8,$B$40:$G$40,0)),""),"")))</f>
      </c>
      <c r="E51" s="12">
        <f>IF(OR(4&gt;$B$5,8&gt;$B$6),"X",IF(IFERROR(INDEX(OFFSET($B$15,$D$46-15,0,1,4),MATCH(4&amp;","&amp;8,OFFSET($B$15,$F$46-15,0,1,4),0)),"")&lt;&gt;"",IFERROR(INDEX(OFFSET($B$15,$D$46-15,0,1,4),MATCH(4&amp;","&amp;8,OFFSET($B$15,$F$46-15,0,1,4),0)),""),IF($B$46="Start",IFERROR(INDEX($B$39:$G$39,MATCH(4&amp;","&amp;8,$B$40:$G$40,0)),""),"")))</f>
      </c>
      <c r="F51" s="12">
        <f>IF(OR(5&gt;$B$5,8&gt;$B$6),"X",IF(IFERROR(INDEX(OFFSET($B$15,$D$46-15,0,1,4),MATCH(5&amp;","&amp;8,OFFSET($B$15,$F$46-15,0,1,4),0)),"")&lt;&gt;"",IFERROR(INDEX(OFFSET($B$15,$D$46-15,0,1,4),MATCH(5&amp;","&amp;8,OFFSET($B$15,$F$46-15,0,1,4),0)),""),IF($B$46="Start",IFERROR(INDEX($B$39:$G$39,MATCH(5&amp;","&amp;8,$B$40:$G$40,0)),""),"")))</f>
      </c>
      <c r="G51" s="12">
        <f>IF(OR(6&gt;$B$5,8&gt;$B$6),"X",IF(IFERROR(INDEX(OFFSET($B$15,$D$46-15,0,1,4),MATCH(6&amp;","&amp;8,OFFSET($B$15,$F$46-15,0,1,4),0)),"")&lt;&gt;"",IFERROR(INDEX(OFFSET($B$15,$D$46-15,0,1,4),MATCH(6&amp;","&amp;8,OFFSET($B$15,$F$46-15,0,1,4),0)),""),IF($B$46="Start",IFERROR(INDEX($B$39:$G$39,MATCH(6&amp;","&amp;8,$B$40:$G$40,0)),""),"")))</f>
      </c>
      <c r="H51" s="12">
        <f>IF(OR(7&gt;$B$5,8&gt;$B$6),"X",IF(IFERROR(INDEX(OFFSET($B$15,$D$46-15,0,1,4),MATCH(7&amp;","&amp;8,OFFSET($B$15,$F$46-15,0,1,4),0)),"")&lt;&gt;"",IFERROR(INDEX(OFFSET($B$15,$D$46-15,0,1,4),MATCH(7&amp;","&amp;8,OFFSET($B$15,$F$46-15,0,1,4),0)),""),IF($B$46="Start",IFERROR(INDEX($B$39:$G$39,MATCH(7&amp;","&amp;8,$B$40:$G$40,0)),""),"")))</f>
      </c>
      <c r="I51" s="12">
        <f>IF(OR(8&gt;$B$5,8&gt;$B$6),"X",IF(IFERROR(INDEX(OFFSET($B$15,$D$46-15,0,1,4),MATCH(8&amp;","&amp;8,OFFSET($B$15,$F$46-15,0,1,4),0)),"")&lt;&gt;"",IFERROR(INDEX(OFFSET($B$15,$D$46-15,0,1,4),MATCH(8&amp;","&amp;8,OFFSET($B$15,$F$46-15,0,1,4),0)),""),IF($B$46="Start",IFERROR(INDEX($B$39:$G$39,MATCH(8&amp;","&amp;8,$B$40:$G$40,0)),""),"")))</f>
      </c>
      <c r="J51" s="12">
        <f>IF(OR(9&gt;$B$5,8&gt;$B$6),"X",IF(IFERROR(INDEX(OFFSET($B$15,$D$46-15,0,1,4),MATCH(9&amp;","&amp;8,OFFSET($B$15,$F$46-15,0,1,4),0)),"")&lt;&gt;"",IFERROR(INDEX(OFFSET($B$15,$D$46-15,0,1,4),MATCH(9&amp;","&amp;8,OFFSET($B$15,$F$46-15,0,1,4),0)),""),IF($B$46="Start",IFERROR(INDEX($B$39:$G$39,MATCH(9&amp;","&amp;8,$B$40:$G$40,0)),""),"")))</f>
      </c>
      <c r="K51" s="12">
        <f>IF(OR(10&gt;$B$5,8&gt;$B$6),"X",IF(IFERROR(INDEX(OFFSET($B$15,$D$46-15,0,1,4),MATCH(10&amp;","&amp;8,OFFSET($B$15,$F$46-15,0,1,4),0)),"")&lt;&gt;"",IFERROR(INDEX(OFFSET($B$15,$D$46-15,0,1,4),MATCH(10&amp;","&amp;8,OFFSET($B$15,$F$46-15,0,1,4)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-15,0,1,4),MATCH(1&amp;","&amp;7,OFFSET($B$15,$F$46-15,0,1,4),0)),"")&lt;&gt;"",IFERROR(INDEX(OFFSET($B$15,$D$46-15,0,1,4),MATCH(1&amp;","&amp;7,OFFSET($B$15,$F$46-15,0,1,4),0)),""),IF($B$46="Start",IFERROR(INDEX($B$39:$G$39,MATCH(1&amp;","&amp;7,$B$40:$G$40,0)),""),"")))</f>
      </c>
      <c r="C52" s="12">
        <f>IF(OR(2&gt;$B$5,7&gt;$B$6),"X",IF(IFERROR(INDEX(OFFSET($B$15,$D$46-15,0,1,4),MATCH(2&amp;","&amp;7,OFFSET($B$15,$F$46-15,0,1,4),0)),"")&lt;&gt;"",IFERROR(INDEX(OFFSET($B$15,$D$46-15,0,1,4),MATCH(2&amp;","&amp;7,OFFSET($B$15,$F$46-15,0,1,4),0)),""),IF($B$46="Start",IFERROR(INDEX($B$39:$G$39,MATCH(2&amp;","&amp;7,$B$40:$G$40,0)),""),"")))</f>
      </c>
      <c r="D52" s="12">
        <f>IF(OR(3&gt;$B$5,7&gt;$B$6),"X",IF(IFERROR(INDEX(OFFSET($B$15,$D$46-15,0,1,4),MATCH(3&amp;","&amp;7,OFFSET($B$15,$F$46-15,0,1,4),0)),"")&lt;&gt;"",IFERROR(INDEX(OFFSET($B$15,$D$46-15,0,1,4),MATCH(3&amp;","&amp;7,OFFSET($B$15,$F$46-15,0,1,4),0)),""),IF($B$46="Start",IFERROR(INDEX($B$39:$G$39,MATCH(3&amp;","&amp;7,$B$40:$G$40,0)),""),"")))</f>
      </c>
      <c r="E52" s="12">
        <f>IF(OR(4&gt;$B$5,7&gt;$B$6),"X",IF(IFERROR(INDEX(OFFSET($B$15,$D$46-15,0,1,4),MATCH(4&amp;","&amp;7,OFFSET($B$15,$F$46-15,0,1,4),0)),"")&lt;&gt;"",IFERROR(INDEX(OFFSET($B$15,$D$46-15,0,1,4),MATCH(4&amp;","&amp;7,OFFSET($B$15,$F$46-15,0,1,4),0)),""),IF($B$46="Start",IFERROR(INDEX($B$39:$G$39,MATCH(4&amp;","&amp;7,$B$40:$G$40,0)),""),"")))</f>
      </c>
      <c r="F52" s="12">
        <f>IF(OR(5&gt;$B$5,7&gt;$B$6),"X",IF(IFERROR(INDEX(OFFSET($B$15,$D$46-15,0,1,4),MATCH(5&amp;","&amp;7,OFFSET($B$15,$F$46-15,0,1,4),0)),"")&lt;&gt;"",IFERROR(INDEX(OFFSET($B$15,$D$46-15,0,1,4),MATCH(5&amp;","&amp;7,OFFSET($B$15,$F$46-15,0,1,4),0)),""),IF($B$46="Start",IFERROR(INDEX($B$39:$G$39,MATCH(5&amp;","&amp;7,$B$40:$G$40,0)),""),"")))</f>
      </c>
      <c r="G52" s="12">
        <f>IF(OR(6&gt;$B$5,7&gt;$B$6),"X",IF(IFERROR(INDEX(OFFSET($B$15,$D$46-15,0,1,4),MATCH(6&amp;","&amp;7,OFFSET($B$15,$F$46-15,0,1,4),0)),"")&lt;&gt;"",IFERROR(INDEX(OFFSET($B$15,$D$46-15,0,1,4),MATCH(6&amp;","&amp;7,OFFSET($B$15,$F$46-15,0,1,4),0)),""),IF($B$46="Start",IFERROR(INDEX($B$39:$G$39,MATCH(6&amp;","&amp;7,$B$40:$G$40,0)),""),"")))</f>
      </c>
      <c r="H52" s="12">
        <f>IF(OR(7&gt;$B$5,7&gt;$B$6),"X",IF(IFERROR(INDEX(OFFSET($B$15,$D$46-15,0,1,4),MATCH(7&amp;","&amp;7,OFFSET($B$15,$F$46-15,0,1,4),0)),"")&lt;&gt;"",IFERROR(INDEX(OFFSET($B$15,$D$46-15,0,1,4),MATCH(7&amp;","&amp;7,OFFSET($B$15,$F$46-15,0,1,4),0)),""),IF($B$46="Start",IFERROR(INDEX($B$39:$G$39,MATCH(7&amp;","&amp;7,$B$40:$G$40,0)),""),"")))</f>
      </c>
      <c r="I52" s="12">
        <f>IF(OR(8&gt;$B$5,7&gt;$B$6),"X",IF(IFERROR(INDEX(OFFSET($B$15,$D$46-15,0,1,4),MATCH(8&amp;","&amp;7,OFFSET($B$15,$F$46-15,0,1,4),0)),"")&lt;&gt;"",IFERROR(INDEX(OFFSET($B$15,$D$46-15,0,1,4),MATCH(8&amp;","&amp;7,OFFSET($B$15,$F$46-15,0,1,4),0)),""),IF($B$46="Start",IFERROR(INDEX($B$39:$G$39,MATCH(8&amp;","&amp;7,$B$40:$G$40,0)),""),"")))</f>
      </c>
      <c r="J52" s="12">
        <f>IF(OR(9&gt;$B$5,7&gt;$B$6),"X",IF(IFERROR(INDEX(OFFSET($B$15,$D$46-15,0,1,4),MATCH(9&amp;","&amp;7,OFFSET($B$15,$F$46-15,0,1,4),0)),"")&lt;&gt;"",IFERROR(INDEX(OFFSET($B$15,$D$46-15,0,1,4),MATCH(9&amp;","&amp;7,OFFSET($B$15,$F$46-15,0,1,4),0)),""),IF($B$46="Start",IFERROR(INDEX($B$39:$G$39,MATCH(9&amp;","&amp;7,$B$40:$G$40,0)),""),"")))</f>
      </c>
      <c r="K52" s="12">
        <f>IF(OR(10&gt;$B$5,7&gt;$B$6),"X",IF(IFERROR(INDEX(OFFSET($B$15,$D$46-15,0,1,4),MATCH(10&amp;","&amp;7,OFFSET($B$15,$F$46-15,0,1,4),0)),"")&lt;&gt;"",IFERROR(INDEX(OFFSET($B$15,$D$46-15,0,1,4),MATCH(10&amp;","&amp;7,OFFSET($B$15,$F$46-15,0,1,4)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-15,0,1,4),MATCH(1&amp;","&amp;6,OFFSET($B$15,$F$46-15,0,1,4),0)),"")&lt;&gt;"",IFERROR(INDEX(OFFSET($B$15,$D$46-15,0,1,4),MATCH(1&amp;","&amp;6,OFFSET($B$15,$F$46-15,0,1,4),0)),""),IF($B$46="Start",IFERROR(INDEX($B$39:$G$39,MATCH(1&amp;","&amp;6,$B$40:$G$40,0)),""),"")))</f>
      </c>
      <c r="C53" s="12">
        <f>IF(OR(2&gt;$B$5,6&gt;$B$6),"X",IF(IFERROR(INDEX(OFFSET($B$15,$D$46-15,0,1,4),MATCH(2&amp;","&amp;6,OFFSET($B$15,$F$46-15,0,1,4),0)),"")&lt;&gt;"",IFERROR(INDEX(OFFSET($B$15,$D$46-15,0,1,4),MATCH(2&amp;","&amp;6,OFFSET($B$15,$F$46-15,0,1,4),0)),""),IF($B$46="Start",IFERROR(INDEX($B$39:$G$39,MATCH(2&amp;","&amp;6,$B$40:$G$40,0)),""),"")))</f>
      </c>
      <c r="D53" s="12">
        <f>IF(OR(3&gt;$B$5,6&gt;$B$6),"X",IF(IFERROR(INDEX(OFFSET($B$15,$D$46-15,0,1,4),MATCH(3&amp;","&amp;6,OFFSET($B$15,$F$46-15,0,1,4),0)),"")&lt;&gt;"",IFERROR(INDEX(OFFSET($B$15,$D$46-15,0,1,4),MATCH(3&amp;","&amp;6,OFFSET($B$15,$F$46-15,0,1,4),0)),""),IF($B$46="Start",IFERROR(INDEX($B$39:$G$39,MATCH(3&amp;","&amp;6,$B$40:$G$40,0)),""),"")))</f>
      </c>
      <c r="E53" s="12">
        <f>IF(OR(4&gt;$B$5,6&gt;$B$6),"X",IF(IFERROR(INDEX(OFFSET($B$15,$D$46-15,0,1,4),MATCH(4&amp;","&amp;6,OFFSET($B$15,$F$46-15,0,1,4),0)),"")&lt;&gt;"",IFERROR(INDEX(OFFSET($B$15,$D$46-15,0,1,4),MATCH(4&amp;","&amp;6,OFFSET($B$15,$F$46-15,0,1,4),0)),""),IF($B$46="Start",IFERROR(INDEX($B$39:$G$39,MATCH(4&amp;","&amp;6,$B$40:$G$40,0)),""),"")))</f>
      </c>
      <c r="F53" s="12">
        <f>IF(OR(5&gt;$B$5,6&gt;$B$6),"X",IF(IFERROR(INDEX(OFFSET($B$15,$D$46-15,0,1,4),MATCH(5&amp;","&amp;6,OFFSET($B$15,$F$46-15,0,1,4),0)),"")&lt;&gt;"",IFERROR(INDEX(OFFSET($B$15,$D$46-15,0,1,4),MATCH(5&amp;","&amp;6,OFFSET($B$15,$F$46-15,0,1,4),0)),""),IF($B$46="Start",IFERROR(INDEX($B$39:$G$39,MATCH(5&amp;","&amp;6,$B$40:$G$40,0)),""),"")))</f>
      </c>
      <c r="G53" s="12">
        <f>IF(OR(6&gt;$B$5,6&gt;$B$6),"X",IF(IFERROR(INDEX(OFFSET($B$15,$D$46-15,0,1,4),MATCH(6&amp;","&amp;6,OFFSET($B$15,$F$46-15,0,1,4),0)),"")&lt;&gt;"",IFERROR(INDEX(OFFSET($B$15,$D$46-15,0,1,4),MATCH(6&amp;","&amp;6,OFFSET($B$15,$F$46-15,0,1,4),0)),""),IF($B$46="Start",IFERROR(INDEX($B$39:$G$39,MATCH(6&amp;","&amp;6,$B$40:$G$40,0)),""),"")))</f>
      </c>
      <c r="H53" s="12">
        <f>IF(OR(7&gt;$B$5,6&gt;$B$6),"X",IF(IFERROR(INDEX(OFFSET($B$15,$D$46-15,0,1,4),MATCH(7&amp;","&amp;6,OFFSET($B$15,$F$46-15,0,1,4),0)),"")&lt;&gt;"",IFERROR(INDEX(OFFSET($B$15,$D$46-15,0,1,4),MATCH(7&amp;","&amp;6,OFFSET($B$15,$F$46-15,0,1,4),0)),""),IF($B$46="Start",IFERROR(INDEX($B$39:$G$39,MATCH(7&amp;","&amp;6,$B$40:$G$40,0)),""),"")))</f>
      </c>
      <c r="I53" s="12">
        <f>IF(OR(8&gt;$B$5,6&gt;$B$6),"X",IF(IFERROR(INDEX(OFFSET($B$15,$D$46-15,0,1,4),MATCH(8&amp;","&amp;6,OFFSET($B$15,$F$46-15,0,1,4),0)),"")&lt;&gt;"",IFERROR(INDEX(OFFSET($B$15,$D$46-15,0,1,4),MATCH(8&amp;","&amp;6,OFFSET($B$15,$F$46-15,0,1,4),0)),""),IF($B$46="Start",IFERROR(INDEX($B$39:$G$39,MATCH(8&amp;","&amp;6,$B$40:$G$40,0)),""),"")))</f>
      </c>
      <c r="J53" s="12">
        <f>IF(OR(9&gt;$B$5,6&gt;$B$6),"X",IF(IFERROR(INDEX(OFFSET($B$15,$D$46-15,0,1,4),MATCH(9&amp;","&amp;6,OFFSET($B$15,$F$46-15,0,1,4),0)),"")&lt;&gt;"",IFERROR(INDEX(OFFSET($B$15,$D$46-15,0,1,4),MATCH(9&amp;","&amp;6,OFFSET($B$15,$F$46-15,0,1,4),0)),""),IF($B$46="Start",IFERROR(INDEX($B$39:$G$39,MATCH(9&amp;","&amp;6,$B$40:$G$40,0)),""),"")))</f>
      </c>
      <c r="K53" s="12">
        <f>IF(OR(10&gt;$B$5,6&gt;$B$6),"X",IF(IFERROR(INDEX(OFFSET($B$15,$D$46-15,0,1,4),MATCH(10&amp;","&amp;6,OFFSET($B$15,$F$46-15,0,1,4),0)),"")&lt;&gt;"",IFERROR(INDEX(OFFSET($B$15,$D$46-15,0,1,4),MATCH(10&amp;","&amp;6,OFFSET($B$15,$F$46-15,0,1,4)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-15,0,1,4),MATCH(1&amp;","&amp;5,OFFSET($B$15,$F$46-15,0,1,4),0)),"")&lt;&gt;"",IFERROR(INDEX(OFFSET($B$15,$D$46-15,0,1,4),MATCH(1&amp;","&amp;5,OFFSET($B$15,$F$46-15,0,1,4),0)),""),IF($B$46="Start",IFERROR(INDEX($B$39:$G$39,MATCH(1&amp;","&amp;5,$B$40:$G$40,0)),""),"")))</f>
      </c>
      <c r="C54" s="12">
        <f>IF(OR(2&gt;$B$5,5&gt;$B$6),"X",IF(IFERROR(INDEX(OFFSET($B$15,$D$46-15,0,1,4),MATCH(2&amp;","&amp;5,OFFSET($B$15,$F$46-15,0,1,4),0)),"")&lt;&gt;"",IFERROR(INDEX(OFFSET($B$15,$D$46-15,0,1,4),MATCH(2&amp;","&amp;5,OFFSET($B$15,$F$46-15,0,1,4),0)),""),IF($B$46="Start",IFERROR(INDEX($B$39:$G$39,MATCH(2&amp;","&amp;5,$B$40:$G$40,0)),""),"")))</f>
      </c>
      <c r="D54" s="12">
        <f>IF(OR(3&gt;$B$5,5&gt;$B$6),"X",IF(IFERROR(INDEX(OFFSET($B$15,$D$46-15,0,1,4),MATCH(3&amp;","&amp;5,OFFSET($B$15,$F$46-15,0,1,4),0)),"")&lt;&gt;"",IFERROR(INDEX(OFFSET($B$15,$D$46-15,0,1,4),MATCH(3&amp;","&amp;5,OFFSET($B$15,$F$46-15,0,1,4),0)),""),IF($B$46="Start",IFERROR(INDEX($B$39:$G$39,MATCH(3&amp;","&amp;5,$B$40:$G$40,0)),""),"")))</f>
      </c>
      <c r="E54" s="12">
        <f>IF(OR(4&gt;$B$5,5&gt;$B$6),"X",IF(IFERROR(INDEX(OFFSET($B$15,$D$46-15,0,1,4),MATCH(4&amp;","&amp;5,OFFSET($B$15,$F$46-15,0,1,4),0)),"")&lt;&gt;"",IFERROR(INDEX(OFFSET($B$15,$D$46-15,0,1,4),MATCH(4&amp;","&amp;5,OFFSET($B$15,$F$46-15,0,1,4),0)),""),IF($B$46="Start",IFERROR(INDEX($B$39:$G$39,MATCH(4&amp;","&amp;5,$B$40:$G$40,0)),""),"")))</f>
      </c>
      <c r="F54" s="12">
        <f>IF(OR(5&gt;$B$5,5&gt;$B$6),"X",IF(IFERROR(INDEX(OFFSET($B$15,$D$46-15,0,1,4),MATCH(5&amp;","&amp;5,OFFSET($B$15,$F$46-15,0,1,4),0)),"")&lt;&gt;"",IFERROR(INDEX(OFFSET($B$15,$D$46-15,0,1,4),MATCH(5&amp;","&amp;5,OFFSET($B$15,$F$46-15,0,1,4),0)),""),IF($B$46="Start",IFERROR(INDEX($B$39:$G$39,MATCH(5&amp;","&amp;5,$B$40:$G$40,0)),""),"")))</f>
      </c>
      <c r="G54" s="12">
        <f>IF(OR(6&gt;$B$5,5&gt;$B$6),"X",IF(IFERROR(INDEX(OFFSET($B$15,$D$46-15,0,1,4),MATCH(6&amp;","&amp;5,OFFSET($B$15,$F$46-15,0,1,4),0)),"")&lt;&gt;"",IFERROR(INDEX(OFFSET($B$15,$D$46-15,0,1,4),MATCH(6&amp;","&amp;5,OFFSET($B$15,$F$46-15,0,1,4),0)),""),IF($B$46="Start",IFERROR(INDEX($B$39:$G$39,MATCH(6&amp;","&amp;5,$B$40:$G$40,0)),""),"")))</f>
      </c>
      <c r="H54" s="12">
        <f>IF(OR(7&gt;$B$5,5&gt;$B$6),"X",IF(IFERROR(INDEX(OFFSET($B$15,$D$46-15,0,1,4),MATCH(7&amp;","&amp;5,OFFSET($B$15,$F$46-15,0,1,4),0)),"")&lt;&gt;"",IFERROR(INDEX(OFFSET($B$15,$D$46-15,0,1,4),MATCH(7&amp;","&amp;5,OFFSET($B$15,$F$46-15,0,1,4),0)),""),IF($B$46="Start",IFERROR(INDEX($B$39:$G$39,MATCH(7&amp;","&amp;5,$B$40:$G$40,0)),""),"")))</f>
      </c>
      <c r="I54" s="12">
        <f>IF(OR(8&gt;$B$5,5&gt;$B$6),"X",IF(IFERROR(INDEX(OFFSET($B$15,$D$46-15,0,1,4),MATCH(8&amp;","&amp;5,OFFSET($B$15,$F$46-15,0,1,4),0)),"")&lt;&gt;"",IFERROR(INDEX(OFFSET($B$15,$D$46-15,0,1,4),MATCH(8&amp;","&amp;5,OFFSET($B$15,$F$46-15,0,1,4),0)),""),IF($B$46="Start",IFERROR(INDEX($B$39:$G$39,MATCH(8&amp;","&amp;5,$B$40:$G$40,0)),""),"")))</f>
      </c>
      <c r="J54" s="12">
        <f>IF(OR(9&gt;$B$5,5&gt;$B$6),"X",IF(IFERROR(INDEX(OFFSET($B$15,$D$46-15,0,1,4),MATCH(9&amp;","&amp;5,OFFSET($B$15,$F$46-15,0,1,4),0)),"")&lt;&gt;"",IFERROR(INDEX(OFFSET($B$15,$D$46-15,0,1,4),MATCH(9&amp;","&amp;5,OFFSET($B$15,$F$46-15,0,1,4),0)),""),IF($B$46="Start",IFERROR(INDEX($B$39:$G$39,MATCH(9&amp;","&amp;5,$B$40:$G$40,0)),""),"")))</f>
      </c>
      <c r="K54" s="12">
        <f>IF(OR(10&gt;$B$5,5&gt;$B$6),"X",IF(IFERROR(INDEX(OFFSET($B$15,$D$46-15,0,1,4),MATCH(10&amp;","&amp;5,OFFSET($B$15,$F$46-15,0,1,4),0)),"")&lt;&gt;"",IFERROR(INDEX(OFFSET($B$15,$D$46-15,0,1,4),MATCH(10&amp;","&amp;5,OFFSET($B$15,$F$46-15,0,1,4)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-15,0,1,4),MATCH(1&amp;","&amp;4,OFFSET($B$15,$F$46-15,0,1,4),0)),"")&lt;&gt;"",IFERROR(INDEX(OFFSET($B$15,$D$46-15,0,1,4),MATCH(1&amp;","&amp;4,OFFSET($B$15,$F$46-15,0,1,4),0)),""),IF($B$46="Start",IFERROR(INDEX($B$39:$G$39,MATCH(1&amp;","&amp;4,$B$40:$G$40,0)),""),"")))</f>
      </c>
      <c r="C55" s="12">
        <f>IF(OR(2&gt;$B$5,4&gt;$B$6),"X",IF(IFERROR(INDEX(OFFSET($B$15,$D$46-15,0,1,4),MATCH(2&amp;","&amp;4,OFFSET($B$15,$F$46-15,0,1,4),0)),"")&lt;&gt;"",IFERROR(INDEX(OFFSET($B$15,$D$46-15,0,1,4),MATCH(2&amp;","&amp;4,OFFSET($B$15,$F$46-15,0,1,4),0)),""),IF($B$46="Start",IFERROR(INDEX($B$39:$G$39,MATCH(2&amp;","&amp;4,$B$40:$G$40,0)),""),"")))</f>
      </c>
      <c r="D55" s="12">
        <f>IF(OR(3&gt;$B$5,4&gt;$B$6),"X",IF(IFERROR(INDEX(OFFSET($B$15,$D$46-15,0,1,4),MATCH(3&amp;","&amp;4,OFFSET($B$15,$F$46-15,0,1,4),0)),"")&lt;&gt;"",IFERROR(INDEX(OFFSET($B$15,$D$46-15,0,1,4),MATCH(3&amp;","&amp;4,OFFSET($B$15,$F$46-15,0,1,4),0)),""),IF($B$46="Start",IFERROR(INDEX($B$39:$G$39,MATCH(3&amp;","&amp;4,$B$40:$G$40,0)),""),"")))</f>
      </c>
      <c r="E55" s="12">
        <f>IF(OR(4&gt;$B$5,4&gt;$B$6),"X",IF(IFERROR(INDEX(OFFSET($B$15,$D$46-15,0,1,4),MATCH(4&amp;","&amp;4,OFFSET($B$15,$F$46-15,0,1,4),0)),"")&lt;&gt;"",IFERROR(INDEX(OFFSET($B$15,$D$46-15,0,1,4),MATCH(4&amp;","&amp;4,OFFSET($B$15,$F$46-15,0,1,4),0)),""),IF($B$46="Start",IFERROR(INDEX($B$39:$G$39,MATCH(4&amp;","&amp;4,$B$40:$G$40,0)),""),"")))</f>
      </c>
      <c r="F55" s="12">
        <f>IF(OR(5&gt;$B$5,4&gt;$B$6),"X",IF(IFERROR(INDEX(OFFSET($B$15,$D$46-15,0,1,4),MATCH(5&amp;","&amp;4,OFFSET($B$15,$F$46-15,0,1,4),0)),"")&lt;&gt;"",IFERROR(INDEX(OFFSET($B$15,$D$46-15,0,1,4),MATCH(5&amp;","&amp;4,OFFSET($B$15,$F$46-15,0,1,4),0)),""),IF($B$46="Start",IFERROR(INDEX($B$39:$G$39,MATCH(5&amp;","&amp;4,$B$40:$G$40,0)),""),"")))</f>
      </c>
      <c r="G55" s="12">
        <f>IF(OR(6&gt;$B$5,4&gt;$B$6),"X",IF(IFERROR(INDEX(OFFSET($B$15,$D$46-15,0,1,4),MATCH(6&amp;","&amp;4,OFFSET($B$15,$F$46-15,0,1,4),0)),"")&lt;&gt;"",IFERROR(INDEX(OFFSET($B$15,$D$46-15,0,1,4),MATCH(6&amp;","&amp;4,OFFSET($B$15,$F$46-15,0,1,4),0)),""),IF($B$46="Start",IFERROR(INDEX($B$39:$G$39,MATCH(6&amp;","&amp;4,$B$40:$G$40,0)),""),"")))</f>
      </c>
      <c r="H55" s="12">
        <f>IF(OR(7&gt;$B$5,4&gt;$B$6),"X",IF(IFERROR(INDEX(OFFSET($B$15,$D$46-15,0,1,4),MATCH(7&amp;","&amp;4,OFFSET($B$15,$F$46-15,0,1,4),0)),"")&lt;&gt;"",IFERROR(INDEX(OFFSET($B$15,$D$46-15,0,1,4),MATCH(7&amp;","&amp;4,OFFSET($B$15,$F$46-15,0,1,4),0)),""),IF($B$46="Start",IFERROR(INDEX($B$39:$G$39,MATCH(7&amp;","&amp;4,$B$40:$G$40,0)),""),"")))</f>
      </c>
      <c r="I55" s="12">
        <f>IF(OR(8&gt;$B$5,4&gt;$B$6),"X",IF(IFERROR(INDEX(OFFSET($B$15,$D$46-15,0,1,4),MATCH(8&amp;","&amp;4,OFFSET($B$15,$F$46-15,0,1,4),0)),"")&lt;&gt;"",IFERROR(INDEX(OFFSET($B$15,$D$46-15,0,1,4),MATCH(8&amp;","&amp;4,OFFSET($B$15,$F$46-15,0,1,4),0)),""),IF($B$46="Start",IFERROR(INDEX($B$39:$G$39,MATCH(8&amp;","&amp;4,$B$40:$G$40,0)),""),"")))</f>
      </c>
      <c r="J55" s="12">
        <f>IF(OR(9&gt;$B$5,4&gt;$B$6),"X",IF(IFERROR(INDEX(OFFSET($B$15,$D$46-15,0,1,4),MATCH(9&amp;","&amp;4,OFFSET($B$15,$F$46-15,0,1,4),0)),"")&lt;&gt;"",IFERROR(INDEX(OFFSET($B$15,$D$46-15,0,1,4),MATCH(9&amp;","&amp;4,OFFSET($B$15,$F$46-15,0,1,4),0)),""),IF($B$46="Start",IFERROR(INDEX($B$39:$G$39,MATCH(9&amp;","&amp;4,$B$40:$G$40,0)),""),"")))</f>
      </c>
      <c r="K55" s="12">
        <f>IF(OR(10&gt;$B$5,4&gt;$B$6),"X",IF(IFERROR(INDEX(OFFSET($B$15,$D$46-15,0,1,4),MATCH(10&amp;","&amp;4,OFFSET($B$15,$F$46-15,0,1,4),0)),"")&lt;&gt;"",IFERROR(INDEX(OFFSET($B$15,$D$46-15,0,1,4),MATCH(10&amp;","&amp;4,OFFSET($B$15,$F$46-15,0,1,4)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-15,0,1,4),MATCH(1&amp;","&amp;3,OFFSET($B$15,$F$46-15,0,1,4),0)),"")&lt;&gt;"",IFERROR(INDEX(OFFSET($B$15,$D$46-15,0,1,4),MATCH(1&amp;","&amp;3,OFFSET($B$15,$F$46-15,0,1,4),0)),""),IF($B$46="Start",IFERROR(INDEX($B$39:$G$39,MATCH(1&amp;","&amp;3,$B$40:$G$40,0)),""),"")))</f>
      </c>
      <c r="C56" s="12">
        <f>IF(OR(2&gt;$B$5,3&gt;$B$6),"X",IF(IFERROR(INDEX(OFFSET($B$15,$D$46-15,0,1,4),MATCH(2&amp;","&amp;3,OFFSET($B$15,$F$46-15,0,1,4),0)),"")&lt;&gt;"",IFERROR(INDEX(OFFSET($B$15,$D$46-15,0,1,4),MATCH(2&amp;","&amp;3,OFFSET($B$15,$F$46-15,0,1,4),0)),""),IF($B$46="Start",IFERROR(INDEX($B$39:$G$39,MATCH(2&amp;","&amp;3,$B$40:$G$40,0)),""),"")))</f>
      </c>
      <c r="D56" s="12">
        <f>IF(OR(3&gt;$B$5,3&gt;$B$6),"X",IF(IFERROR(INDEX(OFFSET($B$15,$D$46-15,0,1,4),MATCH(3&amp;","&amp;3,OFFSET($B$15,$F$46-15,0,1,4),0)),"")&lt;&gt;"",IFERROR(INDEX(OFFSET($B$15,$D$46-15,0,1,4),MATCH(3&amp;","&amp;3,OFFSET($B$15,$F$46-15,0,1,4),0)),""),IF($B$46="Start",IFERROR(INDEX($B$39:$G$39,MATCH(3&amp;","&amp;3,$B$40:$G$40,0)),""),"")))</f>
      </c>
      <c r="E56" s="12">
        <f>IF(OR(4&gt;$B$5,3&gt;$B$6),"X",IF(IFERROR(INDEX(OFFSET($B$15,$D$46-15,0,1,4),MATCH(4&amp;","&amp;3,OFFSET($B$15,$F$46-15,0,1,4),0)),"")&lt;&gt;"",IFERROR(INDEX(OFFSET($B$15,$D$46-15,0,1,4),MATCH(4&amp;","&amp;3,OFFSET($B$15,$F$46-15,0,1,4),0)),""),IF($B$46="Start",IFERROR(INDEX($B$39:$G$39,MATCH(4&amp;","&amp;3,$B$40:$G$40,0)),""),"")))</f>
      </c>
      <c r="F56" s="12">
        <f>IF(OR(5&gt;$B$5,3&gt;$B$6),"X",IF(IFERROR(INDEX(OFFSET($B$15,$D$46-15,0,1,4),MATCH(5&amp;","&amp;3,OFFSET($B$15,$F$46-15,0,1,4),0)),"")&lt;&gt;"",IFERROR(INDEX(OFFSET($B$15,$D$46-15,0,1,4),MATCH(5&amp;","&amp;3,OFFSET($B$15,$F$46-15,0,1,4),0)),""),IF($B$46="Start",IFERROR(INDEX($B$39:$G$39,MATCH(5&amp;","&amp;3,$B$40:$G$40,0)),""),"")))</f>
      </c>
      <c r="G56" s="12">
        <f>IF(OR(6&gt;$B$5,3&gt;$B$6),"X",IF(IFERROR(INDEX(OFFSET($B$15,$D$46-15,0,1,4),MATCH(6&amp;","&amp;3,OFFSET($B$15,$F$46-15,0,1,4),0)),"")&lt;&gt;"",IFERROR(INDEX(OFFSET($B$15,$D$46-15,0,1,4),MATCH(6&amp;","&amp;3,OFFSET($B$15,$F$46-15,0,1,4),0)),""),IF($B$46="Start",IFERROR(INDEX($B$39:$G$39,MATCH(6&amp;","&amp;3,$B$40:$G$40,0)),""),"")))</f>
      </c>
      <c r="H56" s="12">
        <f>IF(OR(7&gt;$B$5,3&gt;$B$6),"X",IF(IFERROR(INDEX(OFFSET($B$15,$D$46-15,0,1,4),MATCH(7&amp;","&amp;3,OFFSET($B$15,$F$46-15,0,1,4),0)),"")&lt;&gt;"",IFERROR(INDEX(OFFSET($B$15,$D$46-15,0,1,4),MATCH(7&amp;","&amp;3,OFFSET($B$15,$F$46-15,0,1,4),0)),""),IF($B$46="Start",IFERROR(INDEX($B$39:$G$39,MATCH(7&amp;","&amp;3,$B$40:$G$40,0)),""),"")))</f>
      </c>
      <c r="I56" s="12">
        <f>IF(OR(8&gt;$B$5,3&gt;$B$6),"X",IF(IFERROR(INDEX(OFFSET($B$15,$D$46-15,0,1,4),MATCH(8&amp;","&amp;3,OFFSET($B$15,$F$46-15,0,1,4),0)),"")&lt;&gt;"",IFERROR(INDEX(OFFSET($B$15,$D$46-15,0,1,4),MATCH(8&amp;","&amp;3,OFFSET($B$15,$F$46-15,0,1,4),0)),""),IF($B$46="Start",IFERROR(INDEX($B$39:$G$39,MATCH(8&amp;","&amp;3,$B$40:$G$40,0)),""),"")))</f>
      </c>
      <c r="J56" s="12">
        <f>IF(OR(9&gt;$B$5,3&gt;$B$6),"X",IF(IFERROR(INDEX(OFFSET($B$15,$D$46-15,0,1,4),MATCH(9&amp;","&amp;3,OFFSET($B$15,$F$46-15,0,1,4),0)),"")&lt;&gt;"",IFERROR(INDEX(OFFSET($B$15,$D$46-15,0,1,4),MATCH(9&amp;","&amp;3,OFFSET($B$15,$F$46-15,0,1,4),0)),""),IF($B$46="Start",IFERROR(INDEX($B$39:$G$39,MATCH(9&amp;","&amp;3,$B$40:$G$40,0)),""),"")))</f>
      </c>
      <c r="K56" s="12">
        <f>IF(OR(10&gt;$B$5,3&gt;$B$6),"X",IF(IFERROR(INDEX(OFFSET($B$15,$D$46-15,0,1,4),MATCH(10&amp;","&amp;3,OFFSET($B$15,$F$46-15,0,1,4),0)),"")&lt;&gt;"",IFERROR(INDEX(OFFSET($B$15,$D$46-15,0,1,4),MATCH(10&amp;","&amp;3,OFFSET($B$15,$F$46-15,0,1,4)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-15,0,1,4),MATCH(1&amp;","&amp;2,OFFSET($B$15,$F$46-15,0,1,4),0)),"")&lt;&gt;"",IFERROR(INDEX(OFFSET($B$15,$D$46-15,0,1,4),MATCH(1&amp;","&amp;2,OFFSET($B$15,$F$46-15,0,1,4),0)),""),IF($B$46="Start",IFERROR(INDEX($B$39:$G$39,MATCH(1&amp;","&amp;2,$B$40:$G$40,0)),""),"")))</f>
      </c>
      <c r="C57" s="12">
        <f>IF(OR(2&gt;$B$5,2&gt;$B$6),"X",IF(IFERROR(INDEX(OFFSET($B$15,$D$46-15,0,1,4),MATCH(2&amp;","&amp;2,OFFSET($B$15,$F$46-15,0,1,4),0)),"")&lt;&gt;"",IFERROR(INDEX(OFFSET($B$15,$D$46-15,0,1,4),MATCH(2&amp;","&amp;2,OFFSET($B$15,$F$46-15,0,1,4),0)),""),IF($B$46="Start",IFERROR(INDEX($B$39:$G$39,MATCH(2&amp;","&amp;2,$B$40:$G$40,0)),""),"")))</f>
      </c>
      <c r="D57" s="12">
        <f>IF(OR(3&gt;$B$5,2&gt;$B$6),"X",IF(IFERROR(INDEX(OFFSET($B$15,$D$46-15,0,1,4),MATCH(3&amp;","&amp;2,OFFSET($B$15,$F$46-15,0,1,4),0)),"")&lt;&gt;"",IFERROR(INDEX(OFFSET($B$15,$D$46-15,0,1,4),MATCH(3&amp;","&amp;2,OFFSET($B$15,$F$46-15,0,1,4),0)),""),IF($B$46="Start",IFERROR(INDEX($B$39:$G$39,MATCH(3&amp;","&amp;2,$B$40:$G$40,0)),""),"")))</f>
      </c>
      <c r="E57" s="12">
        <f>IF(OR(4&gt;$B$5,2&gt;$B$6),"X",IF(IFERROR(INDEX(OFFSET($B$15,$D$46-15,0,1,4),MATCH(4&amp;","&amp;2,OFFSET($B$15,$F$46-15,0,1,4),0)),"")&lt;&gt;"",IFERROR(INDEX(OFFSET($B$15,$D$46-15,0,1,4),MATCH(4&amp;","&amp;2,OFFSET($B$15,$F$46-15,0,1,4),0)),""),IF($B$46="Start",IFERROR(INDEX($B$39:$G$39,MATCH(4&amp;","&amp;2,$B$40:$G$40,0)),""),"")))</f>
      </c>
      <c r="F57" s="12">
        <f>IF(OR(5&gt;$B$5,2&gt;$B$6),"X",IF(IFERROR(INDEX(OFFSET($B$15,$D$46-15,0,1,4),MATCH(5&amp;","&amp;2,OFFSET($B$15,$F$46-15,0,1,4),0)),"")&lt;&gt;"",IFERROR(INDEX(OFFSET($B$15,$D$46-15,0,1,4),MATCH(5&amp;","&amp;2,OFFSET($B$15,$F$46-15,0,1,4),0)),""),IF($B$46="Start",IFERROR(INDEX($B$39:$G$39,MATCH(5&amp;","&amp;2,$B$40:$G$40,0)),""),"")))</f>
      </c>
      <c r="G57" s="12">
        <f>IF(OR(6&gt;$B$5,2&gt;$B$6),"X",IF(IFERROR(INDEX(OFFSET($B$15,$D$46-15,0,1,4),MATCH(6&amp;","&amp;2,OFFSET($B$15,$F$46-15,0,1,4),0)),"")&lt;&gt;"",IFERROR(INDEX(OFFSET($B$15,$D$46-15,0,1,4),MATCH(6&amp;","&amp;2,OFFSET($B$15,$F$46-15,0,1,4),0)),""),IF($B$46="Start",IFERROR(INDEX($B$39:$G$39,MATCH(6&amp;","&amp;2,$B$40:$G$40,0)),""),"")))</f>
      </c>
      <c r="H57" s="12">
        <f>IF(OR(7&gt;$B$5,2&gt;$B$6),"X",IF(IFERROR(INDEX(OFFSET($B$15,$D$46-15,0,1,4),MATCH(7&amp;","&amp;2,OFFSET($B$15,$F$46-15,0,1,4),0)),"")&lt;&gt;"",IFERROR(INDEX(OFFSET($B$15,$D$46-15,0,1,4),MATCH(7&amp;","&amp;2,OFFSET($B$15,$F$46-15,0,1,4),0)),""),IF($B$46="Start",IFERROR(INDEX($B$39:$G$39,MATCH(7&amp;","&amp;2,$B$40:$G$40,0)),""),"")))</f>
      </c>
      <c r="I57" s="12">
        <f>IF(OR(8&gt;$B$5,2&gt;$B$6),"X",IF(IFERROR(INDEX(OFFSET($B$15,$D$46-15,0,1,4),MATCH(8&amp;","&amp;2,OFFSET($B$15,$F$46-15,0,1,4),0)),"")&lt;&gt;"",IFERROR(INDEX(OFFSET($B$15,$D$46-15,0,1,4),MATCH(8&amp;","&amp;2,OFFSET($B$15,$F$46-15,0,1,4),0)),""),IF($B$46="Start",IFERROR(INDEX($B$39:$G$39,MATCH(8&amp;","&amp;2,$B$40:$G$40,0)),""),"")))</f>
      </c>
      <c r="J57" s="12">
        <f>IF(OR(9&gt;$B$5,2&gt;$B$6),"X",IF(IFERROR(INDEX(OFFSET($B$15,$D$46-15,0,1,4),MATCH(9&amp;","&amp;2,OFFSET($B$15,$F$46-15,0,1,4),0)),"")&lt;&gt;"",IFERROR(INDEX(OFFSET($B$15,$D$46-15,0,1,4),MATCH(9&amp;","&amp;2,OFFSET($B$15,$F$46-15,0,1,4),0)),""),IF($B$46="Start",IFERROR(INDEX($B$39:$G$39,MATCH(9&amp;","&amp;2,$B$40:$G$40,0)),""),"")))</f>
      </c>
      <c r="K57" s="12">
        <f>IF(OR(10&gt;$B$5,2&gt;$B$6),"X",IF(IFERROR(INDEX(OFFSET($B$15,$D$46-15,0,1,4),MATCH(10&amp;","&amp;2,OFFSET($B$15,$F$46-15,0,1,4),0)),"")&lt;&gt;"",IFERROR(INDEX(OFFSET($B$15,$D$46-15,0,1,4),MATCH(10&amp;","&amp;2,OFFSET($B$15,$F$46-15,0,1,4)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-15,0,1,4),MATCH(1&amp;","&amp;1,OFFSET($B$15,$F$46-15,0,1,4),0)),"")&lt;&gt;"",IFERROR(INDEX(OFFSET($B$15,$D$46-15,0,1,4),MATCH(1&amp;","&amp;1,OFFSET($B$15,$F$46-15,0,1,4),0)),""),IF($B$46="Start",IFERROR(INDEX($B$39:$G$39,MATCH(1&amp;","&amp;1,$B$40:$G$40,0)),""),"")))</f>
      </c>
      <c r="C58" s="12">
        <f>IF(OR(2&gt;$B$5,1&gt;$B$6),"X",IF(IFERROR(INDEX(OFFSET($B$15,$D$46-15,0,1,4),MATCH(2&amp;","&amp;1,OFFSET($B$15,$F$46-15,0,1,4),0)),"")&lt;&gt;"",IFERROR(INDEX(OFFSET($B$15,$D$46-15,0,1,4),MATCH(2&amp;","&amp;1,OFFSET($B$15,$F$46-15,0,1,4),0)),""),IF($B$46="Start",IFERROR(INDEX($B$39:$G$39,MATCH(2&amp;","&amp;1,$B$40:$G$40,0)),""),"")))</f>
      </c>
      <c r="D58" s="12">
        <f>IF(OR(3&gt;$B$5,1&gt;$B$6),"X",IF(IFERROR(INDEX(OFFSET($B$15,$D$46-15,0,1,4),MATCH(3&amp;","&amp;1,OFFSET($B$15,$F$46-15,0,1,4),0)),"")&lt;&gt;"",IFERROR(INDEX(OFFSET($B$15,$D$46-15,0,1,4),MATCH(3&amp;","&amp;1,OFFSET($B$15,$F$46-15,0,1,4),0)),""),IF($B$46="Start",IFERROR(INDEX($B$39:$G$39,MATCH(3&amp;","&amp;1,$B$40:$G$40,0)),""),"")))</f>
      </c>
      <c r="E58" s="12">
        <f>IF(OR(4&gt;$B$5,1&gt;$B$6),"X",IF(IFERROR(INDEX(OFFSET($B$15,$D$46-15,0,1,4),MATCH(4&amp;","&amp;1,OFFSET($B$15,$F$46-15,0,1,4),0)),"")&lt;&gt;"",IFERROR(INDEX(OFFSET($B$15,$D$46-15,0,1,4),MATCH(4&amp;","&amp;1,OFFSET($B$15,$F$46-15,0,1,4),0)),""),IF($B$46="Start",IFERROR(INDEX($B$39:$G$39,MATCH(4&amp;","&amp;1,$B$40:$G$40,0)),""),"")))</f>
      </c>
      <c r="F58" s="12">
        <f>IF(OR(5&gt;$B$5,1&gt;$B$6),"X",IF(IFERROR(INDEX(OFFSET($B$15,$D$46-15,0,1,4),MATCH(5&amp;","&amp;1,OFFSET($B$15,$F$46-15,0,1,4),0)),"")&lt;&gt;"",IFERROR(INDEX(OFFSET($B$15,$D$46-15,0,1,4),MATCH(5&amp;","&amp;1,OFFSET($B$15,$F$46-15,0,1,4),0)),""),IF($B$46="Start",IFERROR(INDEX($B$39:$G$39,MATCH(5&amp;","&amp;1,$B$40:$G$40,0)),""),"")))</f>
      </c>
      <c r="G58" s="12">
        <f>IF(OR(6&gt;$B$5,1&gt;$B$6),"X",IF(IFERROR(INDEX(OFFSET($B$15,$D$46-15,0,1,4),MATCH(6&amp;","&amp;1,OFFSET($B$15,$F$46-15,0,1,4),0)),"")&lt;&gt;"",IFERROR(INDEX(OFFSET($B$15,$D$46-15,0,1,4),MATCH(6&amp;","&amp;1,OFFSET($B$15,$F$46-15,0,1,4),0)),""),IF($B$46="Start",IFERROR(INDEX($B$39:$G$39,MATCH(6&amp;","&amp;1,$B$40:$G$40,0)),""),"")))</f>
      </c>
      <c r="H58" s="12">
        <f>IF(OR(7&gt;$B$5,1&gt;$B$6),"X",IF(IFERROR(INDEX(OFFSET($B$15,$D$46-15,0,1,4),MATCH(7&amp;","&amp;1,OFFSET($B$15,$F$46-15,0,1,4),0)),"")&lt;&gt;"",IFERROR(INDEX(OFFSET($B$15,$D$46-15,0,1,4),MATCH(7&amp;","&amp;1,OFFSET($B$15,$F$46-15,0,1,4),0)),""),IF($B$46="Start",IFERROR(INDEX($B$39:$G$39,MATCH(7&amp;","&amp;1,$B$40:$G$40,0)),""),"")))</f>
      </c>
      <c r="I58" s="12">
        <f>IF(OR(8&gt;$B$5,1&gt;$B$6),"X",IF(IFERROR(INDEX(OFFSET($B$15,$D$46-15,0,1,4),MATCH(8&amp;","&amp;1,OFFSET($B$15,$F$46-15,0,1,4),0)),"")&lt;&gt;"",IFERROR(INDEX(OFFSET($B$15,$D$46-15,0,1,4),MATCH(8&amp;","&amp;1,OFFSET($B$15,$F$46-15,0,1,4),0)),""),IF($B$46="Start",IFERROR(INDEX($B$39:$G$39,MATCH(8&amp;","&amp;1,$B$40:$G$40,0)),""),"")))</f>
      </c>
      <c r="J58" s="12">
        <f>IF(OR(9&gt;$B$5,1&gt;$B$6),"X",IF(IFERROR(INDEX(OFFSET($B$15,$D$46-15,0,1,4),MATCH(9&amp;","&amp;1,OFFSET($B$15,$F$46-15,0,1,4),0)),"")&lt;&gt;"",IFERROR(INDEX(OFFSET($B$15,$D$46-15,0,1,4),MATCH(9&amp;","&amp;1,OFFSET($B$15,$F$46-15,0,1,4),0)),""),IF($B$46="Start",IFERROR(INDEX($B$39:$G$39,MATCH(9&amp;","&amp;1,$B$40:$G$40,0)),""),"")))</f>
      </c>
      <c r="K58" s="12">
        <f>IF(OR(10&gt;$B$5,1&gt;$B$6),"X",IF(IFERROR(INDEX(OFFSET($B$15,$D$46-15,0,1,4),MATCH(10&amp;","&amp;1,OFFSET($B$15,$F$46-15,0,1,4),0)),"")&lt;&gt;"",IFERROR(INDEX(OFFSET($B$15,$D$46-15,0,1,4),MATCH(10&amp;","&amp;1,OFFSET($B$15,$F$46-15,0,1,4)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E15" showErrorMessage="0" allowBlank="1">
      <formula1>=list_Prefab</formula1>
    </dataValidation>
    <dataValidation type="list" sqref="B17:E17" showErrorMessage="0" allowBlank="1">
      <formula1>=list_Prefab</formula1>
    </dataValidation>
    <dataValidation type="list" sqref="B19:E19" showErrorMessage="0" allowBlank="1">
      <formula1>=list_Prefab</formula1>
    </dataValidation>
    <dataValidation type="list" sqref="B21:E21" showErrorMessage="0" allowBlank="1">
      <formula1>=list_Prefab</formula1>
    </dataValidation>
    <dataValidation type="list" sqref="B23:E23" showErrorMessage="0" allowBlank="1">
      <formula1>=list_Prefab</formula1>
    </dataValidation>
    <dataValidation type="list" sqref="B25:E25" showErrorMessage="0" allowBlank="1">
      <formula1>=list_Prefab</formula1>
    </dataValidation>
    <dataValidation type="list" sqref="B27:E27" showErrorMessage="0" allowBlank="1">
      <formula1>=list_Prefab</formula1>
    </dataValidation>
    <dataValidation type="list" sqref="B29:E29" showErrorMessage="0" allowBlank="1">
      <formula1>=list_Prefab</formula1>
    </dataValidation>
    <dataValidation type="list" sqref="B31:E31" showErrorMessage="0" allowBlank="1">
      <formula1>=list_Prefab</formula1>
    </dataValidation>
    <dataValidation type="list" sqref="B33:E33" showErrorMessage="0" allowBlank="1">
      <formula1>=list_Prefab</formula1>
    </dataValidation>
    <dataValidation type="list" sqref="B35:E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37</v>
      </c>
    </row>
    <row r="2">
      <c r="A2" s="1" t="s">
        <v>3</v>
      </c>
      <c r="B2" s="0" t="s">
        <v>166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5</v>
      </c>
    </row>
    <row r="6">
      <c r="A6" s="4" t="s">
        <v>91</v>
      </c>
      <c r="B6" s="0">
        <v>5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162</v>
      </c>
      <c r="C40" s="0" t="s">
        <v>163</v>
      </c>
      <c r="D40" s="0" t="s">
        <v>167</v>
      </c>
      <c r="E40" s="0" t="s">
        <v>168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40</v>
      </c>
    </row>
    <row r="2">
      <c r="A2" s="1" t="s">
        <v>3</v>
      </c>
      <c r="B2" s="0" t="s">
        <v>169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8</v>
      </c>
    </row>
    <row r="6">
      <c r="A6" s="4" t="s">
        <v>91</v>
      </c>
      <c r="B6" s="0">
        <v>8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118</v>
      </c>
      <c r="C40" s="0" t="s">
        <v>158</v>
      </c>
      <c r="D40" s="0" t="s">
        <v>170</v>
      </c>
      <c r="E40" s="0" t="s">
        <v>115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43</v>
      </c>
    </row>
    <row r="2">
      <c r="A2" s="1" t="s">
        <v>3</v>
      </c>
      <c r="B2" s="0" t="s">
        <v>171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5</v>
      </c>
    </row>
    <row r="6">
      <c r="A6" s="4" t="s">
        <v>91</v>
      </c>
      <c r="B6" s="0">
        <v>5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162</v>
      </c>
      <c r="C40" s="0" t="s">
        <v>163</v>
      </c>
      <c r="D40" s="0" t="s">
        <v>167</v>
      </c>
      <c r="E40" s="0" t="s">
        <v>168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46</v>
      </c>
    </row>
    <row r="2">
      <c r="A2" s="1" t="s">
        <v>3</v>
      </c>
      <c r="B2" s="0" t="s">
        <v>172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6</v>
      </c>
    </row>
    <row r="6">
      <c r="A6" s="4" t="s">
        <v>91</v>
      </c>
      <c r="B6" s="0">
        <v>6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173</v>
      </c>
      <c r="C40" s="0" t="s">
        <v>156</v>
      </c>
      <c r="D40" s="0" t="s">
        <v>162</v>
      </c>
      <c r="E40" s="0" t="s">
        <v>163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49</v>
      </c>
    </row>
    <row r="2">
      <c r="A2" s="1" t="s">
        <v>3</v>
      </c>
      <c r="B2" s="0" t="s">
        <v>174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6</v>
      </c>
    </row>
    <row r="6">
      <c r="A6" s="4" t="s">
        <v>91</v>
      </c>
      <c r="B6" s="0">
        <v>6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173</v>
      </c>
      <c r="C40" s="0" t="s">
        <v>156</v>
      </c>
      <c r="D40" s="0" t="s">
        <v>162</v>
      </c>
      <c r="E40" s="0" t="s">
        <v>163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52</v>
      </c>
    </row>
    <row r="2">
      <c r="A2" s="1" t="s">
        <v>3</v>
      </c>
      <c r="B2" s="0" t="s">
        <v>175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7</v>
      </c>
    </row>
    <row r="6">
      <c r="A6" s="4" t="s">
        <v>91</v>
      </c>
      <c r="B6" s="0">
        <v>7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176</v>
      </c>
      <c r="C40" s="0" t="s">
        <v>170</v>
      </c>
      <c r="D40" s="0" t="s">
        <v>173</v>
      </c>
      <c r="E40" s="0" t="s">
        <v>156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55</v>
      </c>
    </row>
    <row r="2">
      <c r="A2" s="1" t="s">
        <v>3</v>
      </c>
      <c r="B2" s="0" t="s">
        <v>177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7</v>
      </c>
    </row>
    <row r="6">
      <c r="A6" s="4" t="s">
        <v>91</v>
      </c>
      <c r="B6" s="0">
        <v>7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176</v>
      </c>
      <c r="C40" s="0" t="s">
        <v>170</v>
      </c>
      <c r="D40" s="0" t="s">
        <v>173</v>
      </c>
      <c r="E40" s="0" t="s">
        <v>156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58</v>
      </c>
    </row>
    <row r="2">
      <c r="A2" s="1" t="s">
        <v>3</v>
      </c>
      <c r="B2" s="0" t="s">
        <v>178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7</v>
      </c>
    </row>
    <row r="6">
      <c r="A6" s="4" t="s">
        <v>91</v>
      </c>
      <c r="B6" s="0">
        <v>7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176</v>
      </c>
      <c r="C40" s="0" t="s">
        <v>170</v>
      </c>
      <c r="D40" s="0" t="s">
        <v>173</v>
      </c>
      <c r="E40" s="0" t="s">
        <v>156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61</v>
      </c>
    </row>
    <row r="2">
      <c r="A2" s="1" t="s">
        <v>3</v>
      </c>
      <c r="B2" s="0" t="s">
        <v>179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8</v>
      </c>
    </row>
    <row r="6">
      <c r="A6" s="4" t="s">
        <v>91</v>
      </c>
      <c r="B6" s="0">
        <v>8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118</v>
      </c>
      <c r="C40" s="0" t="s">
        <v>158</v>
      </c>
      <c r="D40" s="0" t="s">
        <v>170</v>
      </c>
      <c r="E40" s="0" t="s">
        <v>115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64</v>
      </c>
    </row>
    <row r="2">
      <c r="A2" s="1" t="s">
        <v>3</v>
      </c>
      <c r="B2" s="0" t="s">
        <v>180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8</v>
      </c>
    </row>
    <row r="6">
      <c r="A6" s="4" t="s">
        <v>91</v>
      </c>
      <c r="B6" s="0">
        <v>8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</row>
    <row r="16">
      <c r="A16" s="4" t="s">
        <v>113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118</v>
      </c>
      <c r="C40" s="0" t="s">
        <v>170</v>
      </c>
      <c r="D40" s="0" t="s">
        <v>158</v>
      </c>
      <c r="E40" s="0" t="s">
        <v>115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G$39,MATCH(1&amp;","&amp;10,$B$40:$G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G$39,MATCH(2&amp;","&amp;10,$B$40:$G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G$39,MATCH(3&amp;","&amp;10,$B$40:$G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G$39,MATCH(4&amp;","&amp;10,$B$40:$G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G$39,MATCH(5&amp;","&amp;10,$B$40:$G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G$39,MATCH(6&amp;","&amp;10,$B$40:$G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G$39,MATCH(7&amp;","&amp;10,$B$40:$G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G$39,MATCH(8&amp;","&amp;10,$B$40:$G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G$39,MATCH(9&amp;","&amp;10,$B$40:$G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G$39,MATCH(1&amp;","&amp;9,$B$40:$G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G$39,MATCH(2&amp;","&amp;9,$B$40:$G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G$39,MATCH(3&amp;","&amp;9,$B$40:$G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G$39,MATCH(4&amp;","&amp;9,$B$40:$G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G$39,MATCH(5&amp;","&amp;9,$B$40:$G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G$39,MATCH(6&amp;","&amp;9,$B$40:$G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G$39,MATCH(7&amp;","&amp;9,$B$40:$G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G$39,MATCH(8&amp;","&amp;9,$B$40:$G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G$39,MATCH(9&amp;","&amp;9,$B$40:$G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G$39,MATCH(1&amp;","&amp;8,$B$40:$G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G$39,MATCH(2&amp;","&amp;8,$B$40:$G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G$39,MATCH(3&amp;","&amp;8,$B$40:$G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G$39,MATCH(4&amp;","&amp;8,$B$40:$G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G$39,MATCH(5&amp;","&amp;8,$B$40:$G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G$39,MATCH(6&amp;","&amp;8,$B$40:$G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G$39,MATCH(7&amp;","&amp;8,$B$40:$G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G$39,MATCH(8&amp;","&amp;8,$B$40:$G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G$39,MATCH(9&amp;","&amp;8,$B$40:$G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G$39,MATCH(1&amp;","&amp;7,$B$40:$G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G$39,MATCH(2&amp;","&amp;7,$B$40:$G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G$39,MATCH(3&amp;","&amp;7,$B$40:$G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G$39,MATCH(4&amp;","&amp;7,$B$40:$G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G$39,MATCH(5&amp;","&amp;7,$B$40:$G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G$39,MATCH(6&amp;","&amp;7,$B$40:$G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G$39,MATCH(7&amp;","&amp;7,$B$40:$G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G$39,MATCH(8&amp;","&amp;7,$B$40:$G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G$39,MATCH(9&amp;","&amp;7,$B$40:$G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G$39,MATCH(1&amp;","&amp;6,$B$40:$G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G$39,MATCH(2&amp;","&amp;6,$B$40:$G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G$39,MATCH(3&amp;","&amp;6,$B$40:$G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G$39,MATCH(4&amp;","&amp;6,$B$40:$G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G$39,MATCH(5&amp;","&amp;6,$B$40:$G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G$39,MATCH(6&amp;","&amp;6,$B$40:$G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G$39,MATCH(7&amp;","&amp;6,$B$40:$G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G$39,MATCH(8&amp;","&amp;6,$B$40:$G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G$39,MATCH(9&amp;","&amp;6,$B$40:$G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G$39,MATCH(1&amp;","&amp;5,$B$40:$G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G$39,MATCH(2&amp;","&amp;5,$B$40:$G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G$39,MATCH(3&amp;","&amp;5,$B$40:$G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G$39,MATCH(4&amp;","&amp;5,$B$40:$G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G$39,MATCH(5&amp;","&amp;5,$B$40:$G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G$39,MATCH(6&amp;","&amp;5,$B$40:$G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G$39,MATCH(7&amp;","&amp;5,$B$40:$G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G$39,MATCH(8&amp;","&amp;5,$B$40:$G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G$39,MATCH(9&amp;","&amp;5,$B$40:$G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G$39,MATCH(1&amp;","&amp;4,$B$40:$G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G$39,MATCH(2&amp;","&amp;4,$B$40:$G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G$39,MATCH(3&amp;","&amp;4,$B$40:$G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G$39,MATCH(4&amp;","&amp;4,$B$40:$G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G$39,MATCH(5&amp;","&amp;4,$B$40:$G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G$39,MATCH(6&amp;","&amp;4,$B$40:$G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G$39,MATCH(7&amp;","&amp;4,$B$40:$G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G$39,MATCH(8&amp;","&amp;4,$B$40:$G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G$39,MATCH(9&amp;","&amp;4,$B$40:$G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G$39,MATCH(1&amp;","&amp;3,$B$40:$G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G$39,MATCH(2&amp;","&amp;3,$B$40:$G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G$39,MATCH(3&amp;","&amp;3,$B$40:$G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G$39,MATCH(4&amp;","&amp;3,$B$40:$G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G$39,MATCH(5&amp;","&amp;3,$B$40:$G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G$39,MATCH(6&amp;","&amp;3,$B$40:$G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G$39,MATCH(7&amp;","&amp;3,$B$40:$G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G$39,MATCH(8&amp;","&amp;3,$B$40:$G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G$39,MATCH(9&amp;","&amp;3,$B$40:$G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G$39,MATCH(1&amp;","&amp;2,$B$40:$G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G$39,MATCH(2&amp;","&amp;2,$B$40:$G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G$39,MATCH(3&amp;","&amp;2,$B$40:$G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G$39,MATCH(4&amp;","&amp;2,$B$40:$G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G$39,MATCH(5&amp;","&amp;2,$B$40:$G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G$39,MATCH(6&amp;","&amp;2,$B$40:$G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G$39,MATCH(7&amp;","&amp;2,$B$40:$G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G$39,MATCH(8&amp;","&amp;2,$B$40:$G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G$39,MATCH(9&amp;","&amp;2,$B$40:$G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G$39,MATCH(1&amp;","&amp;1,$B$40:$G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G$39,MATCH(2&amp;","&amp;1,$B$40:$G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G$39,MATCH(3&amp;","&amp;1,$B$40:$G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G$39,MATCH(4&amp;","&amp;1,$B$40:$G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G$39,MATCH(5&amp;","&amp;1,$B$40:$G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G$39,MATCH(6&amp;","&amp;1,$B$40:$G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G$39,MATCH(7&amp;","&amp;1,$B$40:$G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G$39,MATCH(8&amp;","&amp;1,$B$40:$G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G$39,MATCH(9&amp;","&amp;1,$B$40:$G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K79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66</v>
      </c>
    </row>
    <row r="2">
      <c r="A2" s="1" t="s">
        <v>3</v>
      </c>
      <c r="B2" s="0" t="s">
        <v>181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5</v>
      </c>
    </row>
    <row r="6">
      <c r="A6" s="4" t="s">
        <v>91</v>
      </c>
      <c r="B6" s="0">
        <v>6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  <c r="C14" s="4" t="s">
        <v>101</v>
      </c>
      <c r="D14" s="4" t="s">
        <v>102</v>
      </c>
    </row>
    <row r="15">
      <c r="A15" s="1" t="s">
        <v>112</v>
      </c>
      <c r="B15" s="0" t="s">
        <v>82</v>
      </c>
      <c r="C15" s="0" t="s">
        <v>82</v>
      </c>
      <c r="D15" s="0" t="s">
        <v>82</v>
      </c>
    </row>
    <row r="16">
      <c r="A16" s="4" t="s">
        <v>113</v>
      </c>
      <c r="B16" s="0" t="s">
        <v>162</v>
      </c>
      <c r="C16" s="0" t="s">
        <v>173</v>
      </c>
      <c r="D16" s="0" t="s">
        <v>156</v>
      </c>
    </row>
    <row r="17">
      <c r="A17" s="1">
        <v>2</v>
      </c>
      <c r="B17" s="0" t="s">
        <v>39</v>
      </c>
      <c r="C17" s="0" t="s">
        <v>39</v>
      </c>
    </row>
    <row r="18">
      <c r="A18" s="4" t="s">
        <v>113</v>
      </c>
      <c r="B18" s="0" t="s">
        <v>117</v>
      </c>
      <c r="C18" s="0" t="s">
        <v>158</v>
      </c>
    </row>
    <row r="19">
      <c r="A19" s="1">
        <v>3</v>
      </c>
      <c r="B19" s="0" t="s">
        <v>82</v>
      </c>
    </row>
    <row r="20">
      <c r="A20" s="4" t="s">
        <v>113</v>
      </c>
      <c r="B20" s="0" t="s">
        <v>182</v>
      </c>
    </row>
    <row r="21">
      <c r="A21" s="1">
        <v>5</v>
      </c>
      <c r="B21" s="0" t="s">
        <v>82</v>
      </c>
      <c r="C21" s="0" t="s">
        <v>82</v>
      </c>
    </row>
    <row r="22">
      <c r="A22" s="4" t="s">
        <v>113</v>
      </c>
      <c r="B22" s="0" t="s">
        <v>182</v>
      </c>
      <c r="C22" s="0" t="s">
        <v>158</v>
      </c>
    </row>
    <row r="23">
      <c r="A23" s="1">
        <v>6</v>
      </c>
      <c r="B23" s="0" t="s">
        <v>82</v>
      </c>
      <c r="C23" s="0" t="s">
        <v>82</v>
      </c>
    </row>
    <row r="24">
      <c r="A24" s="4" t="s">
        <v>113</v>
      </c>
      <c r="B24" s="0" t="s">
        <v>182</v>
      </c>
      <c r="C24" s="0" t="s">
        <v>158</v>
      </c>
    </row>
    <row r="25">
      <c r="A25" s="1">
        <v>8</v>
      </c>
      <c r="B25" s="0" t="s">
        <v>82</v>
      </c>
      <c r="C25" s="0" t="s">
        <v>82</v>
      </c>
    </row>
    <row r="26">
      <c r="A26" s="4" t="s">
        <v>113</v>
      </c>
      <c r="B26" s="0" t="s">
        <v>182</v>
      </c>
      <c r="C26" s="0" t="s">
        <v>158</v>
      </c>
    </row>
    <row r="27">
      <c r="A27" s="1">
        <v>9</v>
      </c>
      <c r="B27" s="0" t="s">
        <v>82</v>
      </c>
      <c r="C27" s="0" t="s">
        <v>82</v>
      </c>
    </row>
    <row r="28">
      <c r="A28" s="4" t="s">
        <v>113</v>
      </c>
      <c r="B28" s="0" t="s">
        <v>182</v>
      </c>
      <c r="C28" s="0" t="s">
        <v>158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167</v>
      </c>
      <c r="C40" s="0" t="s">
        <v>168</v>
      </c>
      <c r="D40" s="0" t="s">
        <v>167</v>
      </c>
      <c r="E40" s="0" t="s">
        <v>168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4">
      <c r="A44" s="0">
        <v>3</v>
      </c>
      <c r="B44" s="0">
        <v>3</v>
      </c>
      <c r="C44" s="0">
        <v>0</v>
      </c>
      <c r="D44" s="0" t="s">
        <v>183</v>
      </c>
    </row>
    <row r="45">
      <c r="A45" s="0">
        <v>3</v>
      </c>
      <c r="B45" s="0">
        <v>4</v>
      </c>
      <c r="C45" s="0">
        <v>0</v>
      </c>
      <c r="D45" s="0" t="s">
        <v>184</v>
      </c>
    </row>
    <row r="46">
      <c r="A46" s="0">
        <v>4</v>
      </c>
      <c r="B46" s="0">
        <v>4</v>
      </c>
      <c r="C46" s="0">
        <v>0</v>
      </c>
      <c r="D46" s="0" t="s">
        <v>184</v>
      </c>
    </row>
    <row r="48">
      <c r="A48" s="1" t="s">
        <v>140</v>
      </c>
    </row>
    <row r="49">
      <c r="A49" s="1" t="s">
        <v>141</v>
      </c>
      <c r="B49" s="0" t="s">
        <v>112</v>
      </c>
      <c r="C49" s="7" t="s">
        <v>142</v>
      </c>
      <c r="D49" s="8">
        <f>INDEX($B$73:$B$79,MATCH($B$49,$A$73:$A$79,0))</f>
      </c>
      <c r="E49" s="7" t="s">
        <v>143</v>
      </c>
      <c r="F49" s="8">
        <f>INDEX($C$73:$C$79,MATCH($B$49,$A$73:$A$79,0))</f>
      </c>
    </row>
    <row r="51">
      <c r="A51" s="9"/>
      <c r="B51" s="10">
        <v>1</v>
      </c>
      <c r="C51" s="10">
        <v>2</v>
      </c>
      <c r="D51" s="10">
        <v>3</v>
      </c>
      <c r="E51" s="10">
        <v>4</v>
      </c>
      <c r="F51" s="10">
        <v>5</v>
      </c>
      <c r="G51" s="10">
        <v>6</v>
      </c>
      <c r="H51" s="10">
        <v>7</v>
      </c>
      <c r="I51" s="10">
        <v>8</v>
      </c>
      <c r="J51" s="10">
        <v>9</v>
      </c>
      <c r="K51" s="10">
        <v>10</v>
      </c>
    </row>
    <row r="52">
      <c r="A52" s="11">
        <v>10</v>
      </c>
      <c r="B52" s="12">
        <f>IF(OR(1&gt;$B$5,10&gt;$B$6),"X",IF(IFERROR(INDEX(OFFSET($B$15,$D$49-15,0,1,3),MATCH(1&amp;","&amp;10,OFFSET($B$15,$F$49-15,0,1,3),0)),"")&lt;&gt;"",IFERROR(INDEX(OFFSET($B$15,$D$49-15,0,1,3),MATCH(1&amp;","&amp;10,OFFSET($B$15,$F$49-15,0,1,3),0)),""),IF($B$49="Start",IFERROR(INDEX($B$39:$G$39,MATCH(1&amp;","&amp;10,$B$40:$G$40,0)),""),"")))</f>
      </c>
      <c r="C52" s="12">
        <f>IF(OR(2&gt;$B$5,10&gt;$B$6),"X",IF(IFERROR(INDEX(OFFSET($B$15,$D$49-15,0,1,3),MATCH(2&amp;","&amp;10,OFFSET($B$15,$F$49-15,0,1,3),0)),"")&lt;&gt;"",IFERROR(INDEX(OFFSET($B$15,$D$49-15,0,1,3),MATCH(2&amp;","&amp;10,OFFSET($B$15,$F$49-15,0,1,3),0)),""),IF($B$49="Start",IFERROR(INDEX($B$39:$G$39,MATCH(2&amp;","&amp;10,$B$40:$G$40,0)),""),"")))</f>
      </c>
      <c r="D52" s="12">
        <f>IF(OR(3&gt;$B$5,10&gt;$B$6),"X",IF(IFERROR(INDEX(OFFSET($B$15,$D$49-15,0,1,3),MATCH(3&amp;","&amp;10,OFFSET($B$15,$F$49-15,0,1,3),0)),"")&lt;&gt;"",IFERROR(INDEX(OFFSET($B$15,$D$49-15,0,1,3),MATCH(3&amp;","&amp;10,OFFSET($B$15,$F$49-15,0,1,3),0)),""),IF($B$49="Start",IFERROR(INDEX($B$39:$G$39,MATCH(3&amp;","&amp;10,$B$40:$G$40,0)),""),"")))</f>
      </c>
      <c r="E52" s="12">
        <f>IF(OR(4&gt;$B$5,10&gt;$B$6),"X",IF(IFERROR(INDEX(OFFSET($B$15,$D$49-15,0,1,3),MATCH(4&amp;","&amp;10,OFFSET($B$15,$F$49-15,0,1,3),0)),"")&lt;&gt;"",IFERROR(INDEX(OFFSET($B$15,$D$49-15,0,1,3),MATCH(4&amp;","&amp;10,OFFSET($B$15,$F$49-15,0,1,3),0)),""),IF($B$49="Start",IFERROR(INDEX($B$39:$G$39,MATCH(4&amp;","&amp;10,$B$40:$G$40,0)),""),"")))</f>
      </c>
      <c r="F52" s="12">
        <f>IF(OR(5&gt;$B$5,10&gt;$B$6),"X",IF(IFERROR(INDEX(OFFSET($B$15,$D$49-15,0,1,3),MATCH(5&amp;","&amp;10,OFFSET($B$15,$F$49-15,0,1,3),0)),"")&lt;&gt;"",IFERROR(INDEX(OFFSET($B$15,$D$49-15,0,1,3),MATCH(5&amp;","&amp;10,OFFSET($B$15,$F$49-15,0,1,3),0)),""),IF($B$49="Start",IFERROR(INDEX($B$39:$G$39,MATCH(5&amp;","&amp;10,$B$40:$G$40,0)),""),"")))</f>
      </c>
      <c r="G52" s="12">
        <f>IF(OR(6&gt;$B$5,10&gt;$B$6),"X",IF(IFERROR(INDEX(OFFSET($B$15,$D$49-15,0,1,3),MATCH(6&amp;","&amp;10,OFFSET($B$15,$F$49-15,0,1,3),0)),"")&lt;&gt;"",IFERROR(INDEX(OFFSET($B$15,$D$49-15,0,1,3),MATCH(6&amp;","&amp;10,OFFSET($B$15,$F$49-15,0,1,3),0)),""),IF($B$49="Start",IFERROR(INDEX($B$39:$G$39,MATCH(6&amp;","&amp;10,$B$40:$G$40,0)),""),"")))</f>
      </c>
      <c r="H52" s="12">
        <f>IF(OR(7&gt;$B$5,10&gt;$B$6),"X",IF(IFERROR(INDEX(OFFSET($B$15,$D$49-15,0,1,3),MATCH(7&amp;","&amp;10,OFFSET($B$15,$F$49-15,0,1,3),0)),"")&lt;&gt;"",IFERROR(INDEX(OFFSET($B$15,$D$49-15,0,1,3),MATCH(7&amp;","&amp;10,OFFSET($B$15,$F$49-15,0,1,3),0)),""),IF($B$49="Start",IFERROR(INDEX($B$39:$G$39,MATCH(7&amp;","&amp;10,$B$40:$G$40,0)),""),"")))</f>
      </c>
      <c r="I52" s="12">
        <f>IF(OR(8&gt;$B$5,10&gt;$B$6),"X",IF(IFERROR(INDEX(OFFSET($B$15,$D$49-15,0,1,3),MATCH(8&amp;","&amp;10,OFFSET($B$15,$F$49-15,0,1,3),0)),"")&lt;&gt;"",IFERROR(INDEX(OFFSET($B$15,$D$49-15,0,1,3),MATCH(8&amp;","&amp;10,OFFSET($B$15,$F$49-15,0,1,3),0)),""),IF($B$49="Start",IFERROR(INDEX($B$39:$G$39,MATCH(8&amp;","&amp;10,$B$40:$G$40,0)),""),"")))</f>
      </c>
      <c r="J52" s="12">
        <f>IF(OR(9&gt;$B$5,10&gt;$B$6),"X",IF(IFERROR(INDEX(OFFSET($B$15,$D$49-15,0,1,3),MATCH(9&amp;","&amp;10,OFFSET($B$15,$F$49-15,0,1,3),0)),"")&lt;&gt;"",IFERROR(INDEX(OFFSET($B$15,$D$49-15,0,1,3),MATCH(9&amp;","&amp;10,OFFSET($B$15,$F$49-15,0,1,3),0)),""),IF($B$49="Start",IFERROR(INDEX($B$39:$G$39,MATCH(9&amp;","&amp;10,$B$40:$G$40,0)),""),"")))</f>
      </c>
      <c r="K52" s="12">
        <f>IF(OR(10&gt;$B$5,10&gt;$B$6),"X",IF(IFERROR(INDEX(OFFSET($B$15,$D$49-15,0,1,3),MATCH(10&amp;","&amp;10,OFFSET($B$15,$F$49-15,0,1,3),0)),"")&lt;&gt;"",IFERROR(INDEX(OFFSET($B$15,$D$49-15,0,1,3),MATCH(10&amp;","&amp;10,OFFSET($B$15,$F$49-15,0,1,3),0)),""),IF($B$49="Start",IFERROR(INDEX($B$39:$G$39,MATCH(10&amp;","&amp;10,$B$40:$G$40,0)),""),"")))</f>
      </c>
    </row>
    <row r="53">
      <c r="A53" s="11">
        <v>9</v>
      </c>
      <c r="B53" s="12">
        <f>IF(OR(1&gt;$B$5,9&gt;$B$6),"X",IF(IFERROR(INDEX(OFFSET($B$15,$D$49-15,0,1,3),MATCH(1&amp;","&amp;9,OFFSET($B$15,$F$49-15,0,1,3),0)),"")&lt;&gt;"",IFERROR(INDEX(OFFSET($B$15,$D$49-15,0,1,3),MATCH(1&amp;","&amp;9,OFFSET($B$15,$F$49-15,0,1,3),0)),""),IF($B$49="Start",IFERROR(INDEX($B$39:$G$39,MATCH(1&amp;","&amp;9,$B$40:$G$40,0)),""),"")))</f>
      </c>
      <c r="C53" s="12">
        <f>IF(OR(2&gt;$B$5,9&gt;$B$6),"X",IF(IFERROR(INDEX(OFFSET($B$15,$D$49-15,0,1,3),MATCH(2&amp;","&amp;9,OFFSET($B$15,$F$49-15,0,1,3),0)),"")&lt;&gt;"",IFERROR(INDEX(OFFSET($B$15,$D$49-15,0,1,3),MATCH(2&amp;","&amp;9,OFFSET($B$15,$F$49-15,0,1,3),0)),""),IF($B$49="Start",IFERROR(INDEX($B$39:$G$39,MATCH(2&amp;","&amp;9,$B$40:$G$40,0)),""),"")))</f>
      </c>
      <c r="D53" s="12">
        <f>IF(OR(3&gt;$B$5,9&gt;$B$6),"X",IF(IFERROR(INDEX(OFFSET($B$15,$D$49-15,0,1,3),MATCH(3&amp;","&amp;9,OFFSET($B$15,$F$49-15,0,1,3),0)),"")&lt;&gt;"",IFERROR(INDEX(OFFSET($B$15,$D$49-15,0,1,3),MATCH(3&amp;","&amp;9,OFFSET($B$15,$F$49-15,0,1,3),0)),""),IF($B$49="Start",IFERROR(INDEX($B$39:$G$39,MATCH(3&amp;","&amp;9,$B$40:$G$40,0)),""),"")))</f>
      </c>
      <c r="E53" s="12">
        <f>IF(OR(4&gt;$B$5,9&gt;$B$6),"X",IF(IFERROR(INDEX(OFFSET($B$15,$D$49-15,0,1,3),MATCH(4&amp;","&amp;9,OFFSET($B$15,$F$49-15,0,1,3),0)),"")&lt;&gt;"",IFERROR(INDEX(OFFSET($B$15,$D$49-15,0,1,3),MATCH(4&amp;","&amp;9,OFFSET($B$15,$F$49-15,0,1,3),0)),""),IF($B$49="Start",IFERROR(INDEX($B$39:$G$39,MATCH(4&amp;","&amp;9,$B$40:$G$40,0)),""),"")))</f>
      </c>
      <c r="F53" s="12">
        <f>IF(OR(5&gt;$B$5,9&gt;$B$6),"X",IF(IFERROR(INDEX(OFFSET($B$15,$D$49-15,0,1,3),MATCH(5&amp;","&amp;9,OFFSET($B$15,$F$49-15,0,1,3),0)),"")&lt;&gt;"",IFERROR(INDEX(OFFSET($B$15,$D$49-15,0,1,3),MATCH(5&amp;","&amp;9,OFFSET($B$15,$F$49-15,0,1,3),0)),""),IF($B$49="Start",IFERROR(INDEX($B$39:$G$39,MATCH(5&amp;","&amp;9,$B$40:$G$40,0)),""),"")))</f>
      </c>
      <c r="G53" s="12">
        <f>IF(OR(6&gt;$B$5,9&gt;$B$6),"X",IF(IFERROR(INDEX(OFFSET($B$15,$D$49-15,0,1,3),MATCH(6&amp;","&amp;9,OFFSET($B$15,$F$49-15,0,1,3),0)),"")&lt;&gt;"",IFERROR(INDEX(OFFSET($B$15,$D$49-15,0,1,3),MATCH(6&amp;","&amp;9,OFFSET($B$15,$F$49-15,0,1,3),0)),""),IF($B$49="Start",IFERROR(INDEX($B$39:$G$39,MATCH(6&amp;","&amp;9,$B$40:$G$40,0)),""),"")))</f>
      </c>
      <c r="H53" s="12">
        <f>IF(OR(7&gt;$B$5,9&gt;$B$6),"X",IF(IFERROR(INDEX(OFFSET($B$15,$D$49-15,0,1,3),MATCH(7&amp;","&amp;9,OFFSET($B$15,$F$49-15,0,1,3),0)),"")&lt;&gt;"",IFERROR(INDEX(OFFSET($B$15,$D$49-15,0,1,3),MATCH(7&amp;","&amp;9,OFFSET($B$15,$F$49-15,0,1,3),0)),""),IF($B$49="Start",IFERROR(INDEX($B$39:$G$39,MATCH(7&amp;","&amp;9,$B$40:$G$40,0)),""),"")))</f>
      </c>
      <c r="I53" s="12">
        <f>IF(OR(8&gt;$B$5,9&gt;$B$6),"X",IF(IFERROR(INDEX(OFFSET($B$15,$D$49-15,0,1,3),MATCH(8&amp;","&amp;9,OFFSET($B$15,$F$49-15,0,1,3),0)),"")&lt;&gt;"",IFERROR(INDEX(OFFSET($B$15,$D$49-15,0,1,3),MATCH(8&amp;","&amp;9,OFFSET($B$15,$F$49-15,0,1,3),0)),""),IF($B$49="Start",IFERROR(INDEX($B$39:$G$39,MATCH(8&amp;","&amp;9,$B$40:$G$40,0)),""),"")))</f>
      </c>
      <c r="J53" s="12">
        <f>IF(OR(9&gt;$B$5,9&gt;$B$6),"X",IF(IFERROR(INDEX(OFFSET($B$15,$D$49-15,0,1,3),MATCH(9&amp;","&amp;9,OFFSET($B$15,$F$49-15,0,1,3),0)),"")&lt;&gt;"",IFERROR(INDEX(OFFSET($B$15,$D$49-15,0,1,3),MATCH(9&amp;","&amp;9,OFFSET($B$15,$F$49-15,0,1,3),0)),""),IF($B$49="Start",IFERROR(INDEX($B$39:$G$39,MATCH(9&amp;","&amp;9,$B$40:$G$40,0)),""),"")))</f>
      </c>
      <c r="K53" s="12">
        <f>IF(OR(10&gt;$B$5,9&gt;$B$6),"X",IF(IFERROR(INDEX(OFFSET($B$15,$D$49-15,0,1,3),MATCH(10&amp;","&amp;9,OFFSET($B$15,$F$49-15,0,1,3),0)),"")&lt;&gt;"",IFERROR(INDEX(OFFSET($B$15,$D$49-15,0,1,3),MATCH(10&amp;","&amp;9,OFFSET($B$15,$F$49-15,0,1,3),0)),""),IF($B$49="Start",IFERROR(INDEX($B$39:$G$39,MATCH(10&amp;","&amp;9,$B$40:$G$40,0)),""),"")))</f>
      </c>
    </row>
    <row r="54">
      <c r="A54" s="11">
        <v>8</v>
      </c>
      <c r="B54" s="12">
        <f>IF(OR(1&gt;$B$5,8&gt;$B$6),"X",IF(IFERROR(INDEX(OFFSET($B$15,$D$49-15,0,1,3),MATCH(1&amp;","&amp;8,OFFSET($B$15,$F$49-15,0,1,3),0)),"")&lt;&gt;"",IFERROR(INDEX(OFFSET($B$15,$D$49-15,0,1,3),MATCH(1&amp;","&amp;8,OFFSET($B$15,$F$49-15,0,1,3),0)),""),IF($B$49="Start",IFERROR(INDEX($B$39:$G$39,MATCH(1&amp;","&amp;8,$B$40:$G$40,0)),""),"")))</f>
      </c>
      <c r="C54" s="12">
        <f>IF(OR(2&gt;$B$5,8&gt;$B$6),"X",IF(IFERROR(INDEX(OFFSET($B$15,$D$49-15,0,1,3),MATCH(2&amp;","&amp;8,OFFSET($B$15,$F$49-15,0,1,3),0)),"")&lt;&gt;"",IFERROR(INDEX(OFFSET($B$15,$D$49-15,0,1,3),MATCH(2&amp;","&amp;8,OFFSET($B$15,$F$49-15,0,1,3),0)),""),IF($B$49="Start",IFERROR(INDEX($B$39:$G$39,MATCH(2&amp;","&amp;8,$B$40:$G$40,0)),""),"")))</f>
      </c>
      <c r="D54" s="12">
        <f>IF(OR(3&gt;$B$5,8&gt;$B$6),"X",IF(IFERROR(INDEX(OFFSET($B$15,$D$49-15,0,1,3),MATCH(3&amp;","&amp;8,OFFSET($B$15,$F$49-15,0,1,3),0)),"")&lt;&gt;"",IFERROR(INDEX(OFFSET($B$15,$D$49-15,0,1,3),MATCH(3&amp;","&amp;8,OFFSET($B$15,$F$49-15,0,1,3),0)),""),IF($B$49="Start",IFERROR(INDEX($B$39:$G$39,MATCH(3&amp;","&amp;8,$B$40:$G$40,0)),""),"")))</f>
      </c>
      <c r="E54" s="12">
        <f>IF(OR(4&gt;$B$5,8&gt;$B$6),"X",IF(IFERROR(INDEX(OFFSET($B$15,$D$49-15,0,1,3),MATCH(4&amp;","&amp;8,OFFSET($B$15,$F$49-15,0,1,3),0)),"")&lt;&gt;"",IFERROR(INDEX(OFFSET($B$15,$D$49-15,0,1,3),MATCH(4&amp;","&amp;8,OFFSET($B$15,$F$49-15,0,1,3),0)),""),IF($B$49="Start",IFERROR(INDEX($B$39:$G$39,MATCH(4&amp;","&amp;8,$B$40:$G$40,0)),""),"")))</f>
      </c>
      <c r="F54" s="12">
        <f>IF(OR(5&gt;$B$5,8&gt;$B$6),"X",IF(IFERROR(INDEX(OFFSET($B$15,$D$49-15,0,1,3),MATCH(5&amp;","&amp;8,OFFSET($B$15,$F$49-15,0,1,3),0)),"")&lt;&gt;"",IFERROR(INDEX(OFFSET($B$15,$D$49-15,0,1,3),MATCH(5&amp;","&amp;8,OFFSET($B$15,$F$49-15,0,1,3),0)),""),IF($B$49="Start",IFERROR(INDEX($B$39:$G$39,MATCH(5&amp;","&amp;8,$B$40:$G$40,0)),""),"")))</f>
      </c>
      <c r="G54" s="12">
        <f>IF(OR(6&gt;$B$5,8&gt;$B$6),"X",IF(IFERROR(INDEX(OFFSET($B$15,$D$49-15,0,1,3),MATCH(6&amp;","&amp;8,OFFSET($B$15,$F$49-15,0,1,3),0)),"")&lt;&gt;"",IFERROR(INDEX(OFFSET($B$15,$D$49-15,0,1,3),MATCH(6&amp;","&amp;8,OFFSET($B$15,$F$49-15,0,1,3),0)),""),IF($B$49="Start",IFERROR(INDEX($B$39:$G$39,MATCH(6&amp;","&amp;8,$B$40:$G$40,0)),""),"")))</f>
      </c>
      <c r="H54" s="12">
        <f>IF(OR(7&gt;$B$5,8&gt;$B$6),"X",IF(IFERROR(INDEX(OFFSET($B$15,$D$49-15,0,1,3),MATCH(7&amp;","&amp;8,OFFSET($B$15,$F$49-15,0,1,3),0)),"")&lt;&gt;"",IFERROR(INDEX(OFFSET($B$15,$D$49-15,0,1,3),MATCH(7&amp;","&amp;8,OFFSET($B$15,$F$49-15,0,1,3),0)),""),IF($B$49="Start",IFERROR(INDEX($B$39:$G$39,MATCH(7&amp;","&amp;8,$B$40:$G$40,0)),""),"")))</f>
      </c>
      <c r="I54" s="12">
        <f>IF(OR(8&gt;$B$5,8&gt;$B$6),"X",IF(IFERROR(INDEX(OFFSET($B$15,$D$49-15,0,1,3),MATCH(8&amp;","&amp;8,OFFSET($B$15,$F$49-15,0,1,3),0)),"")&lt;&gt;"",IFERROR(INDEX(OFFSET($B$15,$D$49-15,0,1,3),MATCH(8&amp;","&amp;8,OFFSET($B$15,$F$49-15,0,1,3),0)),""),IF($B$49="Start",IFERROR(INDEX($B$39:$G$39,MATCH(8&amp;","&amp;8,$B$40:$G$40,0)),""),"")))</f>
      </c>
      <c r="J54" s="12">
        <f>IF(OR(9&gt;$B$5,8&gt;$B$6),"X",IF(IFERROR(INDEX(OFFSET($B$15,$D$49-15,0,1,3),MATCH(9&amp;","&amp;8,OFFSET($B$15,$F$49-15,0,1,3),0)),"")&lt;&gt;"",IFERROR(INDEX(OFFSET($B$15,$D$49-15,0,1,3),MATCH(9&amp;","&amp;8,OFFSET($B$15,$F$49-15,0,1,3),0)),""),IF($B$49="Start",IFERROR(INDEX($B$39:$G$39,MATCH(9&amp;","&amp;8,$B$40:$G$40,0)),""),"")))</f>
      </c>
      <c r="K54" s="12">
        <f>IF(OR(10&gt;$B$5,8&gt;$B$6),"X",IF(IFERROR(INDEX(OFFSET($B$15,$D$49-15,0,1,3),MATCH(10&amp;","&amp;8,OFFSET($B$15,$F$49-15,0,1,3),0)),"")&lt;&gt;"",IFERROR(INDEX(OFFSET($B$15,$D$49-15,0,1,3),MATCH(10&amp;","&amp;8,OFFSET($B$15,$F$49-15,0,1,3),0)),""),IF($B$49="Start",IFERROR(INDEX($B$39:$G$39,MATCH(10&amp;","&amp;8,$B$40:$G$40,0)),""),"")))</f>
      </c>
    </row>
    <row r="55">
      <c r="A55" s="11">
        <v>7</v>
      </c>
      <c r="B55" s="12">
        <f>IF(OR(1&gt;$B$5,7&gt;$B$6),"X",IF(IFERROR(INDEX(OFFSET($B$15,$D$49-15,0,1,3),MATCH(1&amp;","&amp;7,OFFSET($B$15,$F$49-15,0,1,3),0)),"")&lt;&gt;"",IFERROR(INDEX(OFFSET($B$15,$D$49-15,0,1,3),MATCH(1&amp;","&amp;7,OFFSET($B$15,$F$49-15,0,1,3),0)),""),IF($B$49="Start",IFERROR(INDEX($B$39:$G$39,MATCH(1&amp;","&amp;7,$B$40:$G$40,0)),""),"")))</f>
      </c>
      <c r="C55" s="12">
        <f>IF(OR(2&gt;$B$5,7&gt;$B$6),"X",IF(IFERROR(INDEX(OFFSET($B$15,$D$49-15,0,1,3),MATCH(2&amp;","&amp;7,OFFSET($B$15,$F$49-15,0,1,3),0)),"")&lt;&gt;"",IFERROR(INDEX(OFFSET($B$15,$D$49-15,0,1,3),MATCH(2&amp;","&amp;7,OFFSET($B$15,$F$49-15,0,1,3),0)),""),IF($B$49="Start",IFERROR(INDEX($B$39:$G$39,MATCH(2&amp;","&amp;7,$B$40:$G$40,0)),""),"")))</f>
      </c>
      <c r="D55" s="12">
        <f>IF(OR(3&gt;$B$5,7&gt;$B$6),"X",IF(IFERROR(INDEX(OFFSET($B$15,$D$49-15,0,1,3),MATCH(3&amp;","&amp;7,OFFSET($B$15,$F$49-15,0,1,3),0)),"")&lt;&gt;"",IFERROR(INDEX(OFFSET($B$15,$D$49-15,0,1,3),MATCH(3&amp;","&amp;7,OFFSET($B$15,$F$49-15,0,1,3),0)),""),IF($B$49="Start",IFERROR(INDEX($B$39:$G$39,MATCH(3&amp;","&amp;7,$B$40:$G$40,0)),""),"")))</f>
      </c>
      <c r="E55" s="12">
        <f>IF(OR(4&gt;$B$5,7&gt;$B$6),"X",IF(IFERROR(INDEX(OFFSET($B$15,$D$49-15,0,1,3),MATCH(4&amp;","&amp;7,OFFSET($B$15,$F$49-15,0,1,3),0)),"")&lt;&gt;"",IFERROR(INDEX(OFFSET($B$15,$D$49-15,0,1,3),MATCH(4&amp;","&amp;7,OFFSET($B$15,$F$49-15,0,1,3),0)),""),IF($B$49="Start",IFERROR(INDEX($B$39:$G$39,MATCH(4&amp;","&amp;7,$B$40:$G$40,0)),""),"")))</f>
      </c>
      <c r="F55" s="12">
        <f>IF(OR(5&gt;$B$5,7&gt;$B$6),"X",IF(IFERROR(INDEX(OFFSET($B$15,$D$49-15,0,1,3),MATCH(5&amp;","&amp;7,OFFSET($B$15,$F$49-15,0,1,3),0)),"")&lt;&gt;"",IFERROR(INDEX(OFFSET($B$15,$D$49-15,0,1,3),MATCH(5&amp;","&amp;7,OFFSET($B$15,$F$49-15,0,1,3),0)),""),IF($B$49="Start",IFERROR(INDEX($B$39:$G$39,MATCH(5&amp;","&amp;7,$B$40:$G$40,0)),""),"")))</f>
      </c>
      <c r="G55" s="12">
        <f>IF(OR(6&gt;$B$5,7&gt;$B$6),"X",IF(IFERROR(INDEX(OFFSET($B$15,$D$49-15,0,1,3),MATCH(6&amp;","&amp;7,OFFSET($B$15,$F$49-15,0,1,3),0)),"")&lt;&gt;"",IFERROR(INDEX(OFFSET($B$15,$D$49-15,0,1,3),MATCH(6&amp;","&amp;7,OFFSET($B$15,$F$49-15,0,1,3),0)),""),IF($B$49="Start",IFERROR(INDEX($B$39:$G$39,MATCH(6&amp;","&amp;7,$B$40:$G$40,0)),""),"")))</f>
      </c>
      <c r="H55" s="12">
        <f>IF(OR(7&gt;$B$5,7&gt;$B$6),"X",IF(IFERROR(INDEX(OFFSET($B$15,$D$49-15,0,1,3),MATCH(7&amp;","&amp;7,OFFSET($B$15,$F$49-15,0,1,3),0)),"")&lt;&gt;"",IFERROR(INDEX(OFFSET($B$15,$D$49-15,0,1,3),MATCH(7&amp;","&amp;7,OFFSET($B$15,$F$49-15,0,1,3),0)),""),IF($B$49="Start",IFERROR(INDEX($B$39:$G$39,MATCH(7&amp;","&amp;7,$B$40:$G$40,0)),""),"")))</f>
      </c>
      <c r="I55" s="12">
        <f>IF(OR(8&gt;$B$5,7&gt;$B$6),"X",IF(IFERROR(INDEX(OFFSET($B$15,$D$49-15,0,1,3),MATCH(8&amp;","&amp;7,OFFSET($B$15,$F$49-15,0,1,3),0)),"")&lt;&gt;"",IFERROR(INDEX(OFFSET($B$15,$D$49-15,0,1,3),MATCH(8&amp;","&amp;7,OFFSET($B$15,$F$49-15,0,1,3),0)),""),IF($B$49="Start",IFERROR(INDEX($B$39:$G$39,MATCH(8&amp;","&amp;7,$B$40:$G$40,0)),""),"")))</f>
      </c>
      <c r="J55" s="12">
        <f>IF(OR(9&gt;$B$5,7&gt;$B$6),"X",IF(IFERROR(INDEX(OFFSET($B$15,$D$49-15,0,1,3),MATCH(9&amp;","&amp;7,OFFSET($B$15,$F$49-15,0,1,3),0)),"")&lt;&gt;"",IFERROR(INDEX(OFFSET($B$15,$D$49-15,0,1,3),MATCH(9&amp;","&amp;7,OFFSET($B$15,$F$49-15,0,1,3),0)),""),IF($B$49="Start",IFERROR(INDEX($B$39:$G$39,MATCH(9&amp;","&amp;7,$B$40:$G$40,0)),""),"")))</f>
      </c>
      <c r="K55" s="12">
        <f>IF(OR(10&gt;$B$5,7&gt;$B$6),"X",IF(IFERROR(INDEX(OFFSET($B$15,$D$49-15,0,1,3),MATCH(10&amp;","&amp;7,OFFSET($B$15,$F$49-15,0,1,3),0)),"")&lt;&gt;"",IFERROR(INDEX(OFFSET($B$15,$D$49-15,0,1,3),MATCH(10&amp;","&amp;7,OFFSET($B$15,$F$49-15,0,1,3),0)),""),IF($B$49="Start",IFERROR(INDEX($B$39:$G$39,MATCH(10&amp;","&amp;7,$B$40:$G$40,0)),""),"")))</f>
      </c>
    </row>
    <row r="56">
      <c r="A56" s="11">
        <v>6</v>
      </c>
      <c r="B56" s="12">
        <f>IF(OR(1&gt;$B$5,6&gt;$B$6),"X",IF(IFERROR(INDEX(OFFSET($B$15,$D$49-15,0,1,3),MATCH(1&amp;","&amp;6,OFFSET($B$15,$F$49-15,0,1,3),0)),"")&lt;&gt;"",IFERROR(INDEX(OFFSET($B$15,$D$49-15,0,1,3),MATCH(1&amp;","&amp;6,OFFSET($B$15,$F$49-15,0,1,3),0)),""),IF($B$49="Start",IFERROR(INDEX($B$39:$G$39,MATCH(1&amp;","&amp;6,$B$40:$G$40,0)),""),"")))</f>
      </c>
      <c r="C56" s="12">
        <f>IF(OR(2&gt;$B$5,6&gt;$B$6),"X",IF(IFERROR(INDEX(OFFSET($B$15,$D$49-15,0,1,3),MATCH(2&amp;","&amp;6,OFFSET($B$15,$F$49-15,0,1,3),0)),"")&lt;&gt;"",IFERROR(INDEX(OFFSET($B$15,$D$49-15,0,1,3),MATCH(2&amp;","&amp;6,OFFSET($B$15,$F$49-15,0,1,3),0)),""),IF($B$49="Start",IFERROR(INDEX($B$39:$G$39,MATCH(2&amp;","&amp;6,$B$40:$G$40,0)),""),"")))</f>
      </c>
      <c r="D56" s="12">
        <f>IF(OR(3&gt;$B$5,6&gt;$B$6),"X",IF(IFERROR(INDEX(OFFSET($B$15,$D$49-15,0,1,3),MATCH(3&amp;","&amp;6,OFFSET($B$15,$F$49-15,0,1,3),0)),"")&lt;&gt;"",IFERROR(INDEX(OFFSET($B$15,$D$49-15,0,1,3),MATCH(3&amp;","&amp;6,OFFSET($B$15,$F$49-15,0,1,3),0)),""),IF($B$49="Start",IFERROR(INDEX($B$39:$G$39,MATCH(3&amp;","&amp;6,$B$40:$G$40,0)),""),"")))</f>
      </c>
      <c r="E56" s="12">
        <f>IF(OR(4&gt;$B$5,6&gt;$B$6),"X",IF(IFERROR(INDEX(OFFSET($B$15,$D$49-15,0,1,3),MATCH(4&amp;","&amp;6,OFFSET($B$15,$F$49-15,0,1,3),0)),"")&lt;&gt;"",IFERROR(INDEX(OFFSET($B$15,$D$49-15,0,1,3),MATCH(4&amp;","&amp;6,OFFSET($B$15,$F$49-15,0,1,3),0)),""),IF($B$49="Start",IFERROR(INDEX($B$39:$G$39,MATCH(4&amp;","&amp;6,$B$40:$G$40,0)),""),"")))</f>
      </c>
      <c r="F56" s="12">
        <f>IF(OR(5&gt;$B$5,6&gt;$B$6),"X",IF(IFERROR(INDEX(OFFSET($B$15,$D$49-15,0,1,3),MATCH(5&amp;","&amp;6,OFFSET($B$15,$F$49-15,0,1,3),0)),"")&lt;&gt;"",IFERROR(INDEX(OFFSET($B$15,$D$49-15,0,1,3),MATCH(5&amp;","&amp;6,OFFSET($B$15,$F$49-15,0,1,3),0)),""),IF($B$49="Start",IFERROR(INDEX($B$39:$G$39,MATCH(5&amp;","&amp;6,$B$40:$G$40,0)),""),"")))</f>
      </c>
      <c r="G56" s="12">
        <f>IF(OR(6&gt;$B$5,6&gt;$B$6),"X",IF(IFERROR(INDEX(OFFSET($B$15,$D$49-15,0,1,3),MATCH(6&amp;","&amp;6,OFFSET($B$15,$F$49-15,0,1,3),0)),"")&lt;&gt;"",IFERROR(INDEX(OFFSET($B$15,$D$49-15,0,1,3),MATCH(6&amp;","&amp;6,OFFSET($B$15,$F$49-15,0,1,3),0)),""),IF($B$49="Start",IFERROR(INDEX($B$39:$G$39,MATCH(6&amp;","&amp;6,$B$40:$G$40,0)),""),"")))</f>
      </c>
      <c r="H56" s="12">
        <f>IF(OR(7&gt;$B$5,6&gt;$B$6),"X",IF(IFERROR(INDEX(OFFSET($B$15,$D$49-15,0,1,3),MATCH(7&amp;","&amp;6,OFFSET($B$15,$F$49-15,0,1,3),0)),"")&lt;&gt;"",IFERROR(INDEX(OFFSET($B$15,$D$49-15,0,1,3),MATCH(7&amp;","&amp;6,OFFSET($B$15,$F$49-15,0,1,3),0)),""),IF($B$49="Start",IFERROR(INDEX($B$39:$G$39,MATCH(7&amp;","&amp;6,$B$40:$G$40,0)),""),"")))</f>
      </c>
      <c r="I56" s="12">
        <f>IF(OR(8&gt;$B$5,6&gt;$B$6),"X",IF(IFERROR(INDEX(OFFSET($B$15,$D$49-15,0,1,3),MATCH(8&amp;","&amp;6,OFFSET($B$15,$F$49-15,0,1,3),0)),"")&lt;&gt;"",IFERROR(INDEX(OFFSET($B$15,$D$49-15,0,1,3),MATCH(8&amp;","&amp;6,OFFSET($B$15,$F$49-15,0,1,3),0)),""),IF($B$49="Start",IFERROR(INDEX($B$39:$G$39,MATCH(8&amp;","&amp;6,$B$40:$G$40,0)),""),"")))</f>
      </c>
      <c r="J56" s="12">
        <f>IF(OR(9&gt;$B$5,6&gt;$B$6),"X",IF(IFERROR(INDEX(OFFSET($B$15,$D$49-15,0,1,3),MATCH(9&amp;","&amp;6,OFFSET($B$15,$F$49-15,0,1,3),0)),"")&lt;&gt;"",IFERROR(INDEX(OFFSET($B$15,$D$49-15,0,1,3),MATCH(9&amp;","&amp;6,OFFSET($B$15,$F$49-15,0,1,3),0)),""),IF($B$49="Start",IFERROR(INDEX($B$39:$G$39,MATCH(9&amp;","&amp;6,$B$40:$G$40,0)),""),"")))</f>
      </c>
      <c r="K56" s="12">
        <f>IF(OR(10&gt;$B$5,6&gt;$B$6),"X",IF(IFERROR(INDEX(OFFSET($B$15,$D$49-15,0,1,3),MATCH(10&amp;","&amp;6,OFFSET($B$15,$F$49-15,0,1,3),0)),"")&lt;&gt;"",IFERROR(INDEX(OFFSET($B$15,$D$49-15,0,1,3),MATCH(10&amp;","&amp;6,OFFSET($B$15,$F$49-15,0,1,3),0)),""),IF($B$49="Start",IFERROR(INDEX($B$39:$G$39,MATCH(10&amp;","&amp;6,$B$40:$G$40,0)),""),"")))</f>
      </c>
    </row>
    <row r="57">
      <c r="A57" s="11">
        <v>5</v>
      </c>
      <c r="B57" s="12">
        <f>IF(OR(1&gt;$B$5,5&gt;$B$6),"X",IF(IFERROR(INDEX(OFFSET($B$15,$D$49-15,0,1,3),MATCH(1&amp;","&amp;5,OFFSET($B$15,$F$49-15,0,1,3),0)),"")&lt;&gt;"",IFERROR(INDEX(OFFSET($B$15,$D$49-15,0,1,3),MATCH(1&amp;","&amp;5,OFFSET($B$15,$F$49-15,0,1,3),0)),""),IF($B$49="Start",IFERROR(INDEX($B$39:$G$39,MATCH(1&amp;","&amp;5,$B$40:$G$40,0)),""),"")))</f>
      </c>
      <c r="C57" s="12">
        <f>IF(OR(2&gt;$B$5,5&gt;$B$6),"X",IF(IFERROR(INDEX(OFFSET($B$15,$D$49-15,0,1,3),MATCH(2&amp;","&amp;5,OFFSET($B$15,$F$49-15,0,1,3),0)),"")&lt;&gt;"",IFERROR(INDEX(OFFSET($B$15,$D$49-15,0,1,3),MATCH(2&amp;","&amp;5,OFFSET($B$15,$F$49-15,0,1,3),0)),""),IF($B$49="Start",IFERROR(INDEX($B$39:$G$39,MATCH(2&amp;","&amp;5,$B$40:$G$40,0)),""),"")))</f>
      </c>
      <c r="D57" s="12">
        <f>IF(OR(3&gt;$B$5,5&gt;$B$6),"X",IF(IFERROR(INDEX(OFFSET($B$15,$D$49-15,0,1,3),MATCH(3&amp;","&amp;5,OFFSET($B$15,$F$49-15,0,1,3),0)),"")&lt;&gt;"",IFERROR(INDEX(OFFSET($B$15,$D$49-15,0,1,3),MATCH(3&amp;","&amp;5,OFFSET($B$15,$F$49-15,0,1,3),0)),""),IF($B$49="Start",IFERROR(INDEX($B$39:$G$39,MATCH(3&amp;","&amp;5,$B$40:$G$40,0)),""),"")))</f>
      </c>
      <c r="E57" s="12">
        <f>IF(OR(4&gt;$B$5,5&gt;$B$6),"X",IF(IFERROR(INDEX(OFFSET($B$15,$D$49-15,0,1,3),MATCH(4&amp;","&amp;5,OFFSET($B$15,$F$49-15,0,1,3),0)),"")&lt;&gt;"",IFERROR(INDEX(OFFSET($B$15,$D$49-15,0,1,3),MATCH(4&amp;","&amp;5,OFFSET($B$15,$F$49-15,0,1,3),0)),""),IF($B$49="Start",IFERROR(INDEX($B$39:$G$39,MATCH(4&amp;","&amp;5,$B$40:$G$40,0)),""),"")))</f>
      </c>
      <c r="F57" s="12">
        <f>IF(OR(5&gt;$B$5,5&gt;$B$6),"X",IF(IFERROR(INDEX(OFFSET($B$15,$D$49-15,0,1,3),MATCH(5&amp;","&amp;5,OFFSET($B$15,$F$49-15,0,1,3),0)),"")&lt;&gt;"",IFERROR(INDEX(OFFSET($B$15,$D$49-15,0,1,3),MATCH(5&amp;","&amp;5,OFFSET($B$15,$F$49-15,0,1,3),0)),""),IF($B$49="Start",IFERROR(INDEX($B$39:$G$39,MATCH(5&amp;","&amp;5,$B$40:$G$40,0)),""),"")))</f>
      </c>
      <c r="G57" s="12">
        <f>IF(OR(6&gt;$B$5,5&gt;$B$6),"X",IF(IFERROR(INDEX(OFFSET($B$15,$D$49-15,0,1,3),MATCH(6&amp;","&amp;5,OFFSET($B$15,$F$49-15,0,1,3),0)),"")&lt;&gt;"",IFERROR(INDEX(OFFSET($B$15,$D$49-15,0,1,3),MATCH(6&amp;","&amp;5,OFFSET($B$15,$F$49-15,0,1,3),0)),""),IF($B$49="Start",IFERROR(INDEX($B$39:$G$39,MATCH(6&amp;","&amp;5,$B$40:$G$40,0)),""),"")))</f>
      </c>
      <c r="H57" s="12">
        <f>IF(OR(7&gt;$B$5,5&gt;$B$6),"X",IF(IFERROR(INDEX(OFFSET($B$15,$D$49-15,0,1,3),MATCH(7&amp;","&amp;5,OFFSET($B$15,$F$49-15,0,1,3),0)),"")&lt;&gt;"",IFERROR(INDEX(OFFSET($B$15,$D$49-15,0,1,3),MATCH(7&amp;","&amp;5,OFFSET($B$15,$F$49-15,0,1,3),0)),""),IF($B$49="Start",IFERROR(INDEX($B$39:$G$39,MATCH(7&amp;","&amp;5,$B$40:$G$40,0)),""),"")))</f>
      </c>
      <c r="I57" s="12">
        <f>IF(OR(8&gt;$B$5,5&gt;$B$6),"X",IF(IFERROR(INDEX(OFFSET($B$15,$D$49-15,0,1,3),MATCH(8&amp;","&amp;5,OFFSET($B$15,$F$49-15,0,1,3),0)),"")&lt;&gt;"",IFERROR(INDEX(OFFSET($B$15,$D$49-15,0,1,3),MATCH(8&amp;","&amp;5,OFFSET($B$15,$F$49-15,0,1,3),0)),""),IF($B$49="Start",IFERROR(INDEX($B$39:$G$39,MATCH(8&amp;","&amp;5,$B$40:$G$40,0)),""),"")))</f>
      </c>
      <c r="J57" s="12">
        <f>IF(OR(9&gt;$B$5,5&gt;$B$6),"X",IF(IFERROR(INDEX(OFFSET($B$15,$D$49-15,0,1,3),MATCH(9&amp;","&amp;5,OFFSET($B$15,$F$49-15,0,1,3),0)),"")&lt;&gt;"",IFERROR(INDEX(OFFSET($B$15,$D$49-15,0,1,3),MATCH(9&amp;","&amp;5,OFFSET($B$15,$F$49-15,0,1,3),0)),""),IF($B$49="Start",IFERROR(INDEX($B$39:$G$39,MATCH(9&amp;","&amp;5,$B$40:$G$40,0)),""),"")))</f>
      </c>
      <c r="K57" s="12">
        <f>IF(OR(10&gt;$B$5,5&gt;$B$6),"X",IF(IFERROR(INDEX(OFFSET($B$15,$D$49-15,0,1,3),MATCH(10&amp;","&amp;5,OFFSET($B$15,$F$49-15,0,1,3),0)),"")&lt;&gt;"",IFERROR(INDEX(OFFSET($B$15,$D$49-15,0,1,3),MATCH(10&amp;","&amp;5,OFFSET($B$15,$F$49-15,0,1,3),0)),""),IF($B$49="Start",IFERROR(INDEX($B$39:$G$39,MATCH(10&amp;","&amp;5,$B$40:$G$40,0)),""),"")))</f>
      </c>
    </row>
    <row r="58">
      <c r="A58" s="11">
        <v>4</v>
      </c>
      <c r="B58" s="12">
        <f>IF(OR(1&gt;$B$5,4&gt;$B$6),"X",IF(IFERROR(INDEX(OFFSET($B$15,$D$49-15,0,1,3),MATCH(1&amp;","&amp;4,OFFSET($B$15,$F$49-15,0,1,3),0)),"")&lt;&gt;"",IFERROR(INDEX(OFFSET($B$15,$D$49-15,0,1,3),MATCH(1&amp;","&amp;4,OFFSET($B$15,$F$49-15,0,1,3),0)),""),IF($B$49="Start",IFERROR(INDEX($B$39:$G$39,MATCH(1&amp;","&amp;4,$B$40:$G$40,0)),""),"")))</f>
      </c>
      <c r="C58" s="12">
        <f>IF(OR(2&gt;$B$5,4&gt;$B$6),"X",IF(IFERROR(INDEX(OFFSET($B$15,$D$49-15,0,1,3),MATCH(2&amp;","&amp;4,OFFSET($B$15,$F$49-15,0,1,3),0)),"")&lt;&gt;"",IFERROR(INDEX(OFFSET($B$15,$D$49-15,0,1,3),MATCH(2&amp;","&amp;4,OFFSET($B$15,$F$49-15,0,1,3),0)),""),IF($B$49="Start",IFERROR(INDEX($B$39:$G$39,MATCH(2&amp;","&amp;4,$B$40:$G$40,0)),""),"")))</f>
      </c>
      <c r="D58" s="12">
        <f>IF(OR(3&gt;$B$5,4&gt;$B$6),"X",IF(IFERROR(INDEX(OFFSET($B$15,$D$49-15,0,1,3),MATCH(3&amp;","&amp;4,OFFSET($B$15,$F$49-15,0,1,3),0)),"")&lt;&gt;"",IFERROR(INDEX(OFFSET($B$15,$D$49-15,0,1,3),MATCH(3&amp;","&amp;4,OFFSET($B$15,$F$49-15,0,1,3),0)),""),IF($B$49="Start",IFERROR(INDEX($B$39:$G$39,MATCH(3&amp;","&amp;4,$B$40:$G$40,0)),""),"")))</f>
      </c>
      <c r="E58" s="12">
        <f>IF(OR(4&gt;$B$5,4&gt;$B$6),"X",IF(IFERROR(INDEX(OFFSET($B$15,$D$49-15,0,1,3),MATCH(4&amp;","&amp;4,OFFSET($B$15,$F$49-15,0,1,3),0)),"")&lt;&gt;"",IFERROR(INDEX(OFFSET($B$15,$D$49-15,0,1,3),MATCH(4&amp;","&amp;4,OFFSET($B$15,$F$49-15,0,1,3),0)),""),IF($B$49="Start",IFERROR(INDEX($B$39:$G$39,MATCH(4&amp;","&amp;4,$B$40:$G$40,0)),""),"")))</f>
      </c>
      <c r="F58" s="12">
        <f>IF(OR(5&gt;$B$5,4&gt;$B$6),"X",IF(IFERROR(INDEX(OFFSET($B$15,$D$49-15,0,1,3),MATCH(5&amp;","&amp;4,OFFSET($B$15,$F$49-15,0,1,3),0)),"")&lt;&gt;"",IFERROR(INDEX(OFFSET($B$15,$D$49-15,0,1,3),MATCH(5&amp;","&amp;4,OFFSET($B$15,$F$49-15,0,1,3),0)),""),IF($B$49="Start",IFERROR(INDEX($B$39:$G$39,MATCH(5&amp;","&amp;4,$B$40:$G$40,0)),""),"")))</f>
      </c>
      <c r="G58" s="12">
        <f>IF(OR(6&gt;$B$5,4&gt;$B$6),"X",IF(IFERROR(INDEX(OFFSET($B$15,$D$49-15,0,1,3),MATCH(6&amp;","&amp;4,OFFSET($B$15,$F$49-15,0,1,3),0)),"")&lt;&gt;"",IFERROR(INDEX(OFFSET($B$15,$D$49-15,0,1,3),MATCH(6&amp;","&amp;4,OFFSET($B$15,$F$49-15,0,1,3),0)),""),IF($B$49="Start",IFERROR(INDEX($B$39:$G$39,MATCH(6&amp;","&amp;4,$B$40:$G$40,0)),""),"")))</f>
      </c>
      <c r="H58" s="12">
        <f>IF(OR(7&gt;$B$5,4&gt;$B$6),"X",IF(IFERROR(INDEX(OFFSET($B$15,$D$49-15,0,1,3),MATCH(7&amp;","&amp;4,OFFSET($B$15,$F$49-15,0,1,3),0)),"")&lt;&gt;"",IFERROR(INDEX(OFFSET($B$15,$D$49-15,0,1,3),MATCH(7&amp;","&amp;4,OFFSET($B$15,$F$49-15,0,1,3),0)),""),IF($B$49="Start",IFERROR(INDEX($B$39:$G$39,MATCH(7&amp;","&amp;4,$B$40:$G$40,0)),""),"")))</f>
      </c>
      <c r="I58" s="12">
        <f>IF(OR(8&gt;$B$5,4&gt;$B$6),"X",IF(IFERROR(INDEX(OFFSET($B$15,$D$49-15,0,1,3),MATCH(8&amp;","&amp;4,OFFSET($B$15,$F$49-15,0,1,3),0)),"")&lt;&gt;"",IFERROR(INDEX(OFFSET($B$15,$D$49-15,0,1,3),MATCH(8&amp;","&amp;4,OFFSET($B$15,$F$49-15,0,1,3),0)),""),IF($B$49="Start",IFERROR(INDEX($B$39:$G$39,MATCH(8&amp;","&amp;4,$B$40:$G$40,0)),""),"")))</f>
      </c>
      <c r="J58" s="12">
        <f>IF(OR(9&gt;$B$5,4&gt;$B$6),"X",IF(IFERROR(INDEX(OFFSET($B$15,$D$49-15,0,1,3),MATCH(9&amp;","&amp;4,OFFSET($B$15,$F$49-15,0,1,3),0)),"")&lt;&gt;"",IFERROR(INDEX(OFFSET($B$15,$D$49-15,0,1,3),MATCH(9&amp;","&amp;4,OFFSET($B$15,$F$49-15,0,1,3),0)),""),IF($B$49="Start",IFERROR(INDEX($B$39:$G$39,MATCH(9&amp;","&amp;4,$B$40:$G$40,0)),""),"")))</f>
      </c>
      <c r="K58" s="12">
        <f>IF(OR(10&gt;$B$5,4&gt;$B$6),"X",IF(IFERROR(INDEX(OFFSET($B$15,$D$49-15,0,1,3),MATCH(10&amp;","&amp;4,OFFSET($B$15,$F$49-15,0,1,3),0)),"")&lt;&gt;"",IFERROR(INDEX(OFFSET($B$15,$D$49-15,0,1,3),MATCH(10&amp;","&amp;4,OFFSET($B$15,$F$49-15,0,1,3),0)),""),IF($B$49="Start",IFERROR(INDEX($B$39:$G$39,MATCH(10&amp;","&amp;4,$B$40:$G$40,0)),""),"")))</f>
      </c>
    </row>
    <row r="59">
      <c r="A59" s="11">
        <v>3</v>
      </c>
      <c r="B59" s="12">
        <f>IF(OR(1&gt;$B$5,3&gt;$B$6),"X",IF(IFERROR(INDEX(OFFSET($B$15,$D$49-15,0,1,3),MATCH(1&amp;","&amp;3,OFFSET($B$15,$F$49-15,0,1,3),0)),"")&lt;&gt;"",IFERROR(INDEX(OFFSET($B$15,$D$49-15,0,1,3),MATCH(1&amp;","&amp;3,OFFSET($B$15,$F$49-15,0,1,3),0)),""),IF($B$49="Start",IFERROR(INDEX($B$39:$G$39,MATCH(1&amp;","&amp;3,$B$40:$G$40,0)),""),"")))</f>
      </c>
      <c r="C59" s="12">
        <f>IF(OR(2&gt;$B$5,3&gt;$B$6),"X",IF(IFERROR(INDEX(OFFSET($B$15,$D$49-15,0,1,3),MATCH(2&amp;","&amp;3,OFFSET($B$15,$F$49-15,0,1,3),0)),"")&lt;&gt;"",IFERROR(INDEX(OFFSET($B$15,$D$49-15,0,1,3),MATCH(2&amp;","&amp;3,OFFSET($B$15,$F$49-15,0,1,3),0)),""),IF($B$49="Start",IFERROR(INDEX($B$39:$G$39,MATCH(2&amp;","&amp;3,$B$40:$G$40,0)),""),"")))</f>
      </c>
      <c r="D59" s="12">
        <f>IF(OR(3&gt;$B$5,3&gt;$B$6),"X",IF(IFERROR(INDEX(OFFSET($B$15,$D$49-15,0,1,3),MATCH(3&amp;","&amp;3,OFFSET($B$15,$F$49-15,0,1,3),0)),"")&lt;&gt;"",IFERROR(INDEX(OFFSET($B$15,$D$49-15,0,1,3),MATCH(3&amp;","&amp;3,OFFSET($B$15,$F$49-15,0,1,3),0)),""),IF($B$49="Start",IFERROR(INDEX($B$39:$G$39,MATCH(3&amp;","&amp;3,$B$40:$G$40,0)),""),"")))</f>
      </c>
      <c r="E59" s="12">
        <f>IF(OR(4&gt;$B$5,3&gt;$B$6),"X",IF(IFERROR(INDEX(OFFSET($B$15,$D$49-15,0,1,3),MATCH(4&amp;","&amp;3,OFFSET($B$15,$F$49-15,0,1,3),0)),"")&lt;&gt;"",IFERROR(INDEX(OFFSET($B$15,$D$49-15,0,1,3),MATCH(4&amp;","&amp;3,OFFSET($B$15,$F$49-15,0,1,3),0)),""),IF($B$49="Start",IFERROR(INDEX($B$39:$G$39,MATCH(4&amp;","&amp;3,$B$40:$G$40,0)),""),"")))</f>
      </c>
      <c r="F59" s="12">
        <f>IF(OR(5&gt;$B$5,3&gt;$B$6),"X",IF(IFERROR(INDEX(OFFSET($B$15,$D$49-15,0,1,3),MATCH(5&amp;","&amp;3,OFFSET($B$15,$F$49-15,0,1,3),0)),"")&lt;&gt;"",IFERROR(INDEX(OFFSET($B$15,$D$49-15,0,1,3),MATCH(5&amp;","&amp;3,OFFSET($B$15,$F$49-15,0,1,3),0)),""),IF($B$49="Start",IFERROR(INDEX($B$39:$G$39,MATCH(5&amp;","&amp;3,$B$40:$G$40,0)),""),"")))</f>
      </c>
      <c r="G59" s="12">
        <f>IF(OR(6&gt;$B$5,3&gt;$B$6),"X",IF(IFERROR(INDEX(OFFSET($B$15,$D$49-15,0,1,3),MATCH(6&amp;","&amp;3,OFFSET($B$15,$F$49-15,0,1,3),0)),"")&lt;&gt;"",IFERROR(INDEX(OFFSET($B$15,$D$49-15,0,1,3),MATCH(6&amp;","&amp;3,OFFSET($B$15,$F$49-15,0,1,3),0)),""),IF($B$49="Start",IFERROR(INDEX($B$39:$G$39,MATCH(6&amp;","&amp;3,$B$40:$G$40,0)),""),"")))</f>
      </c>
      <c r="H59" s="12">
        <f>IF(OR(7&gt;$B$5,3&gt;$B$6),"X",IF(IFERROR(INDEX(OFFSET($B$15,$D$49-15,0,1,3),MATCH(7&amp;","&amp;3,OFFSET($B$15,$F$49-15,0,1,3),0)),"")&lt;&gt;"",IFERROR(INDEX(OFFSET($B$15,$D$49-15,0,1,3),MATCH(7&amp;","&amp;3,OFFSET($B$15,$F$49-15,0,1,3),0)),""),IF($B$49="Start",IFERROR(INDEX($B$39:$G$39,MATCH(7&amp;","&amp;3,$B$40:$G$40,0)),""),"")))</f>
      </c>
      <c r="I59" s="12">
        <f>IF(OR(8&gt;$B$5,3&gt;$B$6),"X",IF(IFERROR(INDEX(OFFSET($B$15,$D$49-15,0,1,3),MATCH(8&amp;","&amp;3,OFFSET($B$15,$F$49-15,0,1,3),0)),"")&lt;&gt;"",IFERROR(INDEX(OFFSET($B$15,$D$49-15,0,1,3),MATCH(8&amp;","&amp;3,OFFSET($B$15,$F$49-15,0,1,3),0)),""),IF($B$49="Start",IFERROR(INDEX($B$39:$G$39,MATCH(8&amp;","&amp;3,$B$40:$G$40,0)),""),"")))</f>
      </c>
      <c r="J59" s="12">
        <f>IF(OR(9&gt;$B$5,3&gt;$B$6),"X",IF(IFERROR(INDEX(OFFSET($B$15,$D$49-15,0,1,3),MATCH(9&amp;","&amp;3,OFFSET($B$15,$F$49-15,0,1,3),0)),"")&lt;&gt;"",IFERROR(INDEX(OFFSET($B$15,$D$49-15,0,1,3),MATCH(9&amp;","&amp;3,OFFSET($B$15,$F$49-15,0,1,3),0)),""),IF($B$49="Start",IFERROR(INDEX($B$39:$G$39,MATCH(9&amp;","&amp;3,$B$40:$G$40,0)),""),"")))</f>
      </c>
      <c r="K59" s="12">
        <f>IF(OR(10&gt;$B$5,3&gt;$B$6),"X",IF(IFERROR(INDEX(OFFSET($B$15,$D$49-15,0,1,3),MATCH(10&amp;","&amp;3,OFFSET($B$15,$F$49-15,0,1,3),0)),"")&lt;&gt;"",IFERROR(INDEX(OFFSET($B$15,$D$49-15,0,1,3),MATCH(10&amp;","&amp;3,OFFSET($B$15,$F$49-15,0,1,3),0)),""),IF($B$49="Start",IFERROR(INDEX($B$39:$G$39,MATCH(10&amp;","&amp;3,$B$40:$G$40,0)),""),"")))</f>
      </c>
    </row>
    <row r="60">
      <c r="A60" s="11">
        <v>2</v>
      </c>
      <c r="B60" s="12">
        <f>IF(OR(1&gt;$B$5,2&gt;$B$6),"X",IF(IFERROR(INDEX(OFFSET($B$15,$D$49-15,0,1,3),MATCH(1&amp;","&amp;2,OFFSET($B$15,$F$49-15,0,1,3),0)),"")&lt;&gt;"",IFERROR(INDEX(OFFSET($B$15,$D$49-15,0,1,3),MATCH(1&amp;","&amp;2,OFFSET($B$15,$F$49-15,0,1,3),0)),""),IF($B$49="Start",IFERROR(INDEX($B$39:$G$39,MATCH(1&amp;","&amp;2,$B$40:$G$40,0)),""),"")))</f>
      </c>
      <c r="C60" s="12">
        <f>IF(OR(2&gt;$B$5,2&gt;$B$6),"X",IF(IFERROR(INDEX(OFFSET($B$15,$D$49-15,0,1,3),MATCH(2&amp;","&amp;2,OFFSET($B$15,$F$49-15,0,1,3),0)),"")&lt;&gt;"",IFERROR(INDEX(OFFSET($B$15,$D$49-15,0,1,3),MATCH(2&amp;","&amp;2,OFFSET($B$15,$F$49-15,0,1,3),0)),""),IF($B$49="Start",IFERROR(INDEX($B$39:$G$39,MATCH(2&amp;","&amp;2,$B$40:$G$40,0)),""),"")))</f>
      </c>
      <c r="D60" s="12">
        <f>IF(OR(3&gt;$B$5,2&gt;$B$6),"X",IF(IFERROR(INDEX(OFFSET($B$15,$D$49-15,0,1,3),MATCH(3&amp;","&amp;2,OFFSET($B$15,$F$49-15,0,1,3),0)),"")&lt;&gt;"",IFERROR(INDEX(OFFSET($B$15,$D$49-15,0,1,3),MATCH(3&amp;","&amp;2,OFFSET($B$15,$F$49-15,0,1,3),0)),""),IF($B$49="Start",IFERROR(INDEX($B$39:$G$39,MATCH(3&amp;","&amp;2,$B$40:$G$40,0)),""),"")))</f>
      </c>
      <c r="E60" s="12">
        <f>IF(OR(4&gt;$B$5,2&gt;$B$6),"X",IF(IFERROR(INDEX(OFFSET($B$15,$D$49-15,0,1,3),MATCH(4&amp;","&amp;2,OFFSET($B$15,$F$49-15,0,1,3),0)),"")&lt;&gt;"",IFERROR(INDEX(OFFSET($B$15,$D$49-15,0,1,3),MATCH(4&amp;","&amp;2,OFFSET($B$15,$F$49-15,0,1,3),0)),""),IF($B$49="Start",IFERROR(INDEX($B$39:$G$39,MATCH(4&amp;","&amp;2,$B$40:$G$40,0)),""),"")))</f>
      </c>
      <c r="F60" s="12">
        <f>IF(OR(5&gt;$B$5,2&gt;$B$6),"X",IF(IFERROR(INDEX(OFFSET($B$15,$D$49-15,0,1,3),MATCH(5&amp;","&amp;2,OFFSET($B$15,$F$49-15,0,1,3),0)),"")&lt;&gt;"",IFERROR(INDEX(OFFSET($B$15,$D$49-15,0,1,3),MATCH(5&amp;","&amp;2,OFFSET($B$15,$F$49-15,0,1,3),0)),""),IF($B$49="Start",IFERROR(INDEX($B$39:$G$39,MATCH(5&amp;","&amp;2,$B$40:$G$40,0)),""),"")))</f>
      </c>
      <c r="G60" s="12">
        <f>IF(OR(6&gt;$B$5,2&gt;$B$6),"X",IF(IFERROR(INDEX(OFFSET($B$15,$D$49-15,0,1,3),MATCH(6&amp;","&amp;2,OFFSET($B$15,$F$49-15,0,1,3),0)),"")&lt;&gt;"",IFERROR(INDEX(OFFSET($B$15,$D$49-15,0,1,3),MATCH(6&amp;","&amp;2,OFFSET($B$15,$F$49-15,0,1,3),0)),""),IF($B$49="Start",IFERROR(INDEX($B$39:$G$39,MATCH(6&amp;","&amp;2,$B$40:$G$40,0)),""),"")))</f>
      </c>
      <c r="H60" s="12">
        <f>IF(OR(7&gt;$B$5,2&gt;$B$6),"X",IF(IFERROR(INDEX(OFFSET($B$15,$D$49-15,0,1,3),MATCH(7&amp;","&amp;2,OFFSET($B$15,$F$49-15,0,1,3),0)),"")&lt;&gt;"",IFERROR(INDEX(OFFSET($B$15,$D$49-15,0,1,3),MATCH(7&amp;","&amp;2,OFFSET($B$15,$F$49-15,0,1,3),0)),""),IF($B$49="Start",IFERROR(INDEX($B$39:$G$39,MATCH(7&amp;","&amp;2,$B$40:$G$40,0)),""),"")))</f>
      </c>
      <c r="I60" s="12">
        <f>IF(OR(8&gt;$B$5,2&gt;$B$6),"X",IF(IFERROR(INDEX(OFFSET($B$15,$D$49-15,0,1,3),MATCH(8&amp;","&amp;2,OFFSET($B$15,$F$49-15,0,1,3),0)),"")&lt;&gt;"",IFERROR(INDEX(OFFSET($B$15,$D$49-15,0,1,3),MATCH(8&amp;","&amp;2,OFFSET($B$15,$F$49-15,0,1,3),0)),""),IF($B$49="Start",IFERROR(INDEX($B$39:$G$39,MATCH(8&amp;","&amp;2,$B$40:$G$40,0)),""),"")))</f>
      </c>
      <c r="J60" s="12">
        <f>IF(OR(9&gt;$B$5,2&gt;$B$6),"X",IF(IFERROR(INDEX(OFFSET($B$15,$D$49-15,0,1,3),MATCH(9&amp;","&amp;2,OFFSET($B$15,$F$49-15,0,1,3),0)),"")&lt;&gt;"",IFERROR(INDEX(OFFSET($B$15,$D$49-15,0,1,3),MATCH(9&amp;","&amp;2,OFFSET($B$15,$F$49-15,0,1,3),0)),""),IF($B$49="Start",IFERROR(INDEX($B$39:$G$39,MATCH(9&amp;","&amp;2,$B$40:$G$40,0)),""),"")))</f>
      </c>
      <c r="K60" s="12">
        <f>IF(OR(10&gt;$B$5,2&gt;$B$6),"X",IF(IFERROR(INDEX(OFFSET($B$15,$D$49-15,0,1,3),MATCH(10&amp;","&amp;2,OFFSET($B$15,$F$49-15,0,1,3),0)),"")&lt;&gt;"",IFERROR(INDEX(OFFSET($B$15,$D$49-15,0,1,3),MATCH(10&amp;","&amp;2,OFFSET($B$15,$F$49-15,0,1,3),0)),""),IF($B$49="Start",IFERROR(INDEX($B$39:$G$39,MATCH(10&amp;","&amp;2,$B$40:$G$40,0)),""),"")))</f>
      </c>
    </row>
    <row r="61">
      <c r="A61" s="11">
        <v>1</v>
      </c>
      <c r="B61" s="12">
        <f>IF(OR(1&gt;$B$5,1&gt;$B$6),"X",IF(IFERROR(INDEX(OFFSET($B$15,$D$49-15,0,1,3),MATCH(1&amp;","&amp;1,OFFSET($B$15,$F$49-15,0,1,3),0)),"")&lt;&gt;"",IFERROR(INDEX(OFFSET($B$15,$D$49-15,0,1,3),MATCH(1&amp;","&amp;1,OFFSET($B$15,$F$49-15,0,1,3),0)),""),IF($B$49="Start",IFERROR(INDEX($B$39:$G$39,MATCH(1&amp;","&amp;1,$B$40:$G$40,0)),""),"")))</f>
      </c>
      <c r="C61" s="12">
        <f>IF(OR(2&gt;$B$5,1&gt;$B$6),"X",IF(IFERROR(INDEX(OFFSET($B$15,$D$49-15,0,1,3),MATCH(2&amp;","&amp;1,OFFSET($B$15,$F$49-15,0,1,3),0)),"")&lt;&gt;"",IFERROR(INDEX(OFFSET($B$15,$D$49-15,0,1,3),MATCH(2&amp;","&amp;1,OFFSET($B$15,$F$49-15,0,1,3),0)),""),IF($B$49="Start",IFERROR(INDEX($B$39:$G$39,MATCH(2&amp;","&amp;1,$B$40:$G$40,0)),""),"")))</f>
      </c>
      <c r="D61" s="12">
        <f>IF(OR(3&gt;$B$5,1&gt;$B$6),"X",IF(IFERROR(INDEX(OFFSET($B$15,$D$49-15,0,1,3),MATCH(3&amp;","&amp;1,OFFSET($B$15,$F$49-15,0,1,3),0)),"")&lt;&gt;"",IFERROR(INDEX(OFFSET($B$15,$D$49-15,0,1,3),MATCH(3&amp;","&amp;1,OFFSET($B$15,$F$49-15,0,1,3),0)),""),IF($B$49="Start",IFERROR(INDEX($B$39:$G$39,MATCH(3&amp;","&amp;1,$B$40:$G$40,0)),""),"")))</f>
      </c>
      <c r="E61" s="12">
        <f>IF(OR(4&gt;$B$5,1&gt;$B$6),"X",IF(IFERROR(INDEX(OFFSET($B$15,$D$49-15,0,1,3),MATCH(4&amp;","&amp;1,OFFSET($B$15,$F$49-15,0,1,3),0)),"")&lt;&gt;"",IFERROR(INDEX(OFFSET($B$15,$D$49-15,0,1,3),MATCH(4&amp;","&amp;1,OFFSET($B$15,$F$49-15,0,1,3),0)),""),IF($B$49="Start",IFERROR(INDEX($B$39:$G$39,MATCH(4&amp;","&amp;1,$B$40:$G$40,0)),""),"")))</f>
      </c>
      <c r="F61" s="12">
        <f>IF(OR(5&gt;$B$5,1&gt;$B$6),"X",IF(IFERROR(INDEX(OFFSET($B$15,$D$49-15,0,1,3),MATCH(5&amp;","&amp;1,OFFSET($B$15,$F$49-15,0,1,3),0)),"")&lt;&gt;"",IFERROR(INDEX(OFFSET($B$15,$D$49-15,0,1,3),MATCH(5&amp;","&amp;1,OFFSET($B$15,$F$49-15,0,1,3),0)),""),IF($B$49="Start",IFERROR(INDEX($B$39:$G$39,MATCH(5&amp;","&amp;1,$B$40:$G$40,0)),""),"")))</f>
      </c>
      <c r="G61" s="12">
        <f>IF(OR(6&gt;$B$5,1&gt;$B$6),"X",IF(IFERROR(INDEX(OFFSET($B$15,$D$49-15,0,1,3),MATCH(6&amp;","&amp;1,OFFSET($B$15,$F$49-15,0,1,3),0)),"")&lt;&gt;"",IFERROR(INDEX(OFFSET($B$15,$D$49-15,0,1,3),MATCH(6&amp;","&amp;1,OFFSET($B$15,$F$49-15,0,1,3),0)),""),IF($B$49="Start",IFERROR(INDEX($B$39:$G$39,MATCH(6&amp;","&amp;1,$B$40:$G$40,0)),""),"")))</f>
      </c>
      <c r="H61" s="12">
        <f>IF(OR(7&gt;$B$5,1&gt;$B$6),"X",IF(IFERROR(INDEX(OFFSET($B$15,$D$49-15,0,1,3),MATCH(7&amp;","&amp;1,OFFSET($B$15,$F$49-15,0,1,3),0)),"")&lt;&gt;"",IFERROR(INDEX(OFFSET($B$15,$D$49-15,0,1,3),MATCH(7&amp;","&amp;1,OFFSET($B$15,$F$49-15,0,1,3),0)),""),IF($B$49="Start",IFERROR(INDEX($B$39:$G$39,MATCH(7&amp;","&amp;1,$B$40:$G$40,0)),""),"")))</f>
      </c>
      <c r="I61" s="12">
        <f>IF(OR(8&gt;$B$5,1&gt;$B$6),"X",IF(IFERROR(INDEX(OFFSET($B$15,$D$49-15,0,1,3),MATCH(8&amp;","&amp;1,OFFSET($B$15,$F$49-15,0,1,3),0)),"")&lt;&gt;"",IFERROR(INDEX(OFFSET($B$15,$D$49-15,0,1,3),MATCH(8&amp;","&amp;1,OFFSET($B$15,$F$49-15,0,1,3),0)),""),IF($B$49="Start",IFERROR(INDEX($B$39:$G$39,MATCH(8&amp;","&amp;1,$B$40:$G$40,0)),""),"")))</f>
      </c>
      <c r="J61" s="12">
        <f>IF(OR(9&gt;$B$5,1&gt;$B$6),"X",IF(IFERROR(INDEX(OFFSET($B$15,$D$49-15,0,1,3),MATCH(9&amp;","&amp;1,OFFSET($B$15,$F$49-15,0,1,3),0)),"")&lt;&gt;"",IFERROR(INDEX(OFFSET($B$15,$D$49-15,0,1,3),MATCH(9&amp;","&amp;1,OFFSET($B$15,$F$49-15,0,1,3),0)),""),IF($B$49="Start",IFERROR(INDEX($B$39:$G$39,MATCH(9&amp;","&amp;1,$B$40:$G$40,0)),""),"")))</f>
      </c>
      <c r="K61" s="12">
        <f>IF(OR(10&gt;$B$5,1&gt;$B$6),"X",IF(IFERROR(INDEX(OFFSET($B$15,$D$49-15,0,1,3),MATCH(10&amp;","&amp;1,OFFSET($B$15,$F$49-15,0,1,3),0)),"")&lt;&gt;"",IFERROR(INDEX(OFFSET($B$15,$D$49-15,0,1,3),MATCH(10&amp;","&amp;1,OFFSET($B$15,$F$49-15,0,1,3),0)),""),IF($B$49="Start",IFERROR(INDEX($B$39:$G$39,MATCH(10&amp;","&amp;1,$B$40:$G$40,0)),""),"")))</f>
      </c>
    </row>
    <row r="63">
      <c r="A63" s="1" t="s">
        <v>144</v>
      </c>
    </row>
    <row r="64">
      <c r="A64" s="0" t="s">
        <v>145</v>
      </c>
    </row>
    <row r="65">
      <c r="A65" s="0" t="s">
        <v>146</v>
      </c>
    </row>
    <row r="66">
      <c r="A66" s="0" t="s">
        <v>147</v>
      </c>
    </row>
    <row r="67">
      <c r="A67" s="0" t="s">
        <v>148</v>
      </c>
    </row>
    <row r="69">
      <c r="A69" s="1" t="s">
        <v>149</v>
      </c>
      <c r="B69" s="2"/>
    </row>
    <row r="71">
      <c r="A71" s="4" t="s">
        <v>150</v>
      </c>
    </row>
    <row r="72">
      <c r="A72" s="4" t="s">
        <v>151</v>
      </c>
      <c r="B72" s="4" t="s">
        <v>152</v>
      </c>
      <c r="C72" s="4" t="s">
        <v>153</v>
      </c>
    </row>
    <row r="73">
      <c r="A73" s="0" t="s">
        <v>112</v>
      </c>
      <c r="B73" s="0">
        <v>15</v>
      </c>
      <c r="C73" s="0">
        <v>16</v>
      </c>
    </row>
    <row r="74">
      <c r="A74" s="0" t="s">
        <v>185</v>
      </c>
      <c r="B74" s="0">
        <v>17</v>
      </c>
      <c r="C74" s="0">
        <v>18</v>
      </c>
    </row>
    <row r="75">
      <c r="A75" s="0" t="s">
        <v>186</v>
      </c>
      <c r="B75" s="0">
        <v>19</v>
      </c>
      <c r="C75" s="0">
        <v>20</v>
      </c>
    </row>
    <row r="76">
      <c r="A76" s="0" t="s">
        <v>187</v>
      </c>
      <c r="B76" s="0">
        <v>21</v>
      </c>
      <c r="C76" s="0">
        <v>22</v>
      </c>
    </row>
    <row r="77">
      <c r="A77" s="0" t="s">
        <v>188</v>
      </c>
      <c r="B77" s="0">
        <v>23</v>
      </c>
      <c r="C77" s="0">
        <v>24</v>
      </c>
    </row>
    <row r="78">
      <c r="A78" s="0" t="s">
        <v>189</v>
      </c>
      <c r="B78" s="0">
        <v>25</v>
      </c>
      <c r="C78" s="0">
        <v>26</v>
      </c>
    </row>
    <row r="79">
      <c r="A79" s="0" t="s">
        <v>190</v>
      </c>
      <c r="B79" s="0">
        <v>27</v>
      </c>
      <c r="C79" s="0">
        <v>28</v>
      </c>
    </row>
  </sheetData>
  <conditionalFormatting sqref="B51:K61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D15" showErrorMessage="0" allowBlank="1">
      <formula1>=list_Prefab</formula1>
    </dataValidation>
    <dataValidation type="list" sqref="B17:D17" showErrorMessage="0" allowBlank="1">
      <formula1>=list_Prefab</formula1>
    </dataValidation>
    <dataValidation type="list" sqref="B19:D19" showErrorMessage="0" allowBlank="1">
      <formula1>=list_Prefab</formula1>
    </dataValidation>
    <dataValidation type="list" sqref="B21:D21" showErrorMessage="0" allowBlank="1">
      <formula1>=list_Prefab</formula1>
    </dataValidation>
    <dataValidation type="list" sqref="B23:D23" showErrorMessage="0" allowBlank="1">
      <formula1>=list_Prefab</formula1>
    </dataValidation>
    <dataValidation type="list" sqref="B25:D25" showErrorMessage="0" allowBlank="1">
      <formula1>=list_Prefab</formula1>
    </dataValidation>
    <dataValidation type="list" sqref="B27:D27" showErrorMessage="0" allowBlank="1">
      <formula1>=list_Prefab</formula1>
    </dataValidation>
    <dataValidation type="list" sqref="B29:D29" showErrorMessage="0" allowBlank="1">
      <formula1>=list_Prefab</formula1>
    </dataValidation>
    <dataValidation type="list" sqref="B31:D31" showErrorMessage="0" allowBlank="1">
      <formula1>=list_Prefab</formula1>
    </dataValidation>
    <dataValidation type="list" sqref="B33:D33" showErrorMessage="0" allowBlank="1">
      <formula1>=list_Prefab</formula1>
    </dataValidation>
    <dataValidation type="list" sqref="B35:D35" showErrorMessage="0" allowBlank="1">
      <formula1>=list_Prefab</formula1>
    </dataValidation>
    <dataValidation type="list" sqref="B49" showErrorMessage="0">
      <formula1>=$A$73:$A$79</formula1>
    </dataValidation>
  </dataValidation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K70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68</v>
      </c>
    </row>
    <row r="2">
      <c r="A2" s="1" t="s">
        <v>3</v>
      </c>
      <c r="B2" s="0" t="s">
        <v>191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6</v>
      </c>
    </row>
    <row r="6">
      <c r="A6" s="4" t="s">
        <v>91</v>
      </c>
      <c r="B6" s="0">
        <v>6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  <c r="C14" s="4" t="s">
        <v>101</v>
      </c>
      <c r="D14" s="4" t="s">
        <v>102</v>
      </c>
      <c r="E14" s="4" t="s">
        <v>103</v>
      </c>
    </row>
    <row r="15">
      <c r="A15" s="1" t="s">
        <v>112</v>
      </c>
      <c r="B15" s="0" t="s">
        <v>82</v>
      </c>
      <c r="C15" s="0" t="s">
        <v>82</v>
      </c>
      <c r="D15" s="0" t="s">
        <v>39</v>
      </c>
      <c r="E15" s="0" t="s">
        <v>39</v>
      </c>
    </row>
    <row r="16">
      <c r="A16" s="4" t="s">
        <v>113</v>
      </c>
      <c r="B16" s="0" t="s">
        <v>114</v>
      </c>
      <c r="C16" s="0" t="s">
        <v>115</v>
      </c>
      <c r="D16" s="0" t="s">
        <v>117</v>
      </c>
      <c r="E16" s="0" t="s">
        <v>192</v>
      </c>
    </row>
    <row r="17">
      <c r="A17" s="5"/>
    </row>
    <row r="18">
      <c r="A18" s="6" t="s">
        <v>113</v>
      </c>
    </row>
    <row r="19">
      <c r="A19" s="5"/>
    </row>
    <row r="20">
      <c r="A20" s="6" t="s">
        <v>113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  <c r="G39" s="4" t="s">
        <v>161</v>
      </c>
    </row>
    <row r="40">
      <c r="A40" s="1" t="s">
        <v>132</v>
      </c>
      <c r="B40" s="0" t="s">
        <v>173</v>
      </c>
      <c r="C40" s="0" t="s">
        <v>162</v>
      </c>
      <c r="D40" s="0" t="s">
        <v>156</v>
      </c>
      <c r="E40" s="0" t="s">
        <v>163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INDEX($B$70:$B$70,MATCH($B$46,$A$70:$A$70,0))</f>
      </c>
      <c r="E46" s="7" t="s">
        <v>143</v>
      </c>
      <c r="F46" s="8">
        <f>INDEX($C$70:$C$70,MATCH($B$46,$A$70:$A$70,0))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-15,0,1,4),MATCH(1&amp;","&amp;10,OFFSET($B$15,$F$46-15,0,1,4),0)),"")&lt;&gt;"",IFERROR(INDEX(OFFSET($B$15,$D$46-15,0,1,4),MATCH(1&amp;","&amp;10,OFFSET($B$15,$F$46-15,0,1,4),0)),""),IF($B$46="Start",IFERROR(INDEX($B$39:$G$39,MATCH(1&amp;","&amp;10,$B$40:$G$40,0)),""),"")))</f>
      </c>
      <c r="C49" s="12">
        <f>IF(OR(2&gt;$B$5,10&gt;$B$6),"X",IF(IFERROR(INDEX(OFFSET($B$15,$D$46-15,0,1,4),MATCH(2&amp;","&amp;10,OFFSET($B$15,$F$46-15,0,1,4),0)),"")&lt;&gt;"",IFERROR(INDEX(OFFSET($B$15,$D$46-15,0,1,4),MATCH(2&amp;","&amp;10,OFFSET($B$15,$F$46-15,0,1,4),0)),""),IF($B$46="Start",IFERROR(INDEX($B$39:$G$39,MATCH(2&amp;","&amp;10,$B$40:$G$40,0)),""),"")))</f>
      </c>
      <c r="D49" s="12">
        <f>IF(OR(3&gt;$B$5,10&gt;$B$6),"X",IF(IFERROR(INDEX(OFFSET($B$15,$D$46-15,0,1,4),MATCH(3&amp;","&amp;10,OFFSET($B$15,$F$46-15,0,1,4),0)),"")&lt;&gt;"",IFERROR(INDEX(OFFSET($B$15,$D$46-15,0,1,4),MATCH(3&amp;","&amp;10,OFFSET($B$15,$F$46-15,0,1,4),0)),""),IF($B$46="Start",IFERROR(INDEX($B$39:$G$39,MATCH(3&amp;","&amp;10,$B$40:$G$40,0)),""),"")))</f>
      </c>
      <c r="E49" s="12">
        <f>IF(OR(4&gt;$B$5,10&gt;$B$6),"X",IF(IFERROR(INDEX(OFFSET($B$15,$D$46-15,0,1,4),MATCH(4&amp;","&amp;10,OFFSET($B$15,$F$46-15,0,1,4),0)),"")&lt;&gt;"",IFERROR(INDEX(OFFSET($B$15,$D$46-15,0,1,4),MATCH(4&amp;","&amp;10,OFFSET($B$15,$F$46-15,0,1,4),0)),""),IF($B$46="Start",IFERROR(INDEX($B$39:$G$39,MATCH(4&amp;","&amp;10,$B$40:$G$40,0)),""),"")))</f>
      </c>
      <c r="F49" s="12">
        <f>IF(OR(5&gt;$B$5,10&gt;$B$6),"X",IF(IFERROR(INDEX(OFFSET($B$15,$D$46-15,0,1,4),MATCH(5&amp;","&amp;10,OFFSET($B$15,$F$46-15,0,1,4),0)),"")&lt;&gt;"",IFERROR(INDEX(OFFSET($B$15,$D$46-15,0,1,4),MATCH(5&amp;","&amp;10,OFFSET($B$15,$F$46-15,0,1,4),0)),""),IF($B$46="Start",IFERROR(INDEX($B$39:$G$39,MATCH(5&amp;","&amp;10,$B$40:$G$40,0)),""),"")))</f>
      </c>
      <c r="G49" s="12">
        <f>IF(OR(6&gt;$B$5,10&gt;$B$6),"X",IF(IFERROR(INDEX(OFFSET($B$15,$D$46-15,0,1,4),MATCH(6&amp;","&amp;10,OFFSET($B$15,$F$46-15,0,1,4),0)),"")&lt;&gt;"",IFERROR(INDEX(OFFSET($B$15,$D$46-15,0,1,4),MATCH(6&amp;","&amp;10,OFFSET($B$15,$F$46-15,0,1,4),0)),""),IF($B$46="Start",IFERROR(INDEX($B$39:$G$39,MATCH(6&amp;","&amp;10,$B$40:$G$40,0)),""),"")))</f>
      </c>
      <c r="H49" s="12">
        <f>IF(OR(7&gt;$B$5,10&gt;$B$6),"X",IF(IFERROR(INDEX(OFFSET($B$15,$D$46-15,0,1,4),MATCH(7&amp;","&amp;10,OFFSET($B$15,$F$46-15,0,1,4),0)),"")&lt;&gt;"",IFERROR(INDEX(OFFSET($B$15,$D$46-15,0,1,4),MATCH(7&amp;","&amp;10,OFFSET($B$15,$F$46-15,0,1,4),0)),""),IF($B$46="Start",IFERROR(INDEX($B$39:$G$39,MATCH(7&amp;","&amp;10,$B$40:$G$40,0)),""),"")))</f>
      </c>
      <c r="I49" s="12">
        <f>IF(OR(8&gt;$B$5,10&gt;$B$6),"X",IF(IFERROR(INDEX(OFFSET($B$15,$D$46-15,0,1,4),MATCH(8&amp;","&amp;10,OFFSET($B$15,$F$46-15,0,1,4),0)),"")&lt;&gt;"",IFERROR(INDEX(OFFSET($B$15,$D$46-15,0,1,4),MATCH(8&amp;","&amp;10,OFFSET($B$15,$F$46-15,0,1,4),0)),""),IF($B$46="Start",IFERROR(INDEX($B$39:$G$39,MATCH(8&amp;","&amp;10,$B$40:$G$40,0)),""),"")))</f>
      </c>
      <c r="J49" s="12">
        <f>IF(OR(9&gt;$B$5,10&gt;$B$6),"X",IF(IFERROR(INDEX(OFFSET($B$15,$D$46-15,0,1,4),MATCH(9&amp;","&amp;10,OFFSET($B$15,$F$46-15,0,1,4),0)),"")&lt;&gt;"",IFERROR(INDEX(OFFSET($B$15,$D$46-15,0,1,4),MATCH(9&amp;","&amp;10,OFFSET($B$15,$F$46-15,0,1,4),0)),""),IF($B$46="Start",IFERROR(INDEX($B$39:$G$39,MATCH(9&amp;","&amp;10,$B$40:$G$40,0)),""),"")))</f>
      </c>
      <c r="K49" s="12">
        <f>IF(OR(10&gt;$B$5,10&gt;$B$6),"X",IF(IFERROR(INDEX(OFFSET($B$15,$D$46-15,0,1,4),MATCH(10&amp;","&amp;10,OFFSET($B$15,$F$46-15,0,1,4),0)),"")&lt;&gt;"",IFERROR(INDEX(OFFSET($B$15,$D$46-15,0,1,4),MATCH(10&amp;","&amp;10,OFFSET($B$15,$F$46-15,0,1,4),0)),""),IF($B$46="Start",IFERROR(INDEX($B$39:$G$39,MATCH(10&amp;","&amp;10,$B$40:$G$40,0)),""),"")))</f>
      </c>
    </row>
    <row r="50">
      <c r="A50" s="11">
        <v>9</v>
      </c>
      <c r="B50" s="12">
        <f>IF(OR(1&gt;$B$5,9&gt;$B$6),"X",IF(IFERROR(INDEX(OFFSET($B$15,$D$46-15,0,1,4),MATCH(1&amp;","&amp;9,OFFSET($B$15,$F$46-15,0,1,4),0)),"")&lt;&gt;"",IFERROR(INDEX(OFFSET($B$15,$D$46-15,0,1,4),MATCH(1&amp;","&amp;9,OFFSET($B$15,$F$46-15,0,1,4),0)),""),IF($B$46="Start",IFERROR(INDEX($B$39:$G$39,MATCH(1&amp;","&amp;9,$B$40:$G$40,0)),""),"")))</f>
      </c>
      <c r="C50" s="12">
        <f>IF(OR(2&gt;$B$5,9&gt;$B$6),"X",IF(IFERROR(INDEX(OFFSET($B$15,$D$46-15,0,1,4),MATCH(2&amp;","&amp;9,OFFSET($B$15,$F$46-15,0,1,4),0)),"")&lt;&gt;"",IFERROR(INDEX(OFFSET($B$15,$D$46-15,0,1,4),MATCH(2&amp;","&amp;9,OFFSET($B$15,$F$46-15,0,1,4),0)),""),IF($B$46="Start",IFERROR(INDEX($B$39:$G$39,MATCH(2&amp;","&amp;9,$B$40:$G$40,0)),""),"")))</f>
      </c>
      <c r="D50" s="12">
        <f>IF(OR(3&gt;$B$5,9&gt;$B$6),"X",IF(IFERROR(INDEX(OFFSET($B$15,$D$46-15,0,1,4),MATCH(3&amp;","&amp;9,OFFSET($B$15,$F$46-15,0,1,4),0)),"")&lt;&gt;"",IFERROR(INDEX(OFFSET($B$15,$D$46-15,0,1,4),MATCH(3&amp;","&amp;9,OFFSET($B$15,$F$46-15,0,1,4),0)),""),IF($B$46="Start",IFERROR(INDEX($B$39:$G$39,MATCH(3&amp;","&amp;9,$B$40:$G$40,0)),""),"")))</f>
      </c>
      <c r="E50" s="12">
        <f>IF(OR(4&gt;$B$5,9&gt;$B$6),"X",IF(IFERROR(INDEX(OFFSET($B$15,$D$46-15,0,1,4),MATCH(4&amp;","&amp;9,OFFSET($B$15,$F$46-15,0,1,4),0)),"")&lt;&gt;"",IFERROR(INDEX(OFFSET($B$15,$D$46-15,0,1,4),MATCH(4&amp;","&amp;9,OFFSET($B$15,$F$46-15,0,1,4),0)),""),IF($B$46="Start",IFERROR(INDEX($B$39:$G$39,MATCH(4&amp;","&amp;9,$B$40:$G$40,0)),""),"")))</f>
      </c>
      <c r="F50" s="12">
        <f>IF(OR(5&gt;$B$5,9&gt;$B$6),"X",IF(IFERROR(INDEX(OFFSET($B$15,$D$46-15,0,1,4),MATCH(5&amp;","&amp;9,OFFSET($B$15,$F$46-15,0,1,4),0)),"")&lt;&gt;"",IFERROR(INDEX(OFFSET($B$15,$D$46-15,0,1,4),MATCH(5&amp;","&amp;9,OFFSET($B$15,$F$46-15,0,1,4),0)),""),IF($B$46="Start",IFERROR(INDEX($B$39:$G$39,MATCH(5&amp;","&amp;9,$B$40:$G$40,0)),""),"")))</f>
      </c>
      <c r="G50" s="12">
        <f>IF(OR(6&gt;$B$5,9&gt;$B$6),"X",IF(IFERROR(INDEX(OFFSET($B$15,$D$46-15,0,1,4),MATCH(6&amp;","&amp;9,OFFSET($B$15,$F$46-15,0,1,4),0)),"")&lt;&gt;"",IFERROR(INDEX(OFFSET($B$15,$D$46-15,0,1,4),MATCH(6&amp;","&amp;9,OFFSET($B$15,$F$46-15,0,1,4),0)),""),IF($B$46="Start",IFERROR(INDEX($B$39:$G$39,MATCH(6&amp;","&amp;9,$B$40:$G$40,0)),""),"")))</f>
      </c>
      <c r="H50" s="12">
        <f>IF(OR(7&gt;$B$5,9&gt;$B$6),"X",IF(IFERROR(INDEX(OFFSET($B$15,$D$46-15,0,1,4),MATCH(7&amp;","&amp;9,OFFSET($B$15,$F$46-15,0,1,4),0)),"")&lt;&gt;"",IFERROR(INDEX(OFFSET($B$15,$D$46-15,0,1,4),MATCH(7&amp;","&amp;9,OFFSET($B$15,$F$46-15,0,1,4),0)),""),IF($B$46="Start",IFERROR(INDEX($B$39:$G$39,MATCH(7&amp;","&amp;9,$B$40:$G$40,0)),""),"")))</f>
      </c>
      <c r="I50" s="12">
        <f>IF(OR(8&gt;$B$5,9&gt;$B$6),"X",IF(IFERROR(INDEX(OFFSET($B$15,$D$46-15,0,1,4),MATCH(8&amp;","&amp;9,OFFSET($B$15,$F$46-15,0,1,4),0)),"")&lt;&gt;"",IFERROR(INDEX(OFFSET($B$15,$D$46-15,0,1,4),MATCH(8&amp;","&amp;9,OFFSET($B$15,$F$46-15,0,1,4),0)),""),IF($B$46="Start",IFERROR(INDEX($B$39:$G$39,MATCH(8&amp;","&amp;9,$B$40:$G$40,0)),""),"")))</f>
      </c>
      <c r="J50" s="12">
        <f>IF(OR(9&gt;$B$5,9&gt;$B$6),"X",IF(IFERROR(INDEX(OFFSET($B$15,$D$46-15,0,1,4),MATCH(9&amp;","&amp;9,OFFSET($B$15,$F$46-15,0,1,4),0)),"")&lt;&gt;"",IFERROR(INDEX(OFFSET($B$15,$D$46-15,0,1,4),MATCH(9&amp;","&amp;9,OFFSET($B$15,$F$46-15,0,1,4),0)),""),IF($B$46="Start",IFERROR(INDEX($B$39:$G$39,MATCH(9&amp;","&amp;9,$B$40:$G$40,0)),""),"")))</f>
      </c>
      <c r="K50" s="12">
        <f>IF(OR(10&gt;$B$5,9&gt;$B$6),"X",IF(IFERROR(INDEX(OFFSET($B$15,$D$46-15,0,1,4),MATCH(10&amp;","&amp;9,OFFSET($B$15,$F$46-15,0,1,4),0)),"")&lt;&gt;"",IFERROR(INDEX(OFFSET($B$15,$D$46-15,0,1,4),MATCH(10&amp;","&amp;9,OFFSET($B$15,$F$46-15,0,1,4),0)),""),IF($B$46="Start",IFERROR(INDEX($B$39:$G$39,MATCH(10&amp;","&amp;9,$B$40:$G$40,0)),""),"")))</f>
      </c>
    </row>
    <row r="51">
      <c r="A51" s="11">
        <v>8</v>
      </c>
      <c r="B51" s="12">
        <f>IF(OR(1&gt;$B$5,8&gt;$B$6),"X",IF(IFERROR(INDEX(OFFSET($B$15,$D$46-15,0,1,4),MATCH(1&amp;","&amp;8,OFFSET($B$15,$F$46-15,0,1,4),0)),"")&lt;&gt;"",IFERROR(INDEX(OFFSET($B$15,$D$46-15,0,1,4),MATCH(1&amp;","&amp;8,OFFSET($B$15,$F$46-15,0,1,4),0)),""),IF($B$46="Start",IFERROR(INDEX($B$39:$G$39,MATCH(1&amp;","&amp;8,$B$40:$G$40,0)),""),"")))</f>
      </c>
      <c r="C51" s="12">
        <f>IF(OR(2&gt;$B$5,8&gt;$B$6),"X",IF(IFERROR(INDEX(OFFSET($B$15,$D$46-15,0,1,4),MATCH(2&amp;","&amp;8,OFFSET($B$15,$F$46-15,0,1,4),0)),"")&lt;&gt;"",IFERROR(INDEX(OFFSET($B$15,$D$46-15,0,1,4),MATCH(2&amp;","&amp;8,OFFSET($B$15,$F$46-15,0,1,4),0)),""),IF($B$46="Start",IFERROR(INDEX($B$39:$G$39,MATCH(2&amp;","&amp;8,$B$40:$G$40,0)),""),"")))</f>
      </c>
      <c r="D51" s="12">
        <f>IF(OR(3&gt;$B$5,8&gt;$B$6),"X",IF(IFERROR(INDEX(OFFSET($B$15,$D$46-15,0,1,4),MATCH(3&amp;","&amp;8,OFFSET($B$15,$F$46-15,0,1,4),0)),"")&lt;&gt;"",IFERROR(INDEX(OFFSET($B$15,$D$46-15,0,1,4),MATCH(3&amp;","&amp;8,OFFSET($B$15,$F$46-15,0,1,4),0)),""),IF($B$46="Start",IFERROR(INDEX($B$39:$G$39,MATCH(3&amp;","&amp;8,$B$40:$G$40,0)),""),"")))</f>
      </c>
      <c r="E51" s="12">
        <f>IF(OR(4&gt;$B$5,8&gt;$B$6),"X",IF(IFERROR(INDEX(OFFSET($B$15,$D$46-15,0,1,4),MATCH(4&amp;","&amp;8,OFFSET($B$15,$F$46-15,0,1,4),0)),"")&lt;&gt;"",IFERROR(INDEX(OFFSET($B$15,$D$46-15,0,1,4),MATCH(4&amp;","&amp;8,OFFSET($B$15,$F$46-15,0,1,4),0)),""),IF($B$46="Start",IFERROR(INDEX($B$39:$G$39,MATCH(4&amp;","&amp;8,$B$40:$G$40,0)),""),"")))</f>
      </c>
      <c r="F51" s="12">
        <f>IF(OR(5&gt;$B$5,8&gt;$B$6),"X",IF(IFERROR(INDEX(OFFSET($B$15,$D$46-15,0,1,4),MATCH(5&amp;","&amp;8,OFFSET($B$15,$F$46-15,0,1,4),0)),"")&lt;&gt;"",IFERROR(INDEX(OFFSET($B$15,$D$46-15,0,1,4),MATCH(5&amp;","&amp;8,OFFSET($B$15,$F$46-15,0,1,4),0)),""),IF($B$46="Start",IFERROR(INDEX($B$39:$G$39,MATCH(5&amp;","&amp;8,$B$40:$G$40,0)),""),"")))</f>
      </c>
      <c r="G51" s="12">
        <f>IF(OR(6&gt;$B$5,8&gt;$B$6),"X",IF(IFERROR(INDEX(OFFSET($B$15,$D$46-15,0,1,4),MATCH(6&amp;","&amp;8,OFFSET($B$15,$F$46-15,0,1,4),0)),"")&lt;&gt;"",IFERROR(INDEX(OFFSET($B$15,$D$46-15,0,1,4),MATCH(6&amp;","&amp;8,OFFSET($B$15,$F$46-15,0,1,4),0)),""),IF($B$46="Start",IFERROR(INDEX($B$39:$G$39,MATCH(6&amp;","&amp;8,$B$40:$G$40,0)),""),"")))</f>
      </c>
      <c r="H51" s="12">
        <f>IF(OR(7&gt;$B$5,8&gt;$B$6),"X",IF(IFERROR(INDEX(OFFSET($B$15,$D$46-15,0,1,4),MATCH(7&amp;","&amp;8,OFFSET($B$15,$F$46-15,0,1,4),0)),"")&lt;&gt;"",IFERROR(INDEX(OFFSET($B$15,$D$46-15,0,1,4),MATCH(7&amp;","&amp;8,OFFSET($B$15,$F$46-15,0,1,4),0)),""),IF($B$46="Start",IFERROR(INDEX($B$39:$G$39,MATCH(7&amp;","&amp;8,$B$40:$G$40,0)),""),"")))</f>
      </c>
      <c r="I51" s="12">
        <f>IF(OR(8&gt;$B$5,8&gt;$B$6),"X",IF(IFERROR(INDEX(OFFSET($B$15,$D$46-15,0,1,4),MATCH(8&amp;","&amp;8,OFFSET($B$15,$F$46-15,0,1,4),0)),"")&lt;&gt;"",IFERROR(INDEX(OFFSET($B$15,$D$46-15,0,1,4),MATCH(8&amp;","&amp;8,OFFSET($B$15,$F$46-15,0,1,4),0)),""),IF($B$46="Start",IFERROR(INDEX($B$39:$G$39,MATCH(8&amp;","&amp;8,$B$40:$G$40,0)),""),"")))</f>
      </c>
      <c r="J51" s="12">
        <f>IF(OR(9&gt;$B$5,8&gt;$B$6),"X",IF(IFERROR(INDEX(OFFSET($B$15,$D$46-15,0,1,4),MATCH(9&amp;","&amp;8,OFFSET($B$15,$F$46-15,0,1,4),0)),"")&lt;&gt;"",IFERROR(INDEX(OFFSET($B$15,$D$46-15,0,1,4),MATCH(9&amp;","&amp;8,OFFSET($B$15,$F$46-15,0,1,4),0)),""),IF($B$46="Start",IFERROR(INDEX($B$39:$G$39,MATCH(9&amp;","&amp;8,$B$40:$G$40,0)),""),"")))</f>
      </c>
      <c r="K51" s="12">
        <f>IF(OR(10&gt;$B$5,8&gt;$B$6),"X",IF(IFERROR(INDEX(OFFSET($B$15,$D$46-15,0,1,4),MATCH(10&amp;","&amp;8,OFFSET($B$15,$F$46-15,0,1,4),0)),"")&lt;&gt;"",IFERROR(INDEX(OFFSET($B$15,$D$46-15,0,1,4),MATCH(10&amp;","&amp;8,OFFSET($B$15,$F$46-15,0,1,4),0)),""),IF($B$46="Start",IFERROR(INDEX($B$39:$G$39,MATCH(10&amp;","&amp;8,$B$40:$G$40,0)),""),"")))</f>
      </c>
    </row>
    <row r="52">
      <c r="A52" s="11">
        <v>7</v>
      </c>
      <c r="B52" s="12">
        <f>IF(OR(1&gt;$B$5,7&gt;$B$6),"X",IF(IFERROR(INDEX(OFFSET($B$15,$D$46-15,0,1,4),MATCH(1&amp;","&amp;7,OFFSET($B$15,$F$46-15,0,1,4),0)),"")&lt;&gt;"",IFERROR(INDEX(OFFSET($B$15,$D$46-15,0,1,4),MATCH(1&amp;","&amp;7,OFFSET($B$15,$F$46-15,0,1,4),0)),""),IF($B$46="Start",IFERROR(INDEX($B$39:$G$39,MATCH(1&amp;","&amp;7,$B$40:$G$40,0)),""),"")))</f>
      </c>
      <c r="C52" s="12">
        <f>IF(OR(2&gt;$B$5,7&gt;$B$6),"X",IF(IFERROR(INDEX(OFFSET($B$15,$D$46-15,0,1,4),MATCH(2&amp;","&amp;7,OFFSET($B$15,$F$46-15,0,1,4),0)),"")&lt;&gt;"",IFERROR(INDEX(OFFSET($B$15,$D$46-15,0,1,4),MATCH(2&amp;","&amp;7,OFFSET($B$15,$F$46-15,0,1,4),0)),""),IF($B$46="Start",IFERROR(INDEX($B$39:$G$39,MATCH(2&amp;","&amp;7,$B$40:$G$40,0)),""),"")))</f>
      </c>
      <c r="D52" s="12">
        <f>IF(OR(3&gt;$B$5,7&gt;$B$6),"X",IF(IFERROR(INDEX(OFFSET($B$15,$D$46-15,0,1,4),MATCH(3&amp;","&amp;7,OFFSET($B$15,$F$46-15,0,1,4),0)),"")&lt;&gt;"",IFERROR(INDEX(OFFSET($B$15,$D$46-15,0,1,4),MATCH(3&amp;","&amp;7,OFFSET($B$15,$F$46-15,0,1,4),0)),""),IF($B$46="Start",IFERROR(INDEX($B$39:$G$39,MATCH(3&amp;","&amp;7,$B$40:$G$40,0)),""),"")))</f>
      </c>
      <c r="E52" s="12">
        <f>IF(OR(4&gt;$B$5,7&gt;$B$6),"X",IF(IFERROR(INDEX(OFFSET($B$15,$D$46-15,0,1,4),MATCH(4&amp;","&amp;7,OFFSET($B$15,$F$46-15,0,1,4),0)),"")&lt;&gt;"",IFERROR(INDEX(OFFSET($B$15,$D$46-15,0,1,4),MATCH(4&amp;","&amp;7,OFFSET($B$15,$F$46-15,0,1,4),0)),""),IF($B$46="Start",IFERROR(INDEX($B$39:$G$39,MATCH(4&amp;","&amp;7,$B$40:$G$40,0)),""),"")))</f>
      </c>
      <c r="F52" s="12">
        <f>IF(OR(5&gt;$B$5,7&gt;$B$6),"X",IF(IFERROR(INDEX(OFFSET($B$15,$D$46-15,0,1,4),MATCH(5&amp;","&amp;7,OFFSET($B$15,$F$46-15,0,1,4),0)),"")&lt;&gt;"",IFERROR(INDEX(OFFSET($B$15,$D$46-15,0,1,4),MATCH(5&amp;","&amp;7,OFFSET($B$15,$F$46-15,0,1,4),0)),""),IF($B$46="Start",IFERROR(INDEX($B$39:$G$39,MATCH(5&amp;","&amp;7,$B$40:$G$40,0)),""),"")))</f>
      </c>
      <c r="G52" s="12">
        <f>IF(OR(6&gt;$B$5,7&gt;$B$6),"X",IF(IFERROR(INDEX(OFFSET($B$15,$D$46-15,0,1,4),MATCH(6&amp;","&amp;7,OFFSET($B$15,$F$46-15,0,1,4),0)),"")&lt;&gt;"",IFERROR(INDEX(OFFSET($B$15,$D$46-15,0,1,4),MATCH(6&amp;","&amp;7,OFFSET($B$15,$F$46-15,0,1,4),0)),""),IF($B$46="Start",IFERROR(INDEX($B$39:$G$39,MATCH(6&amp;","&amp;7,$B$40:$G$40,0)),""),"")))</f>
      </c>
      <c r="H52" s="12">
        <f>IF(OR(7&gt;$B$5,7&gt;$B$6),"X",IF(IFERROR(INDEX(OFFSET($B$15,$D$46-15,0,1,4),MATCH(7&amp;","&amp;7,OFFSET($B$15,$F$46-15,0,1,4),0)),"")&lt;&gt;"",IFERROR(INDEX(OFFSET($B$15,$D$46-15,0,1,4),MATCH(7&amp;","&amp;7,OFFSET($B$15,$F$46-15,0,1,4),0)),""),IF($B$46="Start",IFERROR(INDEX($B$39:$G$39,MATCH(7&amp;","&amp;7,$B$40:$G$40,0)),""),"")))</f>
      </c>
      <c r="I52" s="12">
        <f>IF(OR(8&gt;$B$5,7&gt;$B$6),"X",IF(IFERROR(INDEX(OFFSET($B$15,$D$46-15,0,1,4),MATCH(8&amp;","&amp;7,OFFSET($B$15,$F$46-15,0,1,4),0)),"")&lt;&gt;"",IFERROR(INDEX(OFFSET($B$15,$D$46-15,0,1,4),MATCH(8&amp;","&amp;7,OFFSET($B$15,$F$46-15,0,1,4),0)),""),IF($B$46="Start",IFERROR(INDEX($B$39:$G$39,MATCH(8&amp;","&amp;7,$B$40:$G$40,0)),""),"")))</f>
      </c>
      <c r="J52" s="12">
        <f>IF(OR(9&gt;$B$5,7&gt;$B$6),"X",IF(IFERROR(INDEX(OFFSET($B$15,$D$46-15,0,1,4),MATCH(9&amp;","&amp;7,OFFSET($B$15,$F$46-15,0,1,4),0)),"")&lt;&gt;"",IFERROR(INDEX(OFFSET($B$15,$D$46-15,0,1,4),MATCH(9&amp;","&amp;7,OFFSET($B$15,$F$46-15,0,1,4),0)),""),IF($B$46="Start",IFERROR(INDEX($B$39:$G$39,MATCH(9&amp;","&amp;7,$B$40:$G$40,0)),""),"")))</f>
      </c>
      <c r="K52" s="12">
        <f>IF(OR(10&gt;$B$5,7&gt;$B$6),"X",IF(IFERROR(INDEX(OFFSET($B$15,$D$46-15,0,1,4),MATCH(10&amp;","&amp;7,OFFSET($B$15,$F$46-15,0,1,4),0)),"")&lt;&gt;"",IFERROR(INDEX(OFFSET($B$15,$D$46-15,0,1,4),MATCH(10&amp;","&amp;7,OFFSET($B$15,$F$46-15,0,1,4),0)),""),IF($B$46="Start",IFERROR(INDEX($B$39:$G$39,MATCH(10&amp;","&amp;7,$B$40:$G$40,0)),""),"")))</f>
      </c>
    </row>
    <row r="53">
      <c r="A53" s="11">
        <v>6</v>
      </c>
      <c r="B53" s="12">
        <f>IF(OR(1&gt;$B$5,6&gt;$B$6),"X",IF(IFERROR(INDEX(OFFSET($B$15,$D$46-15,0,1,4),MATCH(1&amp;","&amp;6,OFFSET($B$15,$F$46-15,0,1,4),0)),"")&lt;&gt;"",IFERROR(INDEX(OFFSET($B$15,$D$46-15,0,1,4),MATCH(1&amp;","&amp;6,OFFSET($B$15,$F$46-15,0,1,4),0)),""),IF($B$46="Start",IFERROR(INDEX($B$39:$G$39,MATCH(1&amp;","&amp;6,$B$40:$G$40,0)),""),"")))</f>
      </c>
      <c r="C53" s="12">
        <f>IF(OR(2&gt;$B$5,6&gt;$B$6),"X",IF(IFERROR(INDEX(OFFSET($B$15,$D$46-15,0,1,4),MATCH(2&amp;","&amp;6,OFFSET($B$15,$F$46-15,0,1,4),0)),"")&lt;&gt;"",IFERROR(INDEX(OFFSET($B$15,$D$46-15,0,1,4),MATCH(2&amp;","&amp;6,OFFSET($B$15,$F$46-15,0,1,4),0)),""),IF($B$46="Start",IFERROR(INDEX($B$39:$G$39,MATCH(2&amp;","&amp;6,$B$40:$G$40,0)),""),"")))</f>
      </c>
      <c r="D53" s="12">
        <f>IF(OR(3&gt;$B$5,6&gt;$B$6),"X",IF(IFERROR(INDEX(OFFSET($B$15,$D$46-15,0,1,4),MATCH(3&amp;","&amp;6,OFFSET($B$15,$F$46-15,0,1,4),0)),"")&lt;&gt;"",IFERROR(INDEX(OFFSET($B$15,$D$46-15,0,1,4),MATCH(3&amp;","&amp;6,OFFSET($B$15,$F$46-15,0,1,4),0)),""),IF($B$46="Start",IFERROR(INDEX($B$39:$G$39,MATCH(3&amp;","&amp;6,$B$40:$G$40,0)),""),"")))</f>
      </c>
      <c r="E53" s="12">
        <f>IF(OR(4&gt;$B$5,6&gt;$B$6),"X",IF(IFERROR(INDEX(OFFSET($B$15,$D$46-15,0,1,4),MATCH(4&amp;","&amp;6,OFFSET($B$15,$F$46-15,0,1,4),0)),"")&lt;&gt;"",IFERROR(INDEX(OFFSET($B$15,$D$46-15,0,1,4),MATCH(4&amp;","&amp;6,OFFSET($B$15,$F$46-15,0,1,4),0)),""),IF($B$46="Start",IFERROR(INDEX($B$39:$G$39,MATCH(4&amp;","&amp;6,$B$40:$G$40,0)),""),"")))</f>
      </c>
      <c r="F53" s="12">
        <f>IF(OR(5&gt;$B$5,6&gt;$B$6),"X",IF(IFERROR(INDEX(OFFSET($B$15,$D$46-15,0,1,4),MATCH(5&amp;","&amp;6,OFFSET($B$15,$F$46-15,0,1,4),0)),"")&lt;&gt;"",IFERROR(INDEX(OFFSET($B$15,$D$46-15,0,1,4),MATCH(5&amp;","&amp;6,OFFSET($B$15,$F$46-15,0,1,4),0)),""),IF($B$46="Start",IFERROR(INDEX($B$39:$G$39,MATCH(5&amp;","&amp;6,$B$40:$G$40,0)),""),"")))</f>
      </c>
      <c r="G53" s="12">
        <f>IF(OR(6&gt;$B$5,6&gt;$B$6),"X",IF(IFERROR(INDEX(OFFSET($B$15,$D$46-15,0,1,4),MATCH(6&amp;","&amp;6,OFFSET($B$15,$F$46-15,0,1,4),0)),"")&lt;&gt;"",IFERROR(INDEX(OFFSET($B$15,$D$46-15,0,1,4),MATCH(6&amp;","&amp;6,OFFSET($B$15,$F$46-15,0,1,4),0)),""),IF($B$46="Start",IFERROR(INDEX($B$39:$G$39,MATCH(6&amp;","&amp;6,$B$40:$G$40,0)),""),"")))</f>
      </c>
      <c r="H53" s="12">
        <f>IF(OR(7&gt;$B$5,6&gt;$B$6),"X",IF(IFERROR(INDEX(OFFSET($B$15,$D$46-15,0,1,4),MATCH(7&amp;","&amp;6,OFFSET($B$15,$F$46-15,0,1,4),0)),"")&lt;&gt;"",IFERROR(INDEX(OFFSET($B$15,$D$46-15,0,1,4),MATCH(7&amp;","&amp;6,OFFSET($B$15,$F$46-15,0,1,4),0)),""),IF($B$46="Start",IFERROR(INDEX($B$39:$G$39,MATCH(7&amp;","&amp;6,$B$40:$G$40,0)),""),"")))</f>
      </c>
      <c r="I53" s="12">
        <f>IF(OR(8&gt;$B$5,6&gt;$B$6),"X",IF(IFERROR(INDEX(OFFSET($B$15,$D$46-15,0,1,4),MATCH(8&amp;","&amp;6,OFFSET($B$15,$F$46-15,0,1,4),0)),"")&lt;&gt;"",IFERROR(INDEX(OFFSET($B$15,$D$46-15,0,1,4),MATCH(8&amp;","&amp;6,OFFSET($B$15,$F$46-15,0,1,4),0)),""),IF($B$46="Start",IFERROR(INDEX($B$39:$G$39,MATCH(8&amp;","&amp;6,$B$40:$G$40,0)),""),"")))</f>
      </c>
      <c r="J53" s="12">
        <f>IF(OR(9&gt;$B$5,6&gt;$B$6),"X",IF(IFERROR(INDEX(OFFSET($B$15,$D$46-15,0,1,4),MATCH(9&amp;","&amp;6,OFFSET($B$15,$F$46-15,0,1,4),0)),"")&lt;&gt;"",IFERROR(INDEX(OFFSET($B$15,$D$46-15,0,1,4),MATCH(9&amp;","&amp;6,OFFSET($B$15,$F$46-15,0,1,4),0)),""),IF($B$46="Start",IFERROR(INDEX($B$39:$G$39,MATCH(9&amp;","&amp;6,$B$40:$G$40,0)),""),"")))</f>
      </c>
      <c r="K53" s="12">
        <f>IF(OR(10&gt;$B$5,6&gt;$B$6),"X",IF(IFERROR(INDEX(OFFSET($B$15,$D$46-15,0,1,4),MATCH(10&amp;","&amp;6,OFFSET($B$15,$F$46-15,0,1,4),0)),"")&lt;&gt;"",IFERROR(INDEX(OFFSET($B$15,$D$46-15,0,1,4),MATCH(10&amp;","&amp;6,OFFSET($B$15,$F$46-15,0,1,4),0)),""),IF($B$46="Start",IFERROR(INDEX($B$39:$G$39,MATCH(10&amp;","&amp;6,$B$40:$G$40,0)),""),"")))</f>
      </c>
    </row>
    <row r="54">
      <c r="A54" s="11">
        <v>5</v>
      </c>
      <c r="B54" s="12">
        <f>IF(OR(1&gt;$B$5,5&gt;$B$6),"X",IF(IFERROR(INDEX(OFFSET($B$15,$D$46-15,0,1,4),MATCH(1&amp;","&amp;5,OFFSET($B$15,$F$46-15,0,1,4),0)),"")&lt;&gt;"",IFERROR(INDEX(OFFSET($B$15,$D$46-15,0,1,4),MATCH(1&amp;","&amp;5,OFFSET($B$15,$F$46-15,0,1,4),0)),""),IF($B$46="Start",IFERROR(INDEX($B$39:$G$39,MATCH(1&amp;","&amp;5,$B$40:$G$40,0)),""),"")))</f>
      </c>
      <c r="C54" s="12">
        <f>IF(OR(2&gt;$B$5,5&gt;$B$6),"X",IF(IFERROR(INDEX(OFFSET($B$15,$D$46-15,0,1,4),MATCH(2&amp;","&amp;5,OFFSET($B$15,$F$46-15,0,1,4),0)),"")&lt;&gt;"",IFERROR(INDEX(OFFSET($B$15,$D$46-15,0,1,4),MATCH(2&amp;","&amp;5,OFFSET($B$15,$F$46-15,0,1,4),0)),""),IF($B$46="Start",IFERROR(INDEX($B$39:$G$39,MATCH(2&amp;","&amp;5,$B$40:$G$40,0)),""),"")))</f>
      </c>
      <c r="D54" s="12">
        <f>IF(OR(3&gt;$B$5,5&gt;$B$6),"X",IF(IFERROR(INDEX(OFFSET($B$15,$D$46-15,0,1,4),MATCH(3&amp;","&amp;5,OFFSET($B$15,$F$46-15,0,1,4),0)),"")&lt;&gt;"",IFERROR(INDEX(OFFSET($B$15,$D$46-15,0,1,4),MATCH(3&amp;","&amp;5,OFFSET($B$15,$F$46-15,0,1,4),0)),""),IF($B$46="Start",IFERROR(INDEX($B$39:$G$39,MATCH(3&amp;","&amp;5,$B$40:$G$40,0)),""),"")))</f>
      </c>
      <c r="E54" s="12">
        <f>IF(OR(4&gt;$B$5,5&gt;$B$6),"X",IF(IFERROR(INDEX(OFFSET($B$15,$D$46-15,0,1,4),MATCH(4&amp;","&amp;5,OFFSET($B$15,$F$46-15,0,1,4),0)),"")&lt;&gt;"",IFERROR(INDEX(OFFSET($B$15,$D$46-15,0,1,4),MATCH(4&amp;","&amp;5,OFFSET($B$15,$F$46-15,0,1,4),0)),""),IF($B$46="Start",IFERROR(INDEX($B$39:$G$39,MATCH(4&amp;","&amp;5,$B$40:$G$40,0)),""),"")))</f>
      </c>
      <c r="F54" s="12">
        <f>IF(OR(5&gt;$B$5,5&gt;$B$6),"X",IF(IFERROR(INDEX(OFFSET($B$15,$D$46-15,0,1,4),MATCH(5&amp;","&amp;5,OFFSET($B$15,$F$46-15,0,1,4),0)),"")&lt;&gt;"",IFERROR(INDEX(OFFSET($B$15,$D$46-15,0,1,4),MATCH(5&amp;","&amp;5,OFFSET($B$15,$F$46-15,0,1,4),0)),""),IF($B$46="Start",IFERROR(INDEX($B$39:$G$39,MATCH(5&amp;","&amp;5,$B$40:$G$40,0)),""),"")))</f>
      </c>
      <c r="G54" s="12">
        <f>IF(OR(6&gt;$B$5,5&gt;$B$6),"X",IF(IFERROR(INDEX(OFFSET($B$15,$D$46-15,0,1,4),MATCH(6&amp;","&amp;5,OFFSET($B$15,$F$46-15,0,1,4),0)),"")&lt;&gt;"",IFERROR(INDEX(OFFSET($B$15,$D$46-15,0,1,4),MATCH(6&amp;","&amp;5,OFFSET($B$15,$F$46-15,0,1,4),0)),""),IF($B$46="Start",IFERROR(INDEX($B$39:$G$39,MATCH(6&amp;","&amp;5,$B$40:$G$40,0)),""),"")))</f>
      </c>
      <c r="H54" s="12">
        <f>IF(OR(7&gt;$B$5,5&gt;$B$6),"X",IF(IFERROR(INDEX(OFFSET($B$15,$D$46-15,0,1,4),MATCH(7&amp;","&amp;5,OFFSET($B$15,$F$46-15,0,1,4),0)),"")&lt;&gt;"",IFERROR(INDEX(OFFSET($B$15,$D$46-15,0,1,4),MATCH(7&amp;","&amp;5,OFFSET($B$15,$F$46-15,0,1,4),0)),""),IF($B$46="Start",IFERROR(INDEX($B$39:$G$39,MATCH(7&amp;","&amp;5,$B$40:$G$40,0)),""),"")))</f>
      </c>
      <c r="I54" s="12">
        <f>IF(OR(8&gt;$B$5,5&gt;$B$6),"X",IF(IFERROR(INDEX(OFFSET($B$15,$D$46-15,0,1,4),MATCH(8&amp;","&amp;5,OFFSET($B$15,$F$46-15,0,1,4),0)),"")&lt;&gt;"",IFERROR(INDEX(OFFSET($B$15,$D$46-15,0,1,4),MATCH(8&amp;","&amp;5,OFFSET($B$15,$F$46-15,0,1,4),0)),""),IF($B$46="Start",IFERROR(INDEX($B$39:$G$39,MATCH(8&amp;","&amp;5,$B$40:$G$40,0)),""),"")))</f>
      </c>
      <c r="J54" s="12">
        <f>IF(OR(9&gt;$B$5,5&gt;$B$6),"X",IF(IFERROR(INDEX(OFFSET($B$15,$D$46-15,0,1,4),MATCH(9&amp;","&amp;5,OFFSET($B$15,$F$46-15,0,1,4),0)),"")&lt;&gt;"",IFERROR(INDEX(OFFSET($B$15,$D$46-15,0,1,4),MATCH(9&amp;","&amp;5,OFFSET($B$15,$F$46-15,0,1,4),0)),""),IF($B$46="Start",IFERROR(INDEX($B$39:$G$39,MATCH(9&amp;","&amp;5,$B$40:$G$40,0)),""),"")))</f>
      </c>
      <c r="K54" s="12">
        <f>IF(OR(10&gt;$B$5,5&gt;$B$6),"X",IF(IFERROR(INDEX(OFFSET($B$15,$D$46-15,0,1,4),MATCH(10&amp;","&amp;5,OFFSET($B$15,$F$46-15,0,1,4),0)),"")&lt;&gt;"",IFERROR(INDEX(OFFSET($B$15,$D$46-15,0,1,4),MATCH(10&amp;","&amp;5,OFFSET($B$15,$F$46-15,0,1,4),0)),""),IF($B$46="Start",IFERROR(INDEX($B$39:$G$39,MATCH(10&amp;","&amp;5,$B$40:$G$40,0)),""),"")))</f>
      </c>
    </row>
    <row r="55">
      <c r="A55" s="11">
        <v>4</v>
      </c>
      <c r="B55" s="12">
        <f>IF(OR(1&gt;$B$5,4&gt;$B$6),"X",IF(IFERROR(INDEX(OFFSET($B$15,$D$46-15,0,1,4),MATCH(1&amp;","&amp;4,OFFSET($B$15,$F$46-15,0,1,4),0)),"")&lt;&gt;"",IFERROR(INDEX(OFFSET($B$15,$D$46-15,0,1,4),MATCH(1&amp;","&amp;4,OFFSET($B$15,$F$46-15,0,1,4),0)),""),IF($B$46="Start",IFERROR(INDEX($B$39:$G$39,MATCH(1&amp;","&amp;4,$B$40:$G$40,0)),""),"")))</f>
      </c>
      <c r="C55" s="12">
        <f>IF(OR(2&gt;$B$5,4&gt;$B$6),"X",IF(IFERROR(INDEX(OFFSET($B$15,$D$46-15,0,1,4),MATCH(2&amp;","&amp;4,OFFSET($B$15,$F$46-15,0,1,4),0)),"")&lt;&gt;"",IFERROR(INDEX(OFFSET($B$15,$D$46-15,0,1,4),MATCH(2&amp;","&amp;4,OFFSET($B$15,$F$46-15,0,1,4),0)),""),IF($B$46="Start",IFERROR(INDEX($B$39:$G$39,MATCH(2&amp;","&amp;4,$B$40:$G$40,0)),""),"")))</f>
      </c>
      <c r="D55" s="12">
        <f>IF(OR(3&gt;$B$5,4&gt;$B$6),"X",IF(IFERROR(INDEX(OFFSET($B$15,$D$46-15,0,1,4),MATCH(3&amp;","&amp;4,OFFSET($B$15,$F$46-15,0,1,4),0)),"")&lt;&gt;"",IFERROR(INDEX(OFFSET($B$15,$D$46-15,0,1,4),MATCH(3&amp;","&amp;4,OFFSET($B$15,$F$46-15,0,1,4),0)),""),IF($B$46="Start",IFERROR(INDEX($B$39:$G$39,MATCH(3&amp;","&amp;4,$B$40:$G$40,0)),""),"")))</f>
      </c>
      <c r="E55" s="12">
        <f>IF(OR(4&gt;$B$5,4&gt;$B$6),"X",IF(IFERROR(INDEX(OFFSET($B$15,$D$46-15,0,1,4),MATCH(4&amp;","&amp;4,OFFSET($B$15,$F$46-15,0,1,4),0)),"")&lt;&gt;"",IFERROR(INDEX(OFFSET($B$15,$D$46-15,0,1,4),MATCH(4&amp;","&amp;4,OFFSET($B$15,$F$46-15,0,1,4),0)),""),IF($B$46="Start",IFERROR(INDEX($B$39:$G$39,MATCH(4&amp;","&amp;4,$B$40:$G$40,0)),""),"")))</f>
      </c>
      <c r="F55" s="12">
        <f>IF(OR(5&gt;$B$5,4&gt;$B$6),"X",IF(IFERROR(INDEX(OFFSET($B$15,$D$46-15,0,1,4),MATCH(5&amp;","&amp;4,OFFSET($B$15,$F$46-15,0,1,4),0)),"")&lt;&gt;"",IFERROR(INDEX(OFFSET($B$15,$D$46-15,0,1,4),MATCH(5&amp;","&amp;4,OFFSET($B$15,$F$46-15,0,1,4),0)),""),IF($B$46="Start",IFERROR(INDEX($B$39:$G$39,MATCH(5&amp;","&amp;4,$B$40:$G$40,0)),""),"")))</f>
      </c>
      <c r="G55" s="12">
        <f>IF(OR(6&gt;$B$5,4&gt;$B$6),"X",IF(IFERROR(INDEX(OFFSET($B$15,$D$46-15,0,1,4),MATCH(6&amp;","&amp;4,OFFSET($B$15,$F$46-15,0,1,4),0)),"")&lt;&gt;"",IFERROR(INDEX(OFFSET($B$15,$D$46-15,0,1,4),MATCH(6&amp;","&amp;4,OFFSET($B$15,$F$46-15,0,1,4),0)),""),IF($B$46="Start",IFERROR(INDEX($B$39:$G$39,MATCH(6&amp;","&amp;4,$B$40:$G$40,0)),""),"")))</f>
      </c>
      <c r="H55" s="12">
        <f>IF(OR(7&gt;$B$5,4&gt;$B$6),"X",IF(IFERROR(INDEX(OFFSET($B$15,$D$46-15,0,1,4),MATCH(7&amp;","&amp;4,OFFSET($B$15,$F$46-15,0,1,4),0)),"")&lt;&gt;"",IFERROR(INDEX(OFFSET($B$15,$D$46-15,0,1,4),MATCH(7&amp;","&amp;4,OFFSET($B$15,$F$46-15,0,1,4),0)),""),IF($B$46="Start",IFERROR(INDEX($B$39:$G$39,MATCH(7&amp;","&amp;4,$B$40:$G$40,0)),""),"")))</f>
      </c>
      <c r="I55" s="12">
        <f>IF(OR(8&gt;$B$5,4&gt;$B$6),"X",IF(IFERROR(INDEX(OFFSET($B$15,$D$46-15,0,1,4),MATCH(8&amp;","&amp;4,OFFSET($B$15,$F$46-15,0,1,4),0)),"")&lt;&gt;"",IFERROR(INDEX(OFFSET($B$15,$D$46-15,0,1,4),MATCH(8&amp;","&amp;4,OFFSET($B$15,$F$46-15,0,1,4),0)),""),IF($B$46="Start",IFERROR(INDEX($B$39:$G$39,MATCH(8&amp;","&amp;4,$B$40:$G$40,0)),""),"")))</f>
      </c>
      <c r="J55" s="12">
        <f>IF(OR(9&gt;$B$5,4&gt;$B$6),"X",IF(IFERROR(INDEX(OFFSET($B$15,$D$46-15,0,1,4),MATCH(9&amp;","&amp;4,OFFSET($B$15,$F$46-15,0,1,4),0)),"")&lt;&gt;"",IFERROR(INDEX(OFFSET($B$15,$D$46-15,0,1,4),MATCH(9&amp;","&amp;4,OFFSET($B$15,$F$46-15,0,1,4),0)),""),IF($B$46="Start",IFERROR(INDEX($B$39:$G$39,MATCH(9&amp;","&amp;4,$B$40:$G$40,0)),""),"")))</f>
      </c>
      <c r="K55" s="12">
        <f>IF(OR(10&gt;$B$5,4&gt;$B$6),"X",IF(IFERROR(INDEX(OFFSET($B$15,$D$46-15,0,1,4),MATCH(10&amp;","&amp;4,OFFSET($B$15,$F$46-15,0,1,4),0)),"")&lt;&gt;"",IFERROR(INDEX(OFFSET($B$15,$D$46-15,0,1,4),MATCH(10&amp;","&amp;4,OFFSET($B$15,$F$46-15,0,1,4),0)),""),IF($B$46="Start",IFERROR(INDEX($B$39:$G$39,MATCH(10&amp;","&amp;4,$B$40:$G$40,0)),""),"")))</f>
      </c>
    </row>
    <row r="56">
      <c r="A56" s="11">
        <v>3</v>
      </c>
      <c r="B56" s="12">
        <f>IF(OR(1&gt;$B$5,3&gt;$B$6),"X",IF(IFERROR(INDEX(OFFSET($B$15,$D$46-15,0,1,4),MATCH(1&amp;","&amp;3,OFFSET($B$15,$F$46-15,0,1,4),0)),"")&lt;&gt;"",IFERROR(INDEX(OFFSET($B$15,$D$46-15,0,1,4),MATCH(1&amp;","&amp;3,OFFSET($B$15,$F$46-15,0,1,4),0)),""),IF($B$46="Start",IFERROR(INDEX($B$39:$G$39,MATCH(1&amp;","&amp;3,$B$40:$G$40,0)),""),"")))</f>
      </c>
      <c r="C56" s="12">
        <f>IF(OR(2&gt;$B$5,3&gt;$B$6),"X",IF(IFERROR(INDEX(OFFSET($B$15,$D$46-15,0,1,4),MATCH(2&amp;","&amp;3,OFFSET($B$15,$F$46-15,0,1,4),0)),"")&lt;&gt;"",IFERROR(INDEX(OFFSET($B$15,$D$46-15,0,1,4),MATCH(2&amp;","&amp;3,OFFSET($B$15,$F$46-15,0,1,4),0)),""),IF($B$46="Start",IFERROR(INDEX($B$39:$G$39,MATCH(2&amp;","&amp;3,$B$40:$G$40,0)),""),"")))</f>
      </c>
      <c r="D56" s="12">
        <f>IF(OR(3&gt;$B$5,3&gt;$B$6),"X",IF(IFERROR(INDEX(OFFSET($B$15,$D$46-15,0,1,4),MATCH(3&amp;","&amp;3,OFFSET($B$15,$F$46-15,0,1,4),0)),"")&lt;&gt;"",IFERROR(INDEX(OFFSET($B$15,$D$46-15,0,1,4),MATCH(3&amp;","&amp;3,OFFSET($B$15,$F$46-15,0,1,4),0)),""),IF($B$46="Start",IFERROR(INDEX($B$39:$G$39,MATCH(3&amp;","&amp;3,$B$40:$G$40,0)),""),"")))</f>
      </c>
      <c r="E56" s="12">
        <f>IF(OR(4&gt;$B$5,3&gt;$B$6),"X",IF(IFERROR(INDEX(OFFSET($B$15,$D$46-15,0,1,4),MATCH(4&amp;","&amp;3,OFFSET($B$15,$F$46-15,0,1,4),0)),"")&lt;&gt;"",IFERROR(INDEX(OFFSET($B$15,$D$46-15,0,1,4),MATCH(4&amp;","&amp;3,OFFSET($B$15,$F$46-15,0,1,4),0)),""),IF($B$46="Start",IFERROR(INDEX($B$39:$G$39,MATCH(4&amp;","&amp;3,$B$40:$G$40,0)),""),"")))</f>
      </c>
      <c r="F56" s="12">
        <f>IF(OR(5&gt;$B$5,3&gt;$B$6),"X",IF(IFERROR(INDEX(OFFSET($B$15,$D$46-15,0,1,4),MATCH(5&amp;","&amp;3,OFFSET($B$15,$F$46-15,0,1,4),0)),"")&lt;&gt;"",IFERROR(INDEX(OFFSET($B$15,$D$46-15,0,1,4),MATCH(5&amp;","&amp;3,OFFSET($B$15,$F$46-15,0,1,4),0)),""),IF($B$46="Start",IFERROR(INDEX($B$39:$G$39,MATCH(5&amp;","&amp;3,$B$40:$G$40,0)),""),"")))</f>
      </c>
      <c r="G56" s="12">
        <f>IF(OR(6&gt;$B$5,3&gt;$B$6),"X",IF(IFERROR(INDEX(OFFSET($B$15,$D$46-15,0,1,4),MATCH(6&amp;","&amp;3,OFFSET($B$15,$F$46-15,0,1,4),0)),"")&lt;&gt;"",IFERROR(INDEX(OFFSET($B$15,$D$46-15,0,1,4),MATCH(6&amp;","&amp;3,OFFSET($B$15,$F$46-15,0,1,4),0)),""),IF($B$46="Start",IFERROR(INDEX($B$39:$G$39,MATCH(6&amp;","&amp;3,$B$40:$G$40,0)),""),"")))</f>
      </c>
      <c r="H56" s="12">
        <f>IF(OR(7&gt;$B$5,3&gt;$B$6),"X",IF(IFERROR(INDEX(OFFSET($B$15,$D$46-15,0,1,4),MATCH(7&amp;","&amp;3,OFFSET($B$15,$F$46-15,0,1,4),0)),"")&lt;&gt;"",IFERROR(INDEX(OFFSET($B$15,$D$46-15,0,1,4),MATCH(7&amp;","&amp;3,OFFSET($B$15,$F$46-15,0,1,4),0)),""),IF($B$46="Start",IFERROR(INDEX($B$39:$G$39,MATCH(7&amp;","&amp;3,$B$40:$G$40,0)),""),"")))</f>
      </c>
      <c r="I56" s="12">
        <f>IF(OR(8&gt;$B$5,3&gt;$B$6),"X",IF(IFERROR(INDEX(OFFSET($B$15,$D$46-15,0,1,4),MATCH(8&amp;","&amp;3,OFFSET($B$15,$F$46-15,0,1,4),0)),"")&lt;&gt;"",IFERROR(INDEX(OFFSET($B$15,$D$46-15,0,1,4),MATCH(8&amp;","&amp;3,OFFSET($B$15,$F$46-15,0,1,4),0)),""),IF($B$46="Start",IFERROR(INDEX($B$39:$G$39,MATCH(8&amp;","&amp;3,$B$40:$G$40,0)),""),"")))</f>
      </c>
      <c r="J56" s="12">
        <f>IF(OR(9&gt;$B$5,3&gt;$B$6),"X",IF(IFERROR(INDEX(OFFSET($B$15,$D$46-15,0,1,4),MATCH(9&amp;","&amp;3,OFFSET($B$15,$F$46-15,0,1,4),0)),"")&lt;&gt;"",IFERROR(INDEX(OFFSET($B$15,$D$46-15,0,1,4),MATCH(9&amp;","&amp;3,OFFSET($B$15,$F$46-15,0,1,4),0)),""),IF($B$46="Start",IFERROR(INDEX($B$39:$G$39,MATCH(9&amp;","&amp;3,$B$40:$G$40,0)),""),"")))</f>
      </c>
      <c r="K56" s="12">
        <f>IF(OR(10&gt;$B$5,3&gt;$B$6),"X",IF(IFERROR(INDEX(OFFSET($B$15,$D$46-15,0,1,4),MATCH(10&amp;","&amp;3,OFFSET($B$15,$F$46-15,0,1,4),0)),"")&lt;&gt;"",IFERROR(INDEX(OFFSET($B$15,$D$46-15,0,1,4),MATCH(10&amp;","&amp;3,OFFSET($B$15,$F$46-15,0,1,4),0)),""),IF($B$46="Start",IFERROR(INDEX($B$39:$G$39,MATCH(10&amp;","&amp;3,$B$40:$G$40,0)),""),"")))</f>
      </c>
    </row>
    <row r="57">
      <c r="A57" s="11">
        <v>2</v>
      </c>
      <c r="B57" s="12">
        <f>IF(OR(1&gt;$B$5,2&gt;$B$6),"X",IF(IFERROR(INDEX(OFFSET($B$15,$D$46-15,0,1,4),MATCH(1&amp;","&amp;2,OFFSET($B$15,$F$46-15,0,1,4),0)),"")&lt;&gt;"",IFERROR(INDEX(OFFSET($B$15,$D$46-15,0,1,4),MATCH(1&amp;","&amp;2,OFFSET($B$15,$F$46-15,0,1,4),0)),""),IF($B$46="Start",IFERROR(INDEX($B$39:$G$39,MATCH(1&amp;","&amp;2,$B$40:$G$40,0)),""),"")))</f>
      </c>
      <c r="C57" s="12">
        <f>IF(OR(2&gt;$B$5,2&gt;$B$6),"X",IF(IFERROR(INDEX(OFFSET($B$15,$D$46-15,0,1,4),MATCH(2&amp;","&amp;2,OFFSET($B$15,$F$46-15,0,1,4),0)),"")&lt;&gt;"",IFERROR(INDEX(OFFSET($B$15,$D$46-15,0,1,4),MATCH(2&amp;","&amp;2,OFFSET($B$15,$F$46-15,0,1,4),0)),""),IF($B$46="Start",IFERROR(INDEX($B$39:$G$39,MATCH(2&amp;","&amp;2,$B$40:$G$40,0)),""),"")))</f>
      </c>
      <c r="D57" s="12">
        <f>IF(OR(3&gt;$B$5,2&gt;$B$6),"X",IF(IFERROR(INDEX(OFFSET($B$15,$D$46-15,0,1,4),MATCH(3&amp;","&amp;2,OFFSET($B$15,$F$46-15,0,1,4),0)),"")&lt;&gt;"",IFERROR(INDEX(OFFSET($B$15,$D$46-15,0,1,4),MATCH(3&amp;","&amp;2,OFFSET($B$15,$F$46-15,0,1,4),0)),""),IF($B$46="Start",IFERROR(INDEX($B$39:$G$39,MATCH(3&amp;","&amp;2,$B$40:$G$40,0)),""),"")))</f>
      </c>
      <c r="E57" s="12">
        <f>IF(OR(4&gt;$B$5,2&gt;$B$6),"X",IF(IFERROR(INDEX(OFFSET($B$15,$D$46-15,0,1,4),MATCH(4&amp;","&amp;2,OFFSET($B$15,$F$46-15,0,1,4),0)),"")&lt;&gt;"",IFERROR(INDEX(OFFSET($B$15,$D$46-15,0,1,4),MATCH(4&amp;","&amp;2,OFFSET($B$15,$F$46-15,0,1,4),0)),""),IF($B$46="Start",IFERROR(INDEX($B$39:$G$39,MATCH(4&amp;","&amp;2,$B$40:$G$40,0)),""),"")))</f>
      </c>
      <c r="F57" s="12">
        <f>IF(OR(5&gt;$B$5,2&gt;$B$6),"X",IF(IFERROR(INDEX(OFFSET($B$15,$D$46-15,0,1,4),MATCH(5&amp;","&amp;2,OFFSET($B$15,$F$46-15,0,1,4),0)),"")&lt;&gt;"",IFERROR(INDEX(OFFSET($B$15,$D$46-15,0,1,4),MATCH(5&amp;","&amp;2,OFFSET($B$15,$F$46-15,0,1,4),0)),""),IF($B$46="Start",IFERROR(INDEX($B$39:$G$39,MATCH(5&amp;","&amp;2,$B$40:$G$40,0)),""),"")))</f>
      </c>
      <c r="G57" s="12">
        <f>IF(OR(6&gt;$B$5,2&gt;$B$6),"X",IF(IFERROR(INDEX(OFFSET($B$15,$D$46-15,0,1,4),MATCH(6&amp;","&amp;2,OFFSET($B$15,$F$46-15,0,1,4),0)),"")&lt;&gt;"",IFERROR(INDEX(OFFSET($B$15,$D$46-15,0,1,4),MATCH(6&amp;","&amp;2,OFFSET($B$15,$F$46-15,0,1,4),0)),""),IF($B$46="Start",IFERROR(INDEX($B$39:$G$39,MATCH(6&amp;","&amp;2,$B$40:$G$40,0)),""),"")))</f>
      </c>
      <c r="H57" s="12">
        <f>IF(OR(7&gt;$B$5,2&gt;$B$6),"X",IF(IFERROR(INDEX(OFFSET($B$15,$D$46-15,0,1,4),MATCH(7&amp;","&amp;2,OFFSET($B$15,$F$46-15,0,1,4),0)),"")&lt;&gt;"",IFERROR(INDEX(OFFSET($B$15,$D$46-15,0,1,4),MATCH(7&amp;","&amp;2,OFFSET($B$15,$F$46-15,0,1,4),0)),""),IF($B$46="Start",IFERROR(INDEX($B$39:$G$39,MATCH(7&amp;","&amp;2,$B$40:$G$40,0)),""),"")))</f>
      </c>
      <c r="I57" s="12">
        <f>IF(OR(8&gt;$B$5,2&gt;$B$6),"X",IF(IFERROR(INDEX(OFFSET($B$15,$D$46-15,0,1,4),MATCH(8&amp;","&amp;2,OFFSET($B$15,$F$46-15,0,1,4),0)),"")&lt;&gt;"",IFERROR(INDEX(OFFSET($B$15,$D$46-15,0,1,4),MATCH(8&amp;","&amp;2,OFFSET($B$15,$F$46-15,0,1,4),0)),""),IF($B$46="Start",IFERROR(INDEX($B$39:$G$39,MATCH(8&amp;","&amp;2,$B$40:$G$40,0)),""),"")))</f>
      </c>
      <c r="J57" s="12">
        <f>IF(OR(9&gt;$B$5,2&gt;$B$6),"X",IF(IFERROR(INDEX(OFFSET($B$15,$D$46-15,0,1,4),MATCH(9&amp;","&amp;2,OFFSET($B$15,$F$46-15,0,1,4),0)),"")&lt;&gt;"",IFERROR(INDEX(OFFSET($B$15,$D$46-15,0,1,4),MATCH(9&amp;","&amp;2,OFFSET($B$15,$F$46-15,0,1,4),0)),""),IF($B$46="Start",IFERROR(INDEX($B$39:$G$39,MATCH(9&amp;","&amp;2,$B$40:$G$40,0)),""),"")))</f>
      </c>
      <c r="K57" s="12">
        <f>IF(OR(10&gt;$B$5,2&gt;$B$6),"X",IF(IFERROR(INDEX(OFFSET($B$15,$D$46-15,0,1,4),MATCH(10&amp;","&amp;2,OFFSET($B$15,$F$46-15,0,1,4),0)),"")&lt;&gt;"",IFERROR(INDEX(OFFSET($B$15,$D$46-15,0,1,4),MATCH(10&amp;","&amp;2,OFFSET($B$15,$F$46-15,0,1,4),0)),""),IF($B$46="Start",IFERROR(INDEX($B$39:$G$39,MATCH(10&amp;","&amp;2,$B$40:$G$40,0)),""),"")))</f>
      </c>
    </row>
    <row r="58">
      <c r="A58" s="11">
        <v>1</v>
      </c>
      <c r="B58" s="12">
        <f>IF(OR(1&gt;$B$5,1&gt;$B$6),"X",IF(IFERROR(INDEX(OFFSET($B$15,$D$46-15,0,1,4),MATCH(1&amp;","&amp;1,OFFSET($B$15,$F$46-15,0,1,4),0)),"")&lt;&gt;"",IFERROR(INDEX(OFFSET($B$15,$D$46-15,0,1,4),MATCH(1&amp;","&amp;1,OFFSET($B$15,$F$46-15,0,1,4),0)),""),IF($B$46="Start",IFERROR(INDEX($B$39:$G$39,MATCH(1&amp;","&amp;1,$B$40:$G$40,0)),""),"")))</f>
      </c>
      <c r="C58" s="12">
        <f>IF(OR(2&gt;$B$5,1&gt;$B$6),"X",IF(IFERROR(INDEX(OFFSET($B$15,$D$46-15,0,1,4),MATCH(2&amp;","&amp;1,OFFSET($B$15,$F$46-15,0,1,4),0)),"")&lt;&gt;"",IFERROR(INDEX(OFFSET($B$15,$D$46-15,0,1,4),MATCH(2&amp;","&amp;1,OFFSET($B$15,$F$46-15,0,1,4),0)),""),IF($B$46="Start",IFERROR(INDEX($B$39:$G$39,MATCH(2&amp;","&amp;1,$B$40:$G$40,0)),""),"")))</f>
      </c>
      <c r="D58" s="12">
        <f>IF(OR(3&gt;$B$5,1&gt;$B$6),"X",IF(IFERROR(INDEX(OFFSET($B$15,$D$46-15,0,1,4),MATCH(3&amp;","&amp;1,OFFSET($B$15,$F$46-15,0,1,4),0)),"")&lt;&gt;"",IFERROR(INDEX(OFFSET($B$15,$D$46-15,0,1,4),MATCH(3&amp;","&amp;1,OFFSET($B$15,$F$46-15,0,1,4),0)),""),IF($B$46="Start",IFERROR(INDEX($B$39:$G$39,MATCH(3&amp;","&amp;1,$B$40:$G$40,0)),""),"")))</f>
      </c>
      <c r="E58" s="12">
        <f>IF(OR(4&gt;$B$5,1&gt;$B$6),"X",IF(IFERROR(INDEX(OFFSET($B$15,$D$46-15,0,1,4),MATCH(4&amp;","&amp;1,OFFSET($B$15,$F$46-15,0,1,4),0)),"")&lt;&gt;"",IFERROR(INDEX(OFFSET($B$15,$D$46-15,0,1,4),MATCH(4&amp;","&amp;1,OFFSET($B$15,$F$46-15,0,1,4),0)),""),IF($B$46="Start",IFERROR(INDEX($B$39:$G$39,MATCH(4&amp;","&amp;1,$B$40:$G$40,0)),""),"")))</f>
      </c>
      <c r="F58" s="12">
        <f>IF(OR(5&gt;$B$5,1&gt;$B$6),"X",IF(IFERROR(INDEX(OFFSET($B$15,$D$46-15,0,1,4),MATCH(5&amp;","&amp;1,OFFSET($B$15,$F$46-15,0,1,4),0)),"")&lt;&gt;"",IFERROR(INDEX(OFFSET($B$15,$D$46-15,0,1,4),MATCH(5&amp;","&amp;1,OFFSET($B$15,$F$46-15,0,1,4),0)),""),IF($B$46="Start",IFERROR(INDEX($B$39:$G$39,MATCH(5&amp;","&amp;1,$B$40:$G$40,0)),""),"")))</f>
      </c>
      <c r="G58" s="12">
        <f>IF(OR(6&gt;$B$5,1&gt;$B$6),"X",IF(IFERROR(INDEX(OFFSET($B$15,$D$46-15,0,1,4),MATCH(6&amp;","&amp;1,OFFSET($B$15,$F$46-15,0,1,4),0)),"")&lt;&gt;"",IFERROR(INDEX(OFFSET($B$15,$D$46-15,0,1,4),MATCH(6&amp;","&amp;1,OFFSET($B$15,$F$46-15,0,1,4),0)),""),IF($B$46="Start",IFERROR(INDEX($B$39:$G$39,MATCH(6&amp;","&amp;1,$B$40:$G$40,0)),""),"")))</f>
      </c>
      <c r="H58" s="12">
        <f>IF(OR(7&gt;$B$5,1&gt;$B$6),"X",IF(IFERROR(INDEX(OFFSET($B$15,$D$46-15,0,1,4),MATCH(7&amp;","&amp;1,OFFSET($B$15,$F$46-15,0,1,4),0)),"")&lt;&gt;"",IFERROR(INDEX(OFFSET($B$15,$D$46-15,0,1,4),MATCH(7&amp;","&amp;1,OFFSET($B$15,$F$46-15,0,1,4),0)),""),IF($B$46="Start",IFERROR(INDEX($B$39:$G$39,MATCH(7&amp;","&amp;1,$B$40:$G$40,0)),""),"")))</f>
      </c>
      <c r="I58" s="12">
        <f>IF(OR(8&gt;$B$5,1&gt;$B$6),"X",IF(IFERROR(INDEX(OFFSET($B$15,$D$46-15,0,1,4),MATCH(8&amp;","&amp;1,OFFSET($B$15,$F$46-15,0,1,4),0)),"")&lt;&gt;"",IFERROR(INDEX(OFFSET($B$15,$D$46-15,0,1,4),MATCH(8&amp;","&amp;1,OFFSET($B$15,$F$46-15,0,1,4),0)),""),IF($B$46="Start",IFERROR(INDEX($B$39:$G$39,MATCH(8&amp;","&amp;1,$B$40:$G$40,0)),""),"")))</f>
      </c>
      <c r="J58" s="12">
        <f>IF(OR(9&gt;$B$5,1&gt;$B$6),"X",IF(IFERROR(INDEX(OFFSET($B$15,$D$46-15,0,1,4),MATCH(9&amp;","&amp;1,OFFSET($B$15,$F$46-15,0,1,4),0)),"")&lt;&gt;"",IFERROR(INDEX(OFFSET($B$15,$D$46-15,0,1,4),MATCH(9&amp;","&amp;1,OFFSET($B$15,$F$46-15,0,1,4),0)),""),IF($B$46="Start",IFERROR(INDEX($B$39:$G$39,MATCH(9&amp;","&amp;1,$B$40:$G$40,0)),""),"")))</f>
      </c>
      <c r="K58" s="12">
        <f>IF(OR(10&gt;$B$5,1&gt;$B$6),"X",IF(IFERROR(INDEX(OFFSET($B$15,$D$46-15,0,1,4),MATCH(10&amp;","&amp;1,OFFSET($B$15,$F$46-15,0,1,4),0)),"")&lt;&gt;"",IFERROR(INDEX(OFFSET($B$15,$D$46-15,0,1,4),MATCH(10&amp;","&amp;1,OFFSET($B$15,$F$46-15,0,1,4),0)),""),IF($B$46="Start",IFERROR(INDEX($B$39:$G$39,MATCH(10&amp;","&amp;1,$B$40:$G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E15" showErrorMessage="0" allowBlank="1">
      <formula1>=list_Prefab</formula1>
    </dataValidation>
    <dataValidation type="list" sqref="B17:E17" showErrorMessage="0" allowBlank="1">
      <formula1>=list_Prefab</formula1>
    </dataValidation>
    <dataValidation type="list" sqref="B19:E19" showErrorMessage="0" allowBlank="1">
      <formula1>=list_Prefab</formula1>
    </dataValidation>
    <dataValidation type="list" sqref="B21:E21" showErrorMessage="0" allowBlank="1">
      <formula1>=list_Prefab</formula1>
    </dataValidation>
    <dataValidation type="list" sqref="B23:E23" showErrorMessage="0" allowBlank="1">
      <formula1>=list_Prefab</formula1>
    </dataValidation>
    <dataValidation type="list" sqref="B25:E25" showErrorMessage="0" allowBlank="1">
      <formula1>=list_Prefab</formula1>
    </dataValidation>
    <dataValidation type="list" sqref="B27:E27" showErrorMessage="0" allowBlank="1">
      <formula1>=list_Prefab</formula1>
    </dataValidation>
    <dataValidation type="list" sqref="B29:E29" showErrorMessage="0" allowBlank="1">
      <formula1>=list_Prefab</formula1>
    </dataValidation>
    <dataValidation type="list" sqref="B31:E31" showErrorMessage="0" allowBlank="1">
      <formula1>=list_Prefab</formula1>
    </dataValidation>
    <dataValidation type="list" sqref="B33:E33" showErrorMessage="0" allowBlank="1">
      <formula1>=list_Prefab</formula1>
    </dataValidation>
    <dataValidation type="list" sqref="B35:E35" showErrorMessage="0" allowBlank="1">
      <formula1>=list_Prefab</formula1>
    </dataValidation>
    <dataValidation type="list" sqref="B46" showErrorMessage="0">
      <formula1>=$A$70:$A$70</formula1>
    </dataValidation>
  </dataValidation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73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70</v>
      </c>
    </row>
    <row r="2">
      <c r="A2" s="1" t="s">
        <v>3</v>
      </c>
      <c r="B2" s="0" t="s">
        <v>193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6</v>
      </c>
    </row>
    <row r="6">
      <c r="A6" s="4" t="s">
        <v>91</v>
      </c>
      <c r="B6" s="0">
        <v>7</v>
      </c>
    </row>
    <row r="7">
      <c r="A7" s="4" t="s">
        <v>92</v>
      </c>
      <c r="B7" s="0">
        <v>10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  <c r="C14" s="4" t="s">
        <v>101</v>
      </c>
      <c r="D14" s="4" t="s">
        <v>102</v>
      </c>
    </row>
    <row r="15">
      <c r="A15" s="1" t="s">
        <v>112</v>
      </c>
      <c r="B15" s="0" t="s">
        <v>63</v>
      </c>
      <c r="C15" s="0" t="s">
        <v>36</v>
      </c>
      <c r="D15" s="0" t="s">
        <v>76</v>
      </c>
    </row>
    <row r="16">
      <c r="A16" s="4" t="s">
        <v>113</v>
      </c>
      <c r="B16" s="0" t="s">
        <v>182</v>
      </c>
      <c r="C16" s="0" t="s">
        <v>158</v>
      </c>
      <c r="D16" s="0" t="s">
        <v>194</v>
      </c>
    </row>
    <row r="17">
      <c r="A17" s="1">
        <v>3</v>
      </c>
      <c r="B17" s="0" t="s">
        <v>27</v>
      </c>
      <c r="C17" s="0" t="s">
        <v>86</v>
      </c>
    </row>
    <row r="18">
      <c r="A18" s="4" t="s">
        <v>113</v>
      </c>
      <c r="B18" s="0" t="s">
        <v>195</v>
      </c>
      <c r="C18" s="0" t="s">
        <v>196</v>
      </c>
    </row>
    <row r="19">
      <c r="A19" s="1">
        <v>5</v>
      </c>
      <c r="B19" s="0" t="s">
        <v>85</v>
      </c>
    </row>
    <row r="20">
      <c r="A20" s="4" t="s">
        <v>113</v>
      </c>
      <c r="B20" s="0" t="s">
        <v>197</v>
      </c>
    </row>
    <row r="21">
      <c r="A21" s="1">
        <v>7</v>
      </c>
      <c r="B21" s="0" t="s">
        <v>80</v>
      </c>
      <c r="C21" s="0" t="s">
        <v>73</v>
      </c>
    </row>
    <row r="22">
      <c r="A22" s="4" t="s">
        <v>113</v>
      </c>
      <c r="B22" s="0" t="s">
        <v>120</v>
      </c>
      <c r="C22" s="0" t="s">
        <v>121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</row>
    <row r="40">
      <c r="A40" s="1" t="s">
        <v>132</v>
      </c>
      <c r="B40" s="0" t="s">
        <v>133</v>
      </c>
      <c r="C40" s="0" t="s">
        <v>134</v>
      </c>
      <c r="D40" s="0" t="s">
        <v>167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INDEX($B$70:$B$73,MATCH($B$46,$A$70:$A$73,0))</f>
      </c>
      <c r="E46" s="7" t="s">
        <v>143</v>
      </c>
      <c r="F46" s="8">
        <f>INDEX($C$70:$C$73,MATCH($B$46,$A$70:$A$73,0))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-15,0,1,3),MATCH(1&amp;","&amp;10,OFFSET($B$15,$F$46-15,0,1,3),0)),"")&lt;&gt;"",IFERROR(INDEX(OFFSET($B$15,$D$46-15,0,1,3),MATCH(1&amp;","&amp;10,OFFSET($B$15,$F$46-15,0,1,3),0)),""),IF($B$46="Start",IFERROR(INDEX($B$39:$F$39,MATCH(1&amp;","&amp;10,$B$40:$F$40,0)),""),"")))</f>
      </c>
      <c r="C49" s="12">
        <f>IF(OR(2&gt;$B$5,10&gt;$B$6),"X",IF(IFERROR(INDEX(OFFSET($B$15,$D$46-15,0,1,3),MATCH(2&amp;","&amp;10,OFFSET($B$15,$F$46-15,0,1,3),0)),"")&lt;&gt;"",IFERROR(INDEX(OFFSET($B$15,$D$46-15,0,1,3),MATCH(2&amp;","&amp;10,OFFSET($B$15,$F$46-15,0,1,3),0)),""),IF($B$46="Start",IFERROR(INDEX($B$39:$F$39,MATCH(2&amp;","&amp;10,$B$40:$F$40,0)),""),"")))</f>
      </c>
      <c r="D49" s="12">
        <f>IF(OR(3&gt;$B$5,10&gt;$B$6),"X",IF(IFERROR(INDEX(OFFSET($B$15,$D$46-15,0,1,3),MATCH(3&amp;","&amp;10,OFFSET($B$15,$F$46-15,0,1,3),0)),"")&lt;&gt;"",IFERROR(INDEX(OFFSET($B$15,$D$46-15,0,1,3),MATCH(3&amp;","&amp;10,OFFSET($B$15,$F$46-15,0,1,3),0)),""),IF($B$46="Start",IFERROR(INDEX($B$39:$F$39,MATCH(3&amp;","&amp;10,$B$40:$F$40,0)),""),"")))</f>
      </c>
      <c r="E49" s="12">
        <f>IF(OR(4&gt;$B$5,10&gt;$B$6),"X",IF(IFERROR(INDEX(OFFSET($B$15,$D$46-15,0,1,3),MATCH(4&amp;","&amp;10,OFFSET($B$15,$F$46-15,0,1,3),0)),"")&lt;&gt;"",IFERROR(INDEX(OFFSET($B$15,$D$46-15,0,1,3),MATCH(4&amp;","&amp;10,OFFSET($B$15,$F$46-15,0,1,3),0)),""),IF($B$46="Start",IFERROR(INDEX($B$39:$F$39,MATCH(4&amp;","&amp;10,$B$40:$F$40,0)),""),"")))</f>
      </c>
      <c r="F49" s="12">
        <f>IF(OR(5&gt;$B$5,10&gt;$B$6),"X",IF(IFERROR(INDEX(OFFSET($B$15,$D$46-15,0,1,3),MATCH(5&amp;","&amp;10,OFFSET($B$15,$F$46-15,0,1,3),0)),"")&lt;&gt;"",IFERROR(INDEX(OFFSET($B$15,$D$46-15,0,1,3),MATCH(5&amp;","&amp;10,OFFSET($B$15,$F$46-15,0,1,3),0)),""),IF($B$46="Start",IFERROR(INDEX($B$39:$F$39,MATCH(5&amp;","&amp;10,$B$40:$F$40,0)),""),"")))</f>
      </c>
      <c r="G49" s="12">
        <f>IF(OR(6&gt;$B$5,10&gt;$B$6),"X",IF(IFERROR(INDEX(OFFSET($B$15,$D$46-15,0,1,3),MATCH(6&amp;","&amp;10,OFFSET($B$15,$F$46-15,0,1,3),0)),"")&lt;&gt;"",IFERROR(INDEX(OFFSET($B$15,$D$46-15,0,1,3),MATCH(6&amp;","&amp;10,OFFSET($B$15,$F$46-15,0,1,3),0)),""),IF($B$46="Start",IFERROR(INDEX($B$39:$F$39,MATCH(6&amp;","&amp;10,$B$40:$F$40,0)),""),"")))</f>
      </c>
      <c r="H49" s="12">
        <f>IF(OR(7&gt;$B$5,10&gt;$B$6),"X",IF(IFERROR(INDEX(OFFSET($B$15,$D$46-15,0,1,3),MATCH(7&amp;","&amp;10,OFFSET($B$15,$F$46-15,0,1,3),0)),"")&lt;&gt;"",IFERROR(INDEX(OFFSET($B$15,$D$46-15,0,1,3),MATCH(7&amp;","&amp;10,OFFSET($B$15,$F$46-15,0,1,3),0)),""),IF($B$46="Start",IFERROR(INDEX($B$39:$F$39,MATCH(7&amp;","&amp;10,$B$40:$F$40,0)),""),"")))</f>
      </c>
      <c r="I49" s="12">
        <f>IF(OR(8&gt;$B$5,10&gt;$B$6),"X",IF(IFERROR(INDEX(OFFSET($B$15,$D$46-15,0,1,3),MATCH(8&amp;","&amp;10,OFFSET($B$15,$F$46-15,0,1,3),0)),"")&lt;&gt;"",IFERROR(INDEX(OFFSET($B$15,$D$46-15,0,1,3),MATCH(8&amp;","&amp;10,OFFSET($B$15,$F$46-15,0,1,3),0)),""),IF($B$46="Start",IFERROR(INDEX($B$39:$F$39,MATCH(8&amp;","&amp;10,$B$40:$F$40,0)),""),"")))</f>
      </c>
      <c r="J49" s="12">
        <f>IF(OR(9&gt;$B$5,10&gt;$B$6),"X",IF(IFERROR(INDEX(OFFSET($B$15,$D$46-15,0,1,3),MATCH(9&amp;","&amp;10,OFFSET($B$15,$F$46-15,0,1,3),0)),"")&lt;&gt;"",IFERROR(INDEX(OFFSET($B$15,$D$46-15,0,1,3),MATCH(9&amp;","&amp;10,OFFSET($B$15,$F$46-15,0,1,3),0)),""),IF($B$46="Start",IFERROR(INDEX($B$39:$F$39,MATCH(9&amp;","&amp;10,$B$40:$F$40,0)),""),"")))</f>
      </c>
      <c r="K49" s="12">
        <f>IF(OR(10&gt;$B$5,10&gt;$B$6),"X",IF(IFERROR(INDEX(OFFSET($B$15,$D$46-15,0,1,3),MATCH(10&amp;","&amp;10,OFFSET($B$15,$F$46-15,0,1,3),0)),"")&lt;&gt;"",IFERROR(INDEX(OFFSET($B$15,$D$46-15,0,1,3),MATCH(10&amp;","&amp;10,OFFSET($B$15,$F$46-15,0,1,3),0)),""),IF($B$46="Start",IFERROR(INDEX($B$39:$F$39,MATCH(10&amp;","&amp;10,$B$40:$F$40,0)),""),"")))</f>
      </c>
    </row>
    <row r="50">
      <c r="A50" s="11">
        <v>9</v>
      </c>
      <c r="B50" s="12">
        <f>IF(OR(1&gt;$B$5,9&gt;$B$6),"X",IF(IFERROR(INDEX(OFFSET($B$15,$D$46-15,0,1,3),MATCH(1&amp;","&amp;9,OFFSET($B$15,$F$46-15,0,1,3),0)),"")&lt;&gt;"",IFERROR(INDEX(OFFSET($B$15,$D$46-15,0,1,3),MATCH(1&amp;","&amp;9,OFFSET($B$15,$F$46-15,0,1,3),0)),""),IF($B$46="Start",IFERROR(INDEX($B$39:$F$39,MATCH(1&amp;","&amp;9,$B$40:$F$40,0)),""),"")))</f>
      </c>
      <c r="C50" s="12">
        <f>IF(OR(2&gt;$B$5,9&gt;$B$6),"X",IF(IFERROR(INDEX(OFFSET($B$15,$D$46-15,0,1,3),MATCH(2&amp;","&amp;9,OFFSET($B$15,$F$46-15,0,1,3),0)),"")&lt;&gt;"",IFERROR(INDEX(OFFSET($B$15,$D$46-15,0,1,3),MATCH(2&amp;","&amp;9,OFFSET($B$15,$F$46-15,0,1,3),0)),""),IF($B$46="Start",IFERROR(INDEX($B$39:$F$39,MATCH(2&amp;","&amp;9,$B$40:$F$40,0)),""),"")))</f>
      </c>
      <c r="D50" s="12">
        <f>IF(OR(3&gt;$B$5,9&gt;$B$6),"X",IF(IFERROR(INDEX(OFFSET($B$15,$D$46-15,0,1,3),MATCH(3&amp;","&amp;9,OFFSET($B$15,$F$46-15,0,1,3),0)),"")&lt;&gt;"",IFERROR(INDEX(OFFSET($B$15,$D$46-15,0,1,3),MATCH(3&amp;","&amp;9,OFFSET($B$15,$F$46-15,0,1,3),0)),""),IF($B$46="Start",IFERROR(INDEX($B$39:$F$39,MATCH(3&amp;","&amp;9,$B$40:$F$40,0)),""),"")))</f>
      </c>
      <c r="E50" s="12">
        <f>IF(OR(4&gt;$B$5,9&gt;$B$6),"X",IF(IFERROR(INDEX(OFFSET($B$15,$D$46-15,0,1,3),MATCH(4&amp;","&amp;9,OFFSET($B$15,$F$46-15,0,1,3),0)),"")&lt;&gt;"",IFERROR(INDEX(OFFSET($B$15,$D$46-15,0,1,3),MATCH(4&amp;","&amp;9,OFFSET($B$15,$F$46-15,0,1,3),0)),""),IF($B$46="Start",IFERROR(INDEX($B$39:$F$39,MATCH(4&amp;","&amp;9,$B$40:$F$40,0)),""),"")))</f>
      </c>
      <c r="F50" s="12">
        <f>IF(OR(5&gt;$B$5,9&gt;$B$6),"X",IF(IFERROR(INDEX(OFFSET($B$15,$D$46-15,0,1,3),MATCH(5&amp;","&amp;9,OFFSET($B$15,$F$46-15,0,1,3),0)),"")&lt;&gt;"",IFERROR(INDEX(OFFSET($B$15,$D$46-15,0,1,3),MATCH(5&amp;","&amp;9,OFFSET($B$15,$F$46-15,0,1,3),0)),""),IF($B$46="Start",IFERROR(INDEX($B$39:$F$39,MATCH(5&amp;","&amp;9,$B$40:$F$40,0)),""),"")))</f>
      </c>
      <c r="G50" s="12">
        <f>IF(OR(6&gt;$B$5,9&gt;$B$6),"X",IF(IFERROR(INDEX(OFFSET($B$15,$D$46-15,0,1,3),MATCH(6&amp;","&amp;9,OFFSET($B$15,$F$46-15,0,1,3),0)),"")&lt;&gt;"",IFERROR(INDEX(OFFSET($B$15,$D$46-15,0,1,3),MATCH(6&amp;","&amp;9,OFFSET($B$15,$F$46-15,0,1,3),0)),""),IF($B$46="Start",IFERROR(INDEX($B$39:$F$39,MATCH(6&amp;","&amp;9,$B$40:$F$40,0)),""),"")))</f>
      </c>
      <c r="H50" s="12">
        <f>IF(OR(7&gt;$B$5,9&gt;$B$6),"X",IF(IFERROR(INDEX(OFFSET($B$15,$D$46-15,0,1,3),MATCH(7&amp;","&amp;9,OFFSET($B$15,$F$46-15,0,1,3),0)),"")&lt;&gt;"",IFERROR(INDEX(OFFSET($B$15,$D$46-15,0,1,3),MATCH(7&amp;","&amp;9,OFFSET($B$15,$F$46-15,0,1,3),0)),""),IF($B$46="Start",IFERROR(INDEX($B$39:$F$39,MATCH(7&amp;","&amp;9,$B$40:$F$40,0)),""),"")))</f>
      </c>
      <c r="I50" s="12">
        <f>IF(OR(8&gt;$B$5,9&gt;$B$6),"X",IF(IFERROR(INDEX(OFFSET($B$15,$D$46-15,0,1,3),MATCH(8&amp;","&amp;9,OFFSET($B$15,$F$46-15,0,1,3),0)),"")&lt;&gt;"",IFERROR(INDEX(OFFSET($B$15,$D$46-15,0,1,3),MATCH(8&amp;","&amp;9,OFFSET($B$15,$F$46-15,0,1,3),0)),""),IF($B$46="Start",IFERROR(INDEX($B$39:$F$39,MATCH(8&amp;","&amp;9,$B$40:$F$40,0)),""),"")))</f>
      </c>
      <c r="J50" s="12">
        <f>IF(OR(9&gt;$B$5,9&gt;$B$6),"X",IF(IFERROR(INDEX(OFFSET($B$15,$D$46-15,0,1,3),MATCH(9&amp;","&amp;9,OFFSET($B$15,$F$46-15,0,1,3),0)),"")&lt;&gt;"",IFERROR(INDEX(OFFSET($B$15,$D$46-15,0,1,3),MATCH(9&amp;","&amp;9,OFFSET($B$15,$F$46-15,0,1,3),0)),""),IF($B$46="Start",IFERROR(INDEX($B$39:$F$39,MATCH(9&amp;","&amp;9,$B$40:$F$40,0)),""),"")))</f>
      </c>
      <c r="K50" s="12">
        <f>IF(OR(10&gt;$B$5,9&gt;$B$6),"X",IF(IFERROR(INDEX(OFFSET($B$15,$D$46-15,0,1,3),MATCH(10&amp;","&amp;9,OFFSET($B$15,$F$46-15,0,1,3),0)),"")&lt;&gt;"",IFERROR(INDEX(OFFSET($B$15,$D$46-15,0,1,3),MATCH(10&amp;","&amp;9,OFFSET($B$15,$F$46-15,0,1,3),0)),""),IF($B$46="Start",IFERROR(INDEX($B$39:$F$39,MATCH(10&amp;","&amp;9,$B$40:$F$40,0)),""),"")))</f>
      </c>
    </row>
    <row r="51">
      <c r="A51" s="11">
        <v>8</v>
      </c>
      <c r="B51" s="12">
        <f>IF(OR(1&gt;$B$5,8&gt;$B$6),"X",IF(IFERROR(INDEX(OFFSET($B$15,$D$46-15,0,1,3),MATCH(1&amp;","&amp;8,OFFSET($B$15,$F$46-15,0,1,3),0)),"")&lt;&gt;"",IFERROR(INDEX(OFFSET($B$15,$D$46-15,0,1,3),MATCH(1&amp;","&amp;8,OFFSET($B$15,$F$46-15,0,1,3),0)),""),IF($B$46="Start",IFERROR(INDEX($B$39:$F$39,MATCH(1&amp;","&amp;8,$B$40:$F$40,0)),""),"")))</f>
      </c>
      <c r="C51" s="12">
        <f>IF(OR(2&gt;$B$5,8&gt;$B$6),"X",IF(IFERROR(INDEX(OFFSET($B$15,$D$46-15,0,1,3),MATCH(2&amp;","&amp;8,OFFSET($B$15,$F$46-15,0,1,3),0)),"")&lt;&gt;"",IFERROR(INDEX(OFFSET($B$15,$D$46-15,0,1,3),MATCH(2&amp;","&amp;8,OFFSET($B$15,$F$46-15,0,1,3),0)),""),IF($B$46="Start",IFERROR(INDEX($B$39:$F$39,MATCH(2&amp;","&amp;8,$B$40:$F$40,0)),""),"")))</f>
      </c>
      <c r="D51" s="12">
        <f>IF(OR(3&gt;$B$5,8&gt;$B$6),"X",IF(IFERROR(INDEX(OFFSET($B$15,$D$46-15,0,1,3),MATCH(3&amp;","&amp;8,OFFSET($B$15,$F$46-15,0,1,3),0)),"")&lt;&gt;"",IFERROR(INDEX(OFFSET($B$15,$D$46-15,0,1,3),MATCH(3&amp;","&amp;8,OFFSET($B$15,$F$46-15,0,1,3),0)),""),IF($B$46="Start",IFERROR(INDEX($B$39:$F$39,MATCH(3&amp;","&amp;8,$B$40:$F$40,0)),""),"")))</f>
      </c>
      <c r="E51" s="12">
        <f>IF(OR(4&gt;$B$5,8&gt;$B$6),"X",IF(IFERROR(INDEX(OFFSET($B$15,$D$46-15,0,1,3),MATCH(4&amp;","&amp;8,OFFSET($B$15,$F$46-15,0,1,3),0)),"")&lt;&gt;"",IFERROR(INDEX(OFFSET($B$15,$D$46-15,0,1,3),MATCH(4&amp;","&amp;8,OFFSET($B$15,$F$46-15,0,1,3),0)),""),IF($B$46="Start",IFERROR(INDEX($B$39:$F$39,MATCH(4&amp;","&amp;8,$B$40:$F$40,0)),""),"")))</f>
      </c>
      <c r="F51" s="12">
        <f>IF(OR(5&gt;$B$5,8&gt;$B$6),"X",IF(IFERROR(INDEX(OFFSET($B$15,$D$46-15,0,1,3),MATCH(5&amp;","&amp;8,OFFSET($B$15,$F$46-15,0,1,3),0)),"")&lt;&gt;"",IFERROR(INDEX(OFFSET($B$15,$D$46-15,0,1,3),MATCH(5&amp;","&amp;8,OFFSET($B$15,$F$46-15,0,1,3),0)),""),IF($B$46="Start",IFERROR(INDEX($B$39:$F$39,MATCH(5&amp;","&amp;8,$B$40:$F$40,0)),""),"")))</f>
      </c>
      <c r="G51" s="12">
        <f>IF(OR(6&gt;$B$5,8&gt;$B$6),"X",IF(IFERROR(INDEX(OFFSET($B$15,$D$46-15,0,1,3),MATCH(6&amp;","&amp;8,OFFSET($B$15,$F$46-15,0,1,3),0)),"")&lt;&gt;"",IFERROR(INDEX(OFFSET($B$15,$D$46-15,0,1,3),MATCH(6&amp;","&amp;8,OFFSET($B$15,$F$46-15,0,1,3),0)),""),IF($B$46="Start",IFERROR(INDEX($B$39:$F$39,MATCH(6&amp;","&amp;8,$B$40:$F$40,0)),""),"")))</f>
      </c>
      <c r="H51" s="12">
        <f>IF(OR(7&gt;$B$5,8&gt;$B$6),"X",IF(IFERROR(INDEX(OFFSET($B$15,$D$46-15,0,1,3),MATCH(7&amp;","&amp;8,OFFSET($B$15,$F$46-15,0,1,3),0)),"")&lt;&gt;"",IFERROR(INDEX(OFFSET($B$15,$D$46-15,0,1,3),MATCH(7&amp;","&amp;8,OFFSET($B$15,$F$46-15,0,1,3),0)),""),IF($B$46="Start",IFERROR(INDEX($B$39:$F$39,MATCH(7&amp;","&amp;8,$B$40:$F$40,0)),""),"")))</f>
      </c>
      <c r="I51" s="12">
        <f>IF(OR(8&gt;$B$5,8&gt;$B$6),"X",IF(IFERROR(INDEX(OFFSET($B$15,$D$46-15,0,1,3),MATCH(8&amp;","&amp;8,OFFSET($B$15,$F$46-15,0,1,3),0)),"")&lt;&gt;"",IFERROR(INDEX(OFFSET($B$15,$D$46-15,0,1,3),MATCH(8&amp;","&amp;8,OFFSET($B$15,$F$46-15,0,1,3),0)),""),IF($B$46="Start",IFERROR(INDEX($B$39:$F$39,MATCH(8&amp;","&amp;8,$B$40:$F$40,0)),""),"")))</f>
      </c>
      <c r="J51" s="12">
        <f>IF(OR(9&gt;$B$5,8&gt;$B$6),"X",IF(IFERROR(INDEX(OFFSET($B$15,$D$46-15,0,1,3),MATCH(9&amp;","&amp;8,OFFSET($B$15,$F$46-15,0,1,3),0)),"")&lt;&gt;"",IFERROR(INDEX(OFFSET($B$15,$D$46-15,0,1,3),MATCH(9&amp;","&amp;8,OFFSET($B$15,$F$46-15,0,1,3),0)),""),IF($B$46="Start",IFERROR(INDEX($B$39:$F$39,MATCH(9&amp;","&amp;8,$B$40:$F$40,0)),""),"")))</f>
      </c>
      <c r="K51" s="12">
        <f>IF(OR(10&gt;$B$5,8&gt;$B$6),"X",IF(IFERROR(INDEX(OFFSET($B$15,$D$46-15,0,1,3),MATCH(10&amp;","&amp;8,OFFSET($B$15,$F$46-15,0,1,3),0)),"")&lt;&gt;"",IFERROR(INDEX(OFFSET($B$15,$D$46-15,0,1,3),MATCH(10&amp;","&amp;8,OFFSET($B$15,$F$46-15,0,1,3),0)),""),IF($B$46="Start",IFERROR(INDEX($B$39:$F$39,MATCH(10&amp;","&amp;8,$B$40:$F$40,0)),""),"")))</f>
      </c>
    </row>
    <row r="52">
      <c r="A52" s="11">
        <v>7</v>
      </c>
      <c r="B52" s="12">
        <f>IF(OR(1&gt;$B$5,7&gt;$B$6),"X",IF(IFERROR(INDEX(OFFSET($B$15,$D$46-15,0,1,3),MATCH(1&amp;","&amp;7,OFFSET($B$15,$F$46-15,0,1,3),0)),"")&lt;&gt;"",IFERROR(INDEX(OFFSET($B$15,$D$46-15,0,1,3),MATCH(1&amp;","&amp;7,OFFSET($B$15,$F$46-15,0,1,3),0)),""),IF($B$46="Start",IFERROR(INDEX($B$39:$F$39,MATCH(1&amp;","&amp;7,$B$40:$F$40,0)),""),"")))</f>
      </c>
      <c r="C52" s="12">
        <f>IF(OR(2&gt;$B$5,7&gt;$B$6),"X",IF(IFERROR(INDEX(OFFSET($B$15,$D$46-15,0,1,3),MATCH(2&amp;","&amp;7,OFFSET($B$15,$F$46-15,0,1,3),0)),"")&lt;&gt;"",IFERROR(INDEX(OFFSET($B$15,$D$46-15,0,1,3),MATCH(2&amp;","&amp;7,OFFSET($B$15,$F$46-15,0,1,3),0)),""),IF($B$46="Start",IFERROR(INDEX($B$39:$F$39,MATCH(2&amp;","&amp;7,$B$40:$F$40,0)),""),"")))</f>
      </c>
      <c r="D52" s="12">
        <f>IF(OR(3&gt;$B$5,7&gt;$B$6),"X",IF(IFERROR(INDEX(OFFSET($B$15,$D$46-15,0,1,3),MATCH(3&amp;","&amp;7,OFFSET($B$15,$F$46-15,0,1,3),0)),"")&lt;&gt;"",IFERROR(INDEX(OFFSET($B$15,$D$46-15,0,1,3),MATCH(3&amp;","&amp;7,OFFSET($B$15,$F$46-15,0,1,3),0)),""),IF($B$46="Start",IFERROR(INDEX($B$39:$F$39,MATCH(3&amp;","&amp;7,$B$40:$F$40,0)),""),"")))</f>
      </c>
      <c r="E52" s="12">
        <f>IF(OR(4&gt;$B$5,7&gt;$B$6),"X",IF(IFERROR(INDEX(OFFSET($B$15,$D$46-15,0,1,3),MATCH(4&amp;","&amp;7,OFFSET($B$15,$F$46-15,0,1,3),0)),"")&lt;&gt;"",IFERROR(INDEX(OFFSET($B$15,$D$46-15,0,1,3),MATCH(4&amp;","&amp;7,OFFSET($B$15,$F$46-15,0,1,3),0)),""),IF($B$46="Start",IFERROR(INDEX($B$39:$F$39,MATCH(4&amp;","&amp;7,$B$40:$F$40,0)),""),"")))</f>
      </c>
      <c r="F52" s="12">
        <f>IF(OR(5&gt;$B$5,7&gt;$B$6),"X",IF(IFERROR(INDEX(OFFSET($B$15,$D$46-15,0,1,3),MATCH(5&amp;","&amp;7,OFFSET($B$15,$F$46-15,0,1,3),0)),"")&lt;&gt;"",IFERROR(INDEX(OFFSET($B$15,$D$46-15,0,1,3),MATCH(5&amp;","&amp;7,OFFSET($B$15,$F$46-15,0,1,3),0)),""),IF($B$46="Start",IFERROR(INDEX($B$39:$F$39,MATCH(5&amp;","&amp;7,$B$40:$F$40,0)),""),"")))</f>
      </c>
      <c r="G52" s="12">
        <f>IF(OR(6&gt;$B$5,7&gt;$B$6),"X",IF(IFERROR(INDEX(OFFSET($B$15,$D$46-15,0,1,3),MATCH(6&amp;","&amp;7,OFFSET($B$15,$F$46-15,0,1,3),0)),"")&lt;&gt;"",IFERROR(INDEX(OFFSET($B$15,$D$46-15,0,1,3),MATCH(6&amp;","&amp;7,OFFSET($B$15,$F$46-15,0,1,3),0)),""),IF($B$46="Start",IFERROR(INDEX($B$39:$F$39,MATCH(6&amp;","&amp;7,$B$40:$F$40,0)),""),"")))</f>
      </c>
      <c r="H52" s="12">
        <f>IF(OR(7&gt;$B$5,7&gt;$B$6),"X",IF(IFERROR(INDEX(OFFSET($B$15,$D$46-15,0,1,3),MATCH(7&amp;","&amp;7,OFFSET($B$15,$F$46-15,0,1,3),0)),"")&lt;&gt;"",IFERROR(INDEX(OFFSET($B$15,$D$46-15,0,1,3),MATCH(7&amp;","&amp;7,OFFSET($B$15,$F$46-15,0,1,3),0)),""),IF($B$46="Start",IFERROR(INDEX($B$39:$F$39,MATCH(7&amp;","&amp;7,$B$40:$F$40,0)),""),"")))</f>
      </c>
      <c r="I52" s="12">
        <f>IF(OR(8&gt;$B$5,7&gt;$B$6),"X",IF(IFERROR(INDEX(OFFSET($B$15,$D$46-15,0,1,3),MATCH(8&amp;","&amp;7,OFFSET($B$15,$F$46-15,0,1,3),0)),"")&lt;&gt;"",IFERROR(INDEX(OFFSET($B$15,$D$46-15,0,1,3),MATCH(8&amp;","&amp;7,OFFSET($B$15,$F$46-15,0,1,3),0)),""),IF($B$46="Start",IFERROR(INDEX($B$39:$F$39,MATCH(8&amp;","&amp;7,$B$40:$F$40,0)),""),"")))</f>
      </c>
      <c r="J52" s="12">
        <f>IF(OR(9&gt;$B$5,7&gt;$B$6),"X",IF(IFERROR(INDEX(OFFSET($B$15,$D$46-15,0,1,3),MATCH(9&amp;","&amp;7,OFFSET($B$15,$F$46-15,0,1,3),0)),"")&lt;&gt;"",IFERROR(INDEX(OFFSET($B$15,$D$46-15,0,1,3),MATCH(9&amp;","&amp;7,OFFSET($B$15,$F$46-15,0,1,3),0)),""),IF($B$46="Start",IFERROR(INDEX($B$39:$F$39,MATCH(9&amp;","&amp;7,$B$40:$F$40,0)),""),"")))</f>
      </c>
      <c r="K52" s="12">
        <f>IF(OR(10&gt;$B$5,7&gt;$B$6),"X",IF(IFERROR(INDEX(OFFSET($B$15,$D$46-15,0,1,3),MATCH(10&amp;","&amp;7,OFFSET($B$15,$F$46-15,0,1,3),0)),"")&lt;&gt;"",IFERROR(INDEX(OFFSET($B$15,$D$46-15,0,1,3),MATCH(10&amp;","&amp;7,OFFSET($B$15,$F$46-15,0,1,3),0)),""),IF($B$46="Start",IFERROR(INDEX($B$39:$F$39,MATCH(10&amp;","&amp;7,$B$40:$F$40,0)),""),"")))</f>
      </c>
    </row>
    <row r="53">
      <c r="A53" s="11">
        <v>6</v>
      </c>
      <c r="B53" s="12">
        <f>IF(OR(1&gt;$B$5,6&gt;$B$6),"X",IF(IFERROR(INDEX(OFFSET($B$15,$D$46-15,0,1,3),MATCH(1&amp;","&amp;6,OFFSET($B$15,$F$46-15,0,1,3),0)),"")&lt;&gt;"",IFERROR(INDEX(OFFSET($B$15,$D$46-15,0,1,3),MATCH(1&amp;","&amp;6,OFFSET($B$15,$F$46-15,0,1,3),0)),""),IF($B$46="Start",IFERROR(INDEX($B$39:$F$39,MATCH(1&amp;","&amp;6,$B$40:$F$40,0)),""),"")))</f>
      </c>
      <c r="C53" s="12">
        <f>IF(OR(2&gt;$B$5,6&gt;$B$6),"X",IF(IFERROR(INDEX(OFFSET($B$15,$D$46-15,0,1,3),MATCH(2&amp;","&amp;6,OFFSET($B$15,$F$46-15,0,1,3),0)),"")&lt;&gt;"",IFERROR(INDEX(OFFSET($B$15,$D$46-15,0,1,3),MATCH(2&amp;","&amp;6,OFFSET($B$15,$F$46-15,0,1,3),0)),""),IF($B$46="Start",IFERROR(INDEX($B$39:$F$39,MATCH(2&amp;","&amp;6,$B$40:$F$40,0)),""),"")))</f>
      </c>
      <c r="D53" s="12">
        <f>IF(OR(3&gt;$B$5,6&gt;$B$6),"X",IF(IFERROR(INDEX(OFFSET($B$15,$D$46-15,0,1,3),MATCH(3&amp;","&amp;6,OFFSET($B$15,$F$46-15,0,1,3),0)),"")&lt;&gt;"",IFERROR(INDEX(OFFSET($B$15,$D$46-15,0,1,3),MATCH(3&amp;","&amp;6,OFFSET($B$15,$F$46-15,0,1,3),0)),""),IF($B$46="Start",IFERROR(INDEX($B$39:$F$39,MATCH(3&amp;","&amp;6,$B$40:$F$40,0)),""),"")))</f>
      </c>
      <c r="E53" s="12">
        <f>IF(OR(4&gt;$B$5,6&gt;$B$6),"X",IF(IFERROR(INDEX(OFFSET($B$15,$D$46-15,0,1,3),MATCH(4&amp;","&amp;6,OFFSET($B$15,$F$46-15,0,1,3),0)),"")&lt;&gt;"",IFERROR(INDEX(OFFSET($B$15,$D$46-15,0,1,3),MATCH(4&amp;","&amp;6,OFFSET($B$15,$F$46-15,0,1,3),0)),""),IF($B$46="Start",IFERROR(INDEX($B$39:$F$39,MATCH(4&amp;","&amp;6,$B$40:$F$40,0)),""),"")))</f>
      </c>
      <c r="F53" s="12">
        <f>IF(OR(5&gt;$B$5,6&gt;$B$6),"X",IF(IFERROR(INDEX(OFFSET($B$15,$D$46-15,0,1,3),MATCH(5&amp;","&amp;6,OFFSET($B$15,$F$46-15,0,1,3),0)),"")&lt;&gt;"",IFERROR(INDEX(OFFSET($B$15,$D$46-15,0,1,3),MATCH(5&amp;","&amp;6,OFFSET($B$15,$F$46-15,0,1,3),0)),""),IF($B$46="Start",IFERROR(INDEX($B$39:$F$39,MATCH(5&amp;","&amp;6,$B$40:$F$40,0)),""),"")))</f>
      </c>
      <c r="G53" s="12">
        <f>IF(OR(6&gt;$B$5,6&gt;$B$6),"X",IF(IFERROR(INDEX(OFFSET($B$15,$D$46-15,0,1,3),MATCH(6&amp;","&amp;6,OFFSET($B$15,$F$46-15,0,1,3),0)),"")&lt;&gt;"",IFERROR(INDEX(OFFSET($B$15,$D$46-15,0,1,3),MATCH(6&amp;","&amp;6,OFFSET($B$15,$F$46-15,0,1,3),0)),""),IF($B$46="Start",IFERROR(INDEX($B$39:$F$39,MATCH(6&amp;","&amp;6,$B$40:$F$40,0)),""),"")))</f>
      </c>
      <c r="H53" s="12">
        <f>IF(OR(7&gt;$B$5,6&gt;$B$6),"X",IF(IFERROR(INDEX(OFFSET($B$15,$D$46-15,0,1,3),MATCH(7&amp;","&amp;6,OFFSET($B$15,$F$46-15,0,1,3),0)),"")&lt;&gt;"",IFERROR(INDEX(OFFSET($B$15,$D$46-15,0,1,3),MATCH(7&amp;","&amp;6,OFFSET($B$15,$F$46-15,0,1,3),0)),""),IF($B$46="Start",IFERROR(INDEX($B$39:$F$39,MATCH(7&amp;","&amp;6,$B$40:$F$40,0)),""),"")))</f>
      </c>
      <c r="I53" s="12">
        <f>IF(OR(8&gt;$B$5,6&gt;$B$6),"X",IF(IFERROR(INDEX(OFFSET($B$15,$D$46-15,0,1,3),MATCH(8&amp;","&amp;6,OFFSET($B$15,$F$46-15,0,1,3),0)),"")&lt;&gt;"",IFERROR(INDEX(OFFSET($B$15,$D$46-15,0,1,3),MATCH(8&amp;","&amp;6,OFFSET($B$15,$F$46-15,0,1,3),0)),""),IF($B$46="Start",IFERROR(INDEX($B$39:$F$39,MATCH(8&amp;","&amp;6,$B$40:$F$40,0)),""),"")))</f>
      </c>
      <c r="J53" s="12">
        <f>IF(OR(9&gt;$B$5,6&gt;$B$6),"X",IF(IFERROR(INDEX(OFFSET($B$15,$D$46-15,0,1,3),MATCH(9&amp;","&amp;6,OFFSET($B$15,$F$46-15,0,1,3),0)),"")&lt;&gt;"",IFERROR(INDEX(OFFSET($B$15,$D$46-15,0,1,3),MATCH(9&amp;","&amp;6,OFFSET($B$15,$F$46-15,0,1,3),0)),""),IF($B$46="Start",IFERROR(INDEX($B$39:$F$39,MATCH(9&amp;","&amp;6,$B$40:$F$40,0)),""),"")))</f>
      </c>
      <c r="K53" s="12">
        <f>IF(OR(10&gt;$B$5,6&gt;$B$6),"X",IF(IFERROR(INDEX(OFFSET($B$15,$D$46-15,0,1,3),MATCH(10&amp;","&amp;6,OFFSET($B$15,$F$46-15,0,1,3),0)),"")&lt;&gt;"",IFERROR(INDEX(OFFSET($B$15,$D$46-15,0,1,3),MATCH(10&amp;","&amp;6,OFFSET($B$15,$F$46-15,0,1,3),0)),""),IF($B$46="Start",IFERROR(INDEX($B$39:$F$39,MATCH(10&amp;","&amp;6,$B$40:$F$40,0)),""),"")))</f>
      </c>
    </row>
    <row r="54">
      <c r="A54" s="11">
        <v>5</v>
      </c>
      <c r="B54" s="12">
        <f>IF(OR(1&gt;$B$5,5&gt;$B$6),"X",IF(IFERROR(INDEX(OFFSET($B$15,$D$46-15,0,1,3),MATCH(1&amp;","&amp;5,OFFSET($B$15,$F$46-15,0,1,3),0)),"")&lt;&gt;"",IFERROR(INDEX(OFFSET($B$15,$D$46-15,0,1,3),MATCH(1&amp;","&amp;5,OFFSET($B$15,$F$46-15,0,1,3),0)),""),IF($B$46="Start",IFERROR(INDEX($B$39:$F$39,MATCH(1&amp;","&amp;5,$B$40:$F$40,0)),""),"")))</f>
      </c>
      <c r="C54" s="12">
        <f>IF(OR(2&gt;$B$5,5&gt;$B$6),"X",IF(IFERROR(INDEX(OFFSET($B$15,$D$46-15,0,1,3),MATCH(2&amp;","&amp;5,OFFSET($B$15,$F$46-15,0,1,3),0)),"")&lt;&gt;"",IFERROR(INDEX(OFFSET($B$15,$D$46-15,0,1,3),MATCH(2&amp;","&amp;5,OFFSET($B$15,$F$46-15,0,1,3),0)),""),IF($B$46="Start",IFERROR(INDEX($B$39:$F$39,MATCH(2&amp;","&amp;5,$B$40:$F$40,0)),""),"")))</f>
      </c>
      <c r="D54" s="12">
        <f>IF(OR(3&gt;$B$5,5&gt;$B$6),"X",IF(IFERROR(INDEX(OFFSET($B$15,$D$46-15,0,1,3),MATCH(3&amp;","&amp;5,OFFSET($B$15,$F$46-15,0,1,3),0)),"")&lt;&gt;"",IFERROR(INDEX(OFFSET($B$15,$D$46-15,0,1,3),MATCH(3&amp;","&amp;5,OFFSET($B$15,$F$46-15,0,1,3),0)),""),IF($B$46="Start",IFERROR(INDEX($B$39:$F$39,MATCH(3&amp;","&amp;5,$B$40:$F$40,0)),""),"")))</f>
      </c>
      <c r="E54" s="12">
        <f>IF(OR(4&gt;$B$5,5&gt;$B$6),"X",IF(IFERROR(INDEX(OFFSET($B$15,$D$46-15,0,1,3),MATCH(4&amp;","&amp;5,OFFSET($B$15,$F$46-15,0,1,3),0)),"")&lt;&gt;"",IFERROR(INDEX(OFFSET($B$15,$D$46-15,0,1,3),MATCH(4&amp;","&amp;5,OFFSET($B$15,$F$46-15,0,1,3),0)),""),IF($B$46="Start",IFERROR(INDEX($B$39:$F$39,MATCH(4&amp;","&amp;5,$B$40:$F$40,0)),""),"")))</f>
      </c>
      <c r="F54" s="12">
        <f>IF(OR(5&gt;$B$5,5&gt;$B$6),"X",IF(IFERROR(INDEX(OFFSET($B$15,$D$46-15,0,1,3),MATCH(5&amp;","&amp;5,OFFSET($B$15,$F$46-15,0,1,3),0)),"")&lt;&gt;"",IFERROR(INDEX(OFFSET($B$15,$D$46-15,0,1,3),MATCH(5&amp;","&amp;5,OFFSET($B$15,$F$46-15,0,1,3),0)),""),IF($B$46="Start",IFERROR(INDEX($B$39:$F$39,MATCH(5&amp;","&amp;5,$B$40:$F$40,0)),""),"")))</f>
      </c>
      <c r="G54" s="12">
        <f>IF(OR(6&gt;$B$5,5&gt;$B$6),"X",IF(IFERROR(INDEX(OFFSET($B$15,$D$46-15,0,1,3),MATCH(6&amp;","&amp;5,OFFSET($B$15,$F$46-15,0,1,3),0)),"")&lt;&gt;"",IFERROR(INDEX(OFFSET($B$15,$D$46-15,0,1,3),MATCH(6&amp;","&amp;5,OFFSET($B$15,$F$46-15,0,1,3),0)),""),IF($B$46="Start",IFERROR(INDEX($B$39:$F$39,MATCH(6&amp;","&amp;5,$B$40:$F$40,0)),""),"")))</f>
      </c>
      <c r="H54" s="12">
        <f>IF(OR(7&gt;$B$5,5&gt;$B$6),"X",IF(IFERROR(INDEX(OFFSET($B$15,$D$46-15,0,1,3),MATCH(7&amp;","&amp;5,OFFSET($B$15,$F$46-15,0,1,3),0)),"")&lt;&gt;"",IFERROR(INDEX(OFFSET($B$15,$D$46-15,0,1,3),MATCH(7&amp;","&amp;5,OFFSET($B$15,$F$46-15,0,1,3),0)),""),IF($B$46="Start",IFERROR(INDEX($B$39:$F$39,MATCH(7&amp;","&amp;5,$B$40:$F$40,0)),""),"")))</f>
      </c>
      <c r="I54" s="12">
        <f>IF(OR(8&gt;$B$5,5&gt;$B$6),"X",IF(IFERROR(INDEX(OFFSET($B$15,$D$46-15,0,1,3),MATCH(8&amp;","&amp;5,OFFSET($B$15,$F$46-15,0,1,3),0)),"")&lt;&gt;"",IFERROR(INDEX(OFFSET($B$15,$D$46-15,0,1,3),MATCH(8&amp;","&amp;5,OFFSET($B$15,$F$46-15,0,1,3),0)),""),IF($B$46="Start",IFERROR(INDEX($B$39:$F$39,MATCH(8&amp;","&amp;5,$B$40:$F$40,0)),""),"")))</f>
      </c>
      <c r="J54" s="12">
        <f>IF(OR(9&gt;$B$5,5&gt;$B$6),"X",IF(IFERROR(INDEX(OFFSET($B$15,$D$46-15,0,1,3),MATCH(9&amp;","&amp;5,OFFSET($B$15,$F$46-15,0,1,3),0)),"")&lt;&gt;"",IFERROR(INDEX(OFFSET($B$15,$D$46-15,0,1,3),MATCH(9&amp;","&amp;5,OFFSET($B$15,$F$46-15,0,1,3),0)),""),IF($B$46="Start",IFERROR(INDEX($B$39:$F$39,MATCH(9&amp;","&amp;5,$B$40:$F$40,0)),""),"")))</f>
      </c>
      <c r="K54" s="12">
        <f>IF(OR(10&gt;$B$5,5&gt;$B$6),"X",IF(IFERROR(INDEX(OFFSET($B$15,$D$46-15,0,1,3),MATCH(10&amp;","&amp;5,OFFSET($B$15,$F$46-15,0,1,3),0)),"")&lt;&gt;"",IFERROR(INDEX(OFFSET($B$15,$D$46-15,0,1,3),MATCH(10&amp;","&amp;5,OFFSET($B$15,$F$46-15,0,1,3),0)),""),IF($B$46="Start",IFERROR(INDEX($B$39:$F$39,MATCH(10&amp;","&amp;5,$B$40:$F$40,0)),""),"")))</f>
      </c>
    </row>
    <row r="55">
      <c r="A55" s="11">
        <v>4</v>
      </c>
      <c r="B55" s="12">
        <f>IF(OR(1&gt;$B$5,4&gt;$B$6),"X",IF(IFERROR(INDEX(OFFSET($B$15,$D$46-15,0,1,3),MATCH(1&amp;","&amp;4,OFFSET($B$15,$F$46-15,0,1,3),0)),"")&lt;&gt;"",IFERROR(INDEX(OFFSET($B$15,$D$46-15,0,1,3),MATCH(1&amp;","&amp;4,OFFSET($B$15,$F$46-15,0,1,3),0)),""),IF($B$46="Start",IFERROR(INDEX($B$39:$F$39,MATCH(1&amp;","&amp;4,$B$40:$F$40,0)),""),"")))</f>
      </c>
      <c r="C55" s="12">
        <f>IF(OR(2&gt;$B$5,4&gt;$B$6),"X",IF(IFERROR(INDEX(OFFSET($B$15,$D$46-15,0,1,3),MATCH(2&amp;","&amp;4,OFFSET($B$15,$F$46-15,0,1,3),0)),"")&lt;&gt;"",IFERROR(INDEX(OFFSET($B$15,$D$46-15,0,1,3),MATCH(2&amp;","&amp;4,OFFSET($B$15,$F$46-15,0,1,3),0)),""),IF($B$46="Start",IFERROR(INDEX($B$39:$F$39,MATCH(2&amp;","&amp;4,$B$40:$F$40,0)),""),"")))</f>
      </c>
      <c r="D55" s="12">
        <f>IF(OR(3&gt;$B$5,4&gt;$B$6),"X",IF(IFERROR(INDEX(OFFSET($B$15,$D$46-15,0,1,3),MATCH(3&amp;","&amp;4,OFFSET($B$15,$F$46-15,0,1,3),0)),"")&lt;&gt;"",IFERROR(INDEX(OFFSET($B$15,$D$46-15,0,1,3),MATCH(3&amp;","&amp;4,OFFSET($B$15,$F$46-15,0,1,3),0)),""),IF($B$46="Start",IFERROR(INDEX($B$39:$F$39,MATCH(3&amp;","&amp;4,$B$40:$F$40,0)),""),"")))</f>
      </c>
      <c r="E55" s="12">
        <f>IF(OR(4&gt;$B$5,4&gt;$B$6),"X",IF(IFERROR(INDEX(OFFSET($B$15,$D$46-15,0,1,3),MATCH(4&amp;","&amp;4,OFFSET($B$15,$F$46-15,0,1,3),0)),"")&lt;&gt;"",IFERROR(INDEX(OFFSET($B$15,$D$46-15,0,1,3),MATCH(4&amp;","&amp;4,OFFSET($B$15,$F$46-15,0,1,3),0)),""),IF($B$46="Start",IFERROR(INDEX($B$39:$F$39,MATCH(4&amp;","&amp;4,$B$40:$F$40,0)),""),"")))</f>
      </c>
      <c r="F55" s="12">
        <f>IF(OR(5&gt;$B$5,4&gt;$B$6),"X",IF(IFERROR(INDEX(OFFSET($B$15,$D$46-15,0,1,3),MATCH(5&amp;","&amp;4,OFFSET($B$15,$F$46-15,0,1,3),0)),"")&lt;&gt;"",IFERROR(INDEX(OFFSET($B$15,$D$46-15,0,1,3),MATCH(5&amp;","&amp;4,OFFSET($B$15,$F$46-15,0,1,3),0)),""),IF($B$46="Start",IFERROR(INDEX($B$39:$F$39,MATCH(5&amp;","&amp;4,$B$40:$F$40,0)),""),"")))</f>
      </c>
      <c r="G55" s="12">
        <f>IF(OR(6&gt;$B$5,4&gt;$B$6),"X",IF(IFERROR(INDEX(OFFSET($B$15,$D$46-15,0,1,3),MATCH(6&amp;","&amp;4,OFFSET($B$15,$F$46-15,0,1,3),0)),"")&lt;&gt;"",IFERROR(INDEX(OFFSET($B$15,$D$46-15,0,1,3),MATCH(6&amp;","&amp;4,OFFSET($B$15,$F$46-15,0,1,3),0)),""),IF($B$46="Start",IFERROR(INDEX($B$39:$F$39,MATCH(6&amp;","&amp;4,$B$40:$F$40,0)),""),"")))</f>
      </c>
      <c r="H55" s="12">
        <f>IF(OR(7&gt;$B$5,4&gt;$B$6),"X",IF(IFERROR(INDEX(OFFSET($B$15,$D$46-15,0,1,3),MATCH(7&amp;","&amp;4,OFFSET($B$15,$F$46-15,0,1,3),0)),"")&lt;&gt;"",IFERROR(INDEX(OFFSET($B$15,$D$46-15,0,1,3),MATCH(7&amp;","&amp;4,OFFSET($B$15,$F$46-15,0,1,3),0)),""),IF($B$46="Start",IFERROR(INDEX($B$39:$F$39,MATCH(7&amp;","&amp;4,$B$40:$F$40,0)),""),"")))</f>
      </c>
      <c r="I55" s="12">
        <f>IF(OR(8&gt;$B$5,4&gt;$B$6),"X",IF(IFERROR(INDEX(OFFSET($B$15,$D$46-15,0,1,3),MATCH(8&amp;","&amp;4,OFFSET($B$15,$F$46-15,0,1,3),0)),"")&lt;&gt;"",IFERROR(INDEX(OFFSET($B$15,$D$46-15,0,1,3),MATCH(8&amp;","&amp;4,OFFSET($B$15,$F$46-15,0,1,3),0)),""),IF($B$46="Start",IFERROR(INDEX($B$39:$F$39,MATCH(8&amp;","&amp;4,$B$40:$F$40,0)),""),"")))</f>
      </c>
      <c r="J55" s="12">
        <f>IF(OR(9&gt;$B$5,4&gt;$B$6),"X",IF(IFERROR(INDEX(OFFSET($B$15,$D$46-15,0,1,3),MATCH(9&amp;","&amp;4,OFFSET($B$15,$F$46-15,0,1,3),0)),"")&lt;&gt;"",IFERROR(INDEX(OFFSET($B$15,$D$46-15,0,1,3),MATCH(9&amp;","&amp;4,OFFSET($B$15,$F$46-15,0,1,3),0)),""),IF($B$46="Start",IFERROR(INDEX($B$39:$F$39,MATCH(9&amp;","&amp;4,$B$40:$F$40,0)),""),"")))</f>
      </c>
      <c r="K55" s="12">
        <f>IF(OR(10&gt;$B$5,4&gt;$B$6),"X",IF(IFERROR(INDEX(OFFSET($B$15,$D$46-15,0,1,3),MATCH(10&amp;","&amp;4,OFFSET($B$15,$F$46-15,0,1,3),0)),"")&lt;&gt;"",IFERROR(INDEX(OFFSET($B$15,$D$46-15,0,1,3),MATCH(10&amp;","&amp;4,OFFSET($B$15,$F$46-15,0,1,3),0)),""),IF($B$46="Start",IFERROR(INDEX($B$39:$F$39,MATCH(10&amp;","&amp;4,$B$40:$F$40,0)),""),"")))</f>
      </c>
    </row>
    <row r="56">
      <c r="A56" s="11">
        <v>3</v>
      </c>
      <c r="B56" s="12">
        <f>IF(OR(1&gt;$B$5,3&gt;$B$6),"X",IF(IFERROR(INDEX(OFFSET($B$15,$D$46-15,0,1,3),MATCH(1&amp;","&amp;3,OFFSET($B$15,$F$46-15,0,1,3),0)),"")&lt;&gt;"",IFERROR(INDEX(OFFSET($B$15,$D$46-15,0,1,3),MATCH(1&amp;","&amp;3,OFFSET($B$15,$F$46-15,0,1,3),0)),""),IF($B$46="Start",IFERROR(INDEX($B$39:$F$39,MATCH(1&amp;","&amp;3,$B$40:$F$40,0)),""),"")))</f>
      </c>
      <c r="C56" s="12">
        <f>IF(OR(2&gt;$B$5,3&gt;$B$6),"X",IF(IFERROR(INDEX(OFFSET($B$15,$D$46-15,0,1,3),MATCH(2&amp;","&amp;3,OFFSET($B$15,$F$46-15,0,1,3),0)),"")&lt;&gt;"",IFERROR(INDEX(OFFSET($B$15,$D$46-15,0,1,3),MATCH(2&amp;","&amp;3,OFFSET($B$15,$F$46-15,0,1,3),0)),""),IF($B$46="Start",IFERROR(INDEX($B$39:$F$39,MATCH(2&amp;","&amp;3,$B$40:$F$40,0)),""),"")))</f>
      </c>
      <c r="D56" s="12">
        <f>IF(OR(3&gt;$B$5,3&gt;$B$6),"X",IF(IFERROR(INDEX(OFFSET($B$15,$D$46-15,0,1,3),MATCH(3&amp;","&amp;3,OFFSET($B$15,$F$46-15,0,1,3),0)),"")&lt;&gt;"",IFERROR(INDEX(OFFSET($B$15,$D$46-15,0,1,3),MATCH(3&amp;","&amp;3,OFFSET($B$15,$F$46-15,0,1,3),0)),""),IF($B$46="Start",IFERROR(INDEX($B$39:$F$39,MATCH(3&amp;","&amp;3,$B$40:$F$40,0)),""),"")))</f>
      </c>
      <c r="E56" s="12">
        <f>IF(OR(4&gt;$B$5,3&gt;$B$6),"X",IF(IFERROR(INDEX(OFFSET($B$15,$D$46-15,0,1,3),MATCH(4&amp;","&amp;3,OFFSET($B$15,$F$46-15,0,1,3),0)),"")&lt;&gt;"",IFERROR(INDEX(OFFSET($B$15,$D$46-15,0,1,3),MATCH(4&amp;","&amp;3,OFFSET($B$15,$F$46-15,0,1,3),0)),""),IF($B$46="Start",IFERROR(INDEX($B$39:$F$39,MATCH(4&amp;","&amp;3,$B$40:$F$40,0)),""),"")))</f>
      </c>
      <c r="F56" s="12">
        <f>IF(OR(5&gt;$B$5,3&gt;$B$6),"X",IF(IFERROR(INDEX(OFFSET($B$15,$D$46-15,0,1,3),MATCH(5&amp;","&amp;3,OFFSET($B$15,$F$46-15,0,1,3),0)),"")&lt;&gt;"",IFERROR(INDEX(OFFSET($B$15,$D$46-15,0,1,3),MATCH(5&amp;","&amp;3,OFFSET($B$15,$F$46-15,0,1,3),0)),""),IF($B$46="Start",IFERROR(INDEX($B$39:$F$39,MATCH(5&amp;","&amp;3,$B$40:$F$40,0)),""),"")))</f>
      </c>
      <c r="G56" s="12">
        <f>IF(OR(6&gt;$B$5,3&gt;$B$6),"X",IF(IFERROR(INDEX(OFFSET($B$15,$D$46-15,0,1,3),MATCH(6&amp;","&amp;3,OFFSET($B$15,$F$46-15,0,1,3),0)),"")&lt;&gt;"",IFERROR(INDEX(OFFSET($B$15,$D$46-15,0,1,3),MATCH(6&amp;","&amp;3,OFFSET($B$15,$F$46-15,0,1,3),0)),""),IF($B$46="Start",IFERROR(INDEX($B$39:$F$39,MATCH(6&amp;","&amp;3,$B$40:$F$40,0)),""),"")))</f>
      </c>
      <c r="H56" s="12">
        <f>IF(OR(7&gt;$B$5,3&gt;$B$6),"X",IF(IFERROR(INDEX(OFFSET($B$15,$D$46-15,0,1,3),MATCH(7&amp;","&amp;3,OFFSET($B$15,$F$46-15,0,1,3),0)),"")&lt;&gt;"",IFERROR(INDEX(OFFSET($B$15,$D$46-15,0,1,3),MATCH(7&amp;","&amp;3,OFFSET($B$15,$F$46-15,0,1,3),0)),""),IF($B$46="Start",IFERROR(INDEX($B$39:$F$39,MATCH(7&amp;","&amp;3,$B$40:$F$40,0)),""),"")))</f>
      </c>
      <c r="I56" s="12">
        <f>IF(OR(8&gt;$B$5,3&gt;$B$6),"X",IF(IFERROR(INDEX(OFFSET($B$15,$D$46-15,0,1,3),MATCH(8&amp;","&amp;3,OFFSET($B$15,$F$46-15,0,1,3),0)),"")&lt;&gt;"",IFERROR(INDEX(OFFSET($B$15,$D$46-15,0,1,3),MATCH(8&amp;","&amp;3,OFFSET($B$15,$F$46-15,0,1,3),0)),""),IF($B$46="Start",IFERROR(INDEX($B$39:$F$39,MATCH(8&amp;","&amp;3,$B$40:$F$40,0)),""),"")))</f>
      </c>
      <c r="J56" s="12">
        <f>IF(OR(9&gt;$B$5,3&gt;$B$6),"X",IF(IFERROR(INDEX(OFFSET($B$15,$D$46-15,0,1,3),MATCH(9&amp;","&amp;3,OFFSET($B$15,$F$46-15,0,1,3),0)),"")&lt;&gt;"",IFERROR(INDEX(OFFSET($B$15,$D$46-15,0,1,3),MATCH(9&amp;","&amp;3,OFFSET($B$15,$F$46-15,0,1,3),0)),""),IF($B$46="Start",IFERROR(INDEX($B$39:$F$39,MATCH(9&amp;","&amp;3,$B$40:$F$40,0)),""),"")))</f>
      </c>
      <c r="K56" s="12">
        <f>IF(OR(10&gt;$B$5,3&gt;$B$6),"X",IF(IFERROR(INDEX(OFFSET($B$15,$D$46-15,0,1,3),MATCH(10&amp;","&amp;3,OFFSET($B$15,$F$46-15,0,1,3),0)),"")&lt;&gt;"",IFERROR(INDEX(OFFSET($B$15,$D$46-15,0,1,3),MATCH(10&amp;","&amp;3,OFFSET($B$15,$F$46-15,0,1,3),0)),""),IF($B$46="Start",IFERROR(INDEX($B$39:$F$39,MATCH(10&amp;","&amp;3,$B$40:$F$40,0)),""),"")))</f>
      </c>
    </row>
    <row r="57">
      <c r="A57" s="11">
        <v>2</v>
      </c>
      <c r="B57" s="12">
        <f>IF(OR(1&gt;$B$5,2&gt;$B$6),"X",IF(IFERROR(INDEX(OFFSET($B$15,$D$46-15,0,1,3),MATCH(1&amp;","&amp;2,OFFSET($B$15,$F$46-15,0,1,3),0)),"")&lt;&gt;"",IFERROR(INDEX(OFFSET($B$15,$D$46-15,0,1,3),MATCH(1&amp;","&amp;2,OFFSET($B$15,$F$46-15,0,1,3),0)),""),IF($B$46="Start",IFERROR(INDEX($B$39:$F$39,MATCH(1&amp;","&amp;2,$B$40:$F$40,0)),""),"")))</f>
      </c>
      <c r="C57" s="12">
        <f>IF(OR(2&gt;$B$5,2&gt;$B$6),"X",IF(IFERROR(INDEX(OFFSET($B$15,$D$46-15,0,1,3),MATCH(2&amp;","&amp;2,OFFSET($B$15,$F$46-15,0,1,3),0)),"")&lt;&gt;"",IFERROR(INDEX(OFFSET($B$15,$D$46-15,0,1,3),MATCH(2&amp;","&amp;2,OFFSET($B$15,$F$46-15,0,1,3),0)),""),IF($B$46="Start",IFERROR(INDEX($B$39:$F$39,MATCH(2&amp;","&amp;2,$B$40:$F$40,0)),""),"")))</f>
      </c>
      <c r="D57" s="12">
        <f>IF(OR(3&gt;$B$5,2&gt;$B$6),"X",IF(IFERROR(INDEX(OFFSET($B$15,$D$46-15,0,1,3),MATCH(3&amp;","&amp;2,OFFSET($B$15,$F$46-15,0,1,3),0)),"")&lt;&gt;"",IFERROR(INDEX(OFFSET($B$15,$D$46-15,0,1,3),MATCH(3&amp;","&amp;2,OFFSET($B$15,$F$46-15,0,1,3),0)),""),IF($B$46="Start",IFERROR(INDEX($B$39:$F$39,MATCH(3&amp;","&amp;2,$B$40:$F$40,0)),""),"")))</f>
      </c>
      <c r="E57" s="12">
        <f>IF(OR(4&gt;$B$5,2&gt;$B$6),"X",IF(IFERROR(INDEX(OFFSET($B$15,$D$46-15,0,1,3),MATCH(4&amp;","&amp;2,OFFSET($B$15,$F$46-15,0,1,3),0)),"")&lt;&gt;"",IFERROR(INDEX(OFFSET($B$15,$D$46-15,0,1,3),MATCH(4&amp;","&amp;2,OFFSET($B$15,$F$46-15,0,1,3),0)),""),IF($B$46="Start",IFERROR(INDEX($B$39:$F$39,MATCH(4&amp;","&amp;2,$B$40:$F$40,0)),""),"")))</f>
      </c>
      <c r="F57" s="12">
        <f>IF(OR(5&gt;$B$5,2&gt;$B$6),"X",IF(IFERROR(INDEX(OFFSET($B$15,$D$46-15,0,1,3),MATCH(5&amp;","&amp;2,OFFSET($B$15,$F$46-15,0,1,3),0)),"")&lt;&gt;"",IFERROR(INDEX(OFFSET($B$15,$D$46-15,0,1,3),MATCH(5&amp;","&amp;2,OFFSET($B$15,$F$46-15,0,1,3),0)),""),IF($B$46="Start",IFERROR(INDEX($B$39:$F$39,MATCH(5&amp;","&amp;2,$B$40:$F$40,0)),""),"")))</f>
      </c>
      <c r="G57" s="12">
        <f>IF(OR(6&gt;$B$5,2&gt;$B$6),"X",IF(IFERROR(INDEX(OFFSET($B$15,$D$46-15,0,1,3),MATCH(6&amp;","&amp;2,OFFSET($B$15,$F$46-15,0,1,3),0)),"")&lt;&gt;"",IFERROR(INDEX(OFFSET($B$15,$D$46-15,0,1,3),MATCH(6&amp;","&amp;2,OFFSET($B$15,$F$46-15,0,1,3),0)),""),IF($B$46="Start",IFERROR(INDEX($B$39:$F$39,MATCH(6&amp;","&amp;2,$B$40:$F$40,0)),""),"")))</f>
      </c>
      <c r="H57" s="12">
        <f>IF(OR(7&gt;$B$5,2&gt;$B$6),"X",IF(IFERROR(INDEX(OFFSET($B$15,$D$46-15,0,1,3),MATCH(7&amp;","&amp;2,OFFSET($B$15,$F$46-15,0,1,3),0)),"")&lt;&gt;"",IFERROR(INDEX(OFFSET($B$15,$D$46-15,0,1,3),MATCH(7&amp;","&amp;2,OFFSET($B$15,$F$46-15,0,1,3),0)),""),IF($B$46="Start",IFERROR(INDEX($B$39:$F$39,MATCH(7&amp;","&amp;2,$B$40:$F$40,0)),""),"")))</f>
      </c>
      <c r="I57" s="12">
        <f>IF(OR(8&gt;$B$5,2&gt;$B$6),"X",IF(IFERROR(INDEX(OFFSET($B$15,$D$46-15,0,1,3),MATCH(8&amp;","&amp;2,OFFSET($B$15,$F$46-15,0,1,3),0)),"")&lt;&gt;"",IFERROR(INDEX(OFFSET($B$15,$D$46-15,0,1,3),MATCH(8&amp;","&amp;2,OFFSET($B$15,$F$46-15,0,1,3),0)),""),IF($B$46="Start",IFERROR(INDEX($B$39:$F$39,MATCH(8&amp;","&amp;2,$B$40:$F$40,0)),""),"")))</f>
      </c>
      <c r="J57" s="12">
        <f>IF(OR(9&gt;$B$5,2&gt;$B$6),"X",IF(IFERROR(INDEX(OFFSET($B$15,$D$46-15,0,1,3),MATCH(9&amp;","&amp;2,OFFSET($B$15,$F$46-15,0,1,3),0)),"")&lt;&gt;"",IFERROR(INDEX(OFFSET($B$15,$D$46-15,0,1,3),MATCH(9&amp;","&amp;2,OFFSET($B$15,$F$46-15,0,1,3),0)),""),IF($B$46="Start",IFERROR(INDEX($B$39:$F$39,MATCH(9&amp;","&amp;2,$B$40:$F$40,0)),""),"")))</f>
      </c>
      <c r="K57" s="12">
        <f>IF(OR(10&gt;$B$5,2&gt;$B$6),"X",IF(IFERROR(INDEX(OFFSET($B$15,$D$46-15,0,1,3),MATCH(10&amp;","&amp;2,OFFSET($B$15,$F$46-15,0,1,3),0)),"")&lt;&gt;"",IFERROR(INDEX(OFFSET($B$15,$D$46-15,0,1,3),MATCH(10&amp;","&amp;2,OFFSET($B$15,$F$46-15,0,1,3),0)),""),IF($B$46="Start",IFERROR(INDEX($B$39:$F$39,MATCH(10&amp;","&amp;2,$B$40:$F$40,0)),""),"")))</f>
      </c>
    </row>
    <row r="58">
      <c r="A58" s="11">
        <v>1</v>
      </c>
      <c r="B58" s="12">
        <f>IF(OR(1&gt;$B$5,1&gt;$B$6),"X",IF(IFERROR(INDEX(OFFSET($B$15,$D$46-15,0,1,3),MATCH(1&amp;","&amp;1,OFFSET($B$15,$F$46-15,0,1,3),0)),"")&lt;&gt;"",IFERROR(INDEX(OFFSET($B$15,$D$46-15,0,1,3),MATCH(1&amp;","&amp;1,OFFSET($B$15,$F$46-15,0,1,3),0)),""),IF($B$46="Start",IFERROR(INDEX($B$39:$F$39,MATCH(1&amp;","&amp;1,$B$40:$F$40,0)),""),"")))</f>
      </c>
      <c r="C58" s="12">
        <f>IF(OR(2&gt;$B$5,1&gt;$B$6),"X",IF(IFERROR(INDEX(OFFSET($B$15,$D$46-15,0,1,3),MATCH(2&amp;","&amp;1,OFFSET($B$15,$F$46-15,0,1,3),0)),"")&lt;&gt;"",IFERROR(INDEX(OFFSET($B$15,$D$46-15,0,1,3),MATCH(2&amp;","&amp;1,OFFSET($B$15,$F$46-15,0,1,3),0)),""),IF($B$46="Start",IFERROR(INDEX($B$39:$F$39,MATCH(2&amp;","&amp;1,$B$40:$F$40,0)),""),"")))</f>
      </c>
      <c r="D58" s="12">
        <f>IF(OR(3&gt;$B$5,1&gt;$B$6),"X",IF(IFERROR(INDEX(OFFSET($B$15,$D$46-15,0,1,3),MATCH(3&amp;","&amp;1,OFFSET($B$15,$F$46-15,0,1,3),0)),"")&lt;&gt;"",IFERROR(INDEX(OFFSET($B$15,$D$46-15,0,1,3),MATCH(3&amp;","&amp;1,OFFSET($B$15,$F$46-15,0,1,3),0)),""),IF($B$46="Start",IFERROR(INDEX($B$39:$F$39,MATCH(3&amp;","&amp;1,$B$40:$F$40,0)),""),"")))</f>
      </c>
      <c r="E58" s="12">
        <f>IF(OR(4&gt;$B$5,1&gt;$B$6),"X",IF(IFERROR(INDEX(OFFSET($B$15,$D$46-15,0,1,3),MATCH(4&amp;","&amp;1,OFFSET($B$15,$F$46-15,0,1,3),0)),"")&lt;&gt;"",IFERROR(INDEX(OFFSET($B$15,$D$46-15,0,1,3),MATCH(4&amp;","&amp;1,OFFSET($B$15,$F$46-15,0,1,3),0)),""),IF($B$46="Start",IFERROR(INDEX($B$39:$F$39,MATCH(4&amp;","&amp;1,$B$40:$F$40,0)),""),"")))</f>
      </c>
      <c r="F58" s="12">
        <f>IF(OR(5&gt;$B$5,1&gt;$B$6),"X",IF(IFERROR(INDEX(OFFSET($B$15,$D$46-15,0,1,3),MATCH(5&amp;","&amp;1,OFFSET($B$15,$F$46-15,0,1,3),0)),"")&lt;&gt;"",IFERROR(INDEX(OFFSET($B$15,$D$46-15,0,1,3),MATCH(5&amp;","&amp;1,OFFSET($B$15,$F$46-15,0,1,3),0)),""),IF($B$46="Start",IFERROR(INDEX($B$39:$F$39,MATCH(5&amp;","&amp;1,$B$40:$F$40,0)),""),"")))</f>
      </c>
      <c r="G58" s="12">
        <f>IF(OR(6&gt;$B$5,1&gt;$B$6),"X",IF(IFERROR(INDEX(OFFSET($B$15,$D$46-15,0,1,3),MATCH(6&amp;","&amp;1,OFFSET($B$15,$F$46-15,0,1,3),0)),"")&lt;&gt;"",IFERROR(INDEX(OFFSET($B$15,$D$46-15,0,1,3),MATCH(6&amp;","&amp;1,OFFSET($B$15,$F$46-15,0,1,3),0)),""),IF($B$46="Start",IFERROR(INDEX($B$39:$F$39,MATCH(6&amp;","&amp;1,$B$40:$F$40,0)),""),"")))</f>
      </c>
      <c r="H58" s="12">
        <f>IF(OR(7&gt;$B$5,1&gt;$B$6),"X",IF(IFERROR(INDEX(OFFSET($B$15,$D$46-15,0,1,3),MATCH(7&amp;","&amp;1,OFFSET($B$15,$F$46-15,0,1,3),0)),"")&lt;&gt;"",IFERROR(INDEX(OFFSET($B$15,$D$46-15,0,1,3),MATCH(7&amp;","&amp;1,OFFSET($B$15,$F$46-15,0,1,3),0)),""),IF($B$46="Start",IFERROR(INDEX($B$39:$F$39,MATCH(7&amp;","&amp;1,$B$40:$F$40,0)),""),"")))</f>
      </c>
      <c r="I58" s="12">
        <f>IF(OR(8&gt;$B$5,1&gt;$B$6),"X",IF(IFERROR(INDEX(OFFSET($B$15,$D$46-15,0,1,3),MATCH(8&amp;","&amp;1,OFFSET($B$15,$F$46-15,0,1,3),0)),"")&lt;&gt;"",IFERROR(INDEX(OFFSET($B$15,$D$46-15,0,1,3),MATCH(8&amp;","&amp;1,OFFSET($B$15,$F$46-15,0,1,3),0)),""),IF($B$46="Start",IFERROR(INDEX($B$39:$F$39,MATCH(8&amp;","&amp;1,$B$40:$F$40,0)),""),"")))</f>
      </c>
      <c r="J58" s="12">
        <f>IF(OR(9&gt;$B$5,1&gt;$B$6),"X",IF(IFERROR(INDEX(OFFSET($B$15,$D$46-15,0,1,3),MATCH(9&amp;","&amp;1,OFFSET($B$15,$F$46-15,0,1,3),0)),"")&lt;&gt;"",IFERROR(INDEX(OFFSET($B$15,$D$46-15,0,1,3),MATCH(9&amp;","&amp;1,OFFSET($B$15,$F$46-15,0,1,3),0)),""),IF($B$46="Start",IFERROR(INDEX($B$39:$F$39,MATCH(9&amp;","&amp;1,$B$40:$F$40,0)),""),"")))</f>
      </c>
      <c r="K58" s="12">
        <f>IF(OR(10&gt;$B$5,1&gt;$B$6),"X",IF(IFERROR(INDEX(OFFSET($B$15,$D$46-15,0,1,3),MATCH(10&amp;","&amp;1,OFFSET($B$15,$F$46-15,0,1,3),0)),"")&lt;&gt;"",IFERROR(INDEX(OFFSET($B$15,$D$46-15,0,1,3),MATCH(10&amp;","&amp;1,OFFSET($B$15,$F$46-15,0,1,3),0)),""),IF($B$46="Start",IFERROR(INDEX($B$39:$F$39,MATCH(10&amp;","&amp;1,$B$40:$F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  <row r="71">
      <c r="A71" s="0" t="s">
        <v>186</v>
      </c>
      <c r="B71" s="0">
        <v>17</v>
      </c>
      <c r="C71" s="0">
        <v>18</v>
      </c>
    </row>
    <row r="72">
      <c r="A72" s="0" t="s">
        <v>187</v>
      </c>
      <c r="B72" s="0">
        <v>19</v>
      </c>
      <c r="C72" s="0">
        <v>20</v>
      </c>
    </row>
    <row r="73">
      <c r="A73" s="0" t="s">
        <v>198</v>
      </c>
      <c r="B73" s="0">
        <v>21</v>
      </c>
      <c r="C73" s="0">
        <v>22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D15" showErrorMessage="0" allowBlank="1">
      <formula1>=list_Prefab</formula1>
    </dataValidation>
    <dataValidation type="list" sqref="B17:D17" showErrorMessage="0" allowBlank="1">
      <formula1>=list_Prefab</formula1>
    </dataValidation>
    <dataValidation type="list" sqref="B19:D19" showErrorMessage="0" allowBlank="1">
      <formula1>=list_Prefab</formula1>
    </dataValidation>
    <dataValidation type="list" sqref="B21:D21" showErrorMessage="0" allowBlank="1">
      <formula1>=list_Prefab</formula1>
    </dataValidation>
    <dataValidation type="list" sqref="B23:D23" showErrorMessage="0" allowBlank="1">
      <formula1>=list_Prefab</formula1>
    </dataValidation>
    <dataValidation type="list" sqref="B25:D25" showErrorMessage="0" allowBlank="1">
      <formula1>=list_Prefab</formula1>
    </dataValidation>
    <dataValidation type="list" sqref="B27:D27" showErrorMessage="0" allowBlank="1">
      <formula1>=list_Prefab</formula1>
    </dataValidation>
    <dataValidation type="list" sqref="B29:D29" showErrorMessage="0" allowBlank="1">
      <formula1>=list_Prefab</formula1>
    </dataValidation>
    <dataValidation type="list" sqref="B31:D31" showErrorMessage="0" allowBlank="1">
      <formula1>=list_Prefab</formula1>
    </dataValidation>
    <dataValidation type="list" sqref="B33:D33" showErrorMessage="0" allowBlank="1">
      <formula1>=list_Prefab</formula1>
    </dataValidation>
    <dataValidation type="list" sqref="B35:D35" showErrorMessage="0" allowBlank="1">
      <formula1>=list_Prefab</formula1>
    </dataValidation>
    <dataValidation type="list" sqref="B46" showErrorMessage="0">
      <formula1>=$A$70:$A$73</formula1>
    </dataValidation>
  </dataValidations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72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72</v>
      </c>
    </row>
    <row r="2">
      <c r="A2" s="1" t="s">
        <v>3</v>
      </c>
      <c r="B2" s="0" t="s">
        <v>199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7</v>
      </c>
    </row>
    <row r="6">
      <c r="A6" s="4" t="s">
        <v>91</v>
      </c>
      <c r="B6" s="0">
        <v>7</v>
      </c>
    </row>
    <row r="7">
      <c r="A7" s="4" t="s">
        <v>92</v>
      </c>
      <c r="B7" s="0">
        <v>12</v>
      </c>
    </row>
    <row r="8">
      <c r="A8" s="4" t="s">
        <v>93</v>
      </c>
      <c r="B8" s="0">
        <v>5</v>
      </c>
    </row>
    <row r="9">
      <c r="A9" s="4" t="s">
        <v>94</v>
      </c>
      <c r="B9" s="0" t="s">
        <v>33</v>
      </c>
    </row>
    <row r="10">
      <c r="A10" s="4" t="s">
        <v>95</v>
      </c>
      <c r="B10" s="0" t="s">
        <v>35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  <c r="C14" s="4" t="s">
        <v>101</v>
      </c>
      <c r="D14" s="4" t="s">
        <v>102</v>
      </c>
    </row>
    <row r="15">
      <c r="A15" s="1" t="s">
        <v>112</v>
      </c>
      <c r="B15" s="0" t="s">
        <v>67</v>
      </c>
      <c r="C15" s="0" t="s">
        <v>69</v>
      </c>
      <c r="D15" s="0" t="s">
        <v>31</v>
      </c>
    </row>
    <row r="16">
      <c r="A16" s="4" t="s">
        <v>113</v>
      </c>
      <c r="B16" s="0" t="s">
        <v>182</v>
      </c>
      <c r="C16" s="0" t="s">
        <v>192</v>
      </c>
      <c r="D16" s="0" t="s">
        <v>194</v>
      </c>
    </row>
    <row r="17">
      <c r="A17" s="1">
        <v>4</v>
      </c>
      <c r="B17" s="0" t="s">
        <v>83</v>
      </c>
    </row>
    <row r="18">
      <c r="A18" s="4" t="s">
        <v>113</v>
      </c>
      <c r="B18" s="0" t="s">
        <v>195</v>
      </c>
    </row>
    <row r="19">
      <c r="A19" s="1">
        <v>8</v>
      </c>
      <c r="B19" s="0" t="s">
        <v>83</v>
      </c>
    </row>
    <row r="20">
      <c r="A20" s="4" t="s">
        <v>113</v>
      </c>
      <c r="B20" s="0" t="s">
        <v>200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  <c r="F39" s="4" t="s">
        <v>131</v>
      </c>
    </row>
    <row r="40">
      <c r="A40" s="1" t="s">
        <v>132</v>
      </c>
      <c r="B40" s="0" t="s">
        <v>201</v>
      </c>
      <c r="C40" s="0" t="s">
        <v>202</v>
      </c>
      <c r="D40" s="0" t="s">
        <v>168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INDEX($B$70:$B$72,MATCH($B$46,$A$70:$A$72,0))</f>
      </c>
      <c r="E46" s="7" t="s">
        <v>143</v>
      </c>
      <c r="F46" s="8">
        <f>INDEX($C$70:$C$72,MATCH($B$46,$A$70:$A$72,0))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-15,0,1,3),MATCH(1&amp;","&amp;10,OFFSET($B$15,$F$46-15,0,1,3),0)),"")&lt;&gt;"",IFERROR(INDEX(OFFSET($B$15,$D$46-15,0,1,3),MATCH(1&amp;","&amp;10,OFFSET($B$15,$F$46-15,0,1,3),0)),""),IF($B$46="Start",IFERROR(INDEX($B$39:$F$39,MATCH(1&amp;","&amp;10,$B$40:$F$40,0)),""),"")))</f>
      </c>
      <c r="C49" s="12">
        <f>IF(OR(2&gt;$B$5,10&gt;$B$6),"X",IF(IFERROR(INDEX(OFFSET($B$15,$D$46-15,0,1,3),MATCH(2&amp;","&amp;10,OFFSET($B$15,$F$46-15,0,1,3),0)),"")&lt;&gt;"",IFERROR(INDEX(OFFSET($B$15,$D$46-15,0,1,3),MATCH(2&amp;","&amp;10,OFFSET($B$15,$F$46-15,0,1,3),0)),""),IF($B$46="Start",IFERROR(INDEX($B$39:$F$39,MATCH(2&amp;","&amp;10,$B$40:$F$40,0)),""),"")))</f>
      </c>
      <c r="D49" s="12">
        <f>IF(OR(3&gt;$B$5,10&gt;$B$6),"X",IF(IFERROR(INDEX(OFFSET($B$15,$D$46-15,0,1,3),MATCH(3&amp;","&amp;10,OFFSET($B$15,$F$46-15,0,1,3),0)),"")&lt;&gt;"",IFERROR(INDEX(OFFSET($B$15,$D$46-15,0,1,3),MATCH(3&amp;","&amp;10,OFFSET($B$15,$F$46-15,0,1,3),0)),""),IF($B$46="Start",IFERROR(INDEX($B$39:$F$39,MATCH(3&amp;","&amp;10,$B$40:$F$40,0)),""),"")))</f>
      </c>
      <c r="E49" s="12">
        <f>IF(OR(4&gt;$B$5,10&gt;$B$6),"X",IF(IFERROR(INDEX(OFFSET($B$15,$D$46-15,0,1,3),MATCH(4&amp;","&amp;10,OFFSET($B$15,$F$46-15,0,1,3),0)),"")&lt;&gt;"",IFERROR(INDEX(OFFSET($B$15,$D$46-15,0,1,3),MATCH(4&amp;","&amp;10,OFFSET($B$15,$F$46-15,0,1,3),0)),""),IF($B$46="Start",IFERROR(INDEX($B$39:$F$39,MATCH(4&amp;","&amp;10,$B$40:$F$40,0)),""),"")))</f>
      </c>
      <c r="F49" s="12">
        <f>IF(OR(5&gt;$B$5,10&gt;$B$6),"X",IF(IFERROR(INDEX(OFFSET($B$15,$D$46-15,0,1,3),MATCH(5&amp;","&amp;10,OFFSET($B$15,$F$46-15,0,1,3),0)),"")&lt;&gt;"",IFERROR(INDEX(OFFSET($B$15,$D$46-15,0,1,3),MATCH(5&amp;","&amp;10,OFFSET($B$15,$F$46-15,0,1,3),0)),""),IF($B$46="Start",IFERROR(INDEX($B$39:$F$39,MATCH(5&amp;","&amp;10,$B$40:$F$40,0)),""),"")))</f>
      </c>
      <c r="G49" s="12">
        <f>IF(OR(6&gt;$B$5,10&gt;$B$6),"X",IF(IFERROR(INDEX(OFFSET($B$15,$D$46-15,0,1,3),MATCH(6&amp;","&amp;10,OFFSET($B$15,$F$46-15,0,1,3),0)),"")&lt;&gt;"",IFERROR(INDEX(OFFSET($B$15,$D$46-15,0,1,3),MATCH(6&amp;","&amp;10,OFFSET($B$15,$F$46-15,0,1,3),0)),""),IF($B$46="Start",IFERROR(INDEX($B$39:$F$39,MATCH(6&amp;","&amp;10,$B$40:$F$40,0)),""),"")))</f>
      </c>
      <c r="H49" s="12">
        <f>IF(OR(7&gt;$B$5,10&gt;$B$6),"X",IF(IFERROR(INDEX(OFFSET($B$15,$D$46-15,0,1,3),MATCH(7&amp;","&amp;10,OFFSET($B$15,$F$46-15,0,1,3),0)),"")&lt;&gt;"",IFERROR(INDEX(OFFSET($B$15,$D$46-15,0,1,3),MATCH(7&amp;","&amp;10,OFFSET($B$15,$F$46-15,0,1,3),0)),""),IF($B$46="Start",IFERROR(INDEX($B$39:$F$39,MATCH(7&amp;","&amp;10,$B$40:$F$40,0)),""),"")))</f>
      </c>
      <c r="I49" s="12">
        <f>IF(OR(8&gt;$B$5,10&gt;$B$6),"X",IF(IFERROR(INDEX(OFFSET($B$15,$D$46-15,0,1,3),MATCH(8&amp;","&amp;10,OFFSET($B$15,$F$46-15,0,1,3),0)),"")&lt;&gt;"",IFERROR(INDEX(OFFSET($B$15,$D$46-15,0,1,3),MATCH(8&amp;","&amp;10,OFFSET($B$15,$F$46-15,0,1,3),0)),""),IF($B$46="Start",IFERROR(INDEX($B$39:$F$39,MATCH(8&amp;","&amp;10,$B$40:$F$40,0)),""),"")))</f>
      </c>
      <c r="J49" s="12">
        <f>IF(OR(9&gt;$B$5,10&gt;$B$6),"X",IF(IFERROR(INDEX(OFFSET($B$15,$D$46-15,0,1,3),MATCH(9&amp;","&amp;10,OFFSET($B$15,$F$46-15,0,1,3),0)),"")&lt;&gt;"",IFERROR(INDEX(OFFSET($B$15,$D$46-15,0,1,3),MATCH(9&amp;","&amp;10,OFFSET($B$15,$F$46-15,0,1,3),0)),""),IF($B$46="Start",IFERROR(INDEX($B$39:$F$39,MATCH(9&amp;","&amp;10,$B$40:$F$40,0)),""),"")))</f>
      </c>
      <c r="K49" s="12">
        <f>IF(OR(10&gt;$B$5,10&gt;$B$6),"X",IF(IFERROR(INDEX(OFFSET($B$15,$D$46-15,0,1,3),MATCH(10&amp;","&amp;10,OFFSET($B$15,$F$46-15,0,1,3),0)),"")&lt;&gt;"",IFERROR(INDEX(OFFSET($B$15,$D$46-15,0,1,3),MATCH(10&amp;","&amp;10,OFFSET($B$15,$F$46-15,0,1,3),0)),""),IF($B$46="Start",IFERROR(INDEX($B$39:$F$39,MATCH(10&amp;","&amp;10,$B$40:$F$40,0)),""),"")))</f>
      </c>
    </row>
    <row r="50">
      <c r="A50" s="11">
        <v>9</v>
      </c>
      <c r="B50" s="12">
        <f>IF(OR(1&gt;$B$5,9&gt;$B$6),"X",IF(IFERROR(INDEX(OFFSET($B$15,$D$46-15,0,1,3),MATCH(1&amp;","&amp;9,OFFSET($B$15,$F$46-15,0,1,3),0)),"")&lt;&gt;"",IFERROR(INDEX(OFFSET($B$15,$D$46-15,0,1,3),MATCH(1&amp;","&amp;9,OFFSET($B$15,$F$46-15,0,1,3),0)),""),IF($B$46="Start",IFERROR(INDEX($B$39:$F$39,MATCH(1&amp;","&amp;9,$B$40:$F$40,0)),""),"")))</f>
      </c>
      <c r="C50" s="12">
        <f>IF(OR(2&gt;$B$5,9&gt;$B$6),"X",IF(IFERROR(INDEX(OFFSET($B$15,$D$46-15,0,1,3),MATCH(2&amp;","&amp;9,OFFSET($B$15,$F$46-15,0,1,3),0)),"")&lt;&gt;"",IFERROR(INDEX(OFFSET($B$15,$D$46-15,0,1,3),MATCH(2&amp;","&amp;9,OFFSET($B$15,$F$46-15,0,1,3),0)),""),IF($B$46="Start",IFERROR(INDEX($B$39:$F$39,MATCH(2&amp;","&amp;9,$B$40:$F$40,0)),""),"")))</f>
      </c>
      <c r="D50" s="12">
        <f>IF(OR(3&gt;$B$5,9&gt;$B$6),"X",IF(IFERROR(INDEX(OFFSET($B$15,$D$46-15,0,1,3),MATCH(3&amp;","&amp;9,OFFSET($B$15,$F$46-15,0,1,3),0)),"")&lt;&gt;"",IFERROR(INDEX(OFFSET($B$15,$D$46-15,0,1,3),MATCH(3&amp;","&amp;9,OFFSET($B$15,$F$46-15,0,1,3),0)),""),IF($B$46="Start",IFERROR(INDEX($B$39:$F$39,MATCH(3&amp;","&amp;9,$B$40:$F$40,0)),""),"")))</f>
      </c>
      <c r="E50" s="12">
        <f>IF(OR(4&gt;$B$5,9&gt;$B$6),"X",IF(IFERROR(INDEX(OFFSET($B$15,$D$46-15,0,1,3),MATCH(4&amp;","&amp;9,OFFSET($B$15,$F$46-15,0,1,3),0)),"")&lt;&gt;"",IFERROR(INDEX(OFFSET($B$15,$D$46-15,0,1,3),MATCH(4&amp;","&amp;9,OFFSET($B$15,$F$46-15,0,1,3),0)),""),IF($B$46="Start",IFERROR(INDEX($B$39:$F$39,MATCH(4&amp;","&amp;9,$B$40:$F$40,0)),""),"")))</f>
      </c>
      <c r="F50" s="12">
        <f>IF(OR(5&gt;$B$5,9&gt;$B$6),"X",IF(IFERROR(INDEX(OFFSET($B$15,$D$46-15,0,1,3),MATCH(5&amp;","&amp;9,OFFSET($B$15,$F$46-15,0,1,3),0)),"")&lt;&gt;"",IFERROR(INDEX(OFFSET($B$15,$D$46-15,0,1,3),MATCH(5&amp;","&amp;9,OFFSET($B$15,$F$46-15,0,1,3),0)),""),IF($B$46="Start",IFERROR(INDEX($B$39:$F$39,MATCH(5&amp;","&amp;9,$B$40:$F$40,0)),""),"")))</f>
      </c>
      <c r="G50" s="12">
        <f>IF(OR(6&gt;$B$5,9&gt;$B$6),"X",IF(IFERROR(INDEX(OFFSET($B$15,$D$46-15,0,1,3),MATCH(6&amp;","&amp;9,OFFSET($B$15,$F$46-15,0,1,3),0)),"")&lt;&gt;"",IFERROR(INDEX(OFFSET($B$15,$D$46-15,0,1,3),MATCH(6&amp;","&amp;9,OFFSET($B$15,$F$46-15,0,1,3),0)),""),IF($B$46="Start",IFERROR(INDEX($B$39:$F$39,MATCH(6&amp;","&amp;9,$B$40:$F$40,0)),""),"")))</f>
      </c>
      <c r="H50" s="12">
        <f>IF(OR(7&gt;$B$5,9&gt;$B$6),"X",IF(IFERROR(INDEX(OFFSET($B$15,$D$46-15,0,1,3),MATCH(7&amp;","&amp;9,OFFSET($B$15,$F$46-15,0,1,3),0)),"")&lt;&gt;"",IFERROR(INDEX(OFFSET($B$15,$D$46-15,0,1,3),MATCH(7&amp;","&amp;9,OFFSET($B$15,$F$46-15,0,1,3),0)),""),IF($B$46="Start",IFERROR(INDEX($B$39:$F$39,MATCH(7&amp;","&amp;9,$B$40:$F$40,0)),""),"")))</f>
      </c>
      <c r="I50" s="12">
        <f>IF(OR(8&gt;$B$5,9&gt;$B$6),"X",IF(IFERROR(INDEX(OFFSET($B$15,$D$46-15,0,1,3),MATCH(8&amp;","&amp;9,OFFSET($B$15,$F$46-15,0,1,3),0)),"")&lt;&gt;"",IFERROR(INDEX(OFFSET($B$15,$D$46-15,0,1,3),MATCH(8&amp;","&amp;9,OFFSET($B$15,$F$46-15,0,1,3),0)),""),IF($B$46="Start",IFERROR(INDEX($B$39:$F$39,MATCH(8&amp;","&amp;9,$B$40:$F$40,0)),""),"")))</f>
      </c>
      <c r="J50" s="12">
        <f>IF(OR(9&gt;$B$5,9&gt;$B$6),"X",IF(IFERROR(INDEX(OFFSET($B$15,$D$46-15,0,1,3),MATCH(9&amp;","&amp;9,OFFSET($B$15,$F$46-15,0,1,3),0)),"")&lt;&gt;"",IFERROR(INDEX(OFFSET($B$15,$D$46-15,0,1,3),MATCH(9&amp;","&amp;9,OFFSET($B$15,$F$46-15,0,1,3),0)),""),IF($B$46="Start",IFERROR(INDEX($B$39:$F$39,MATCH(9&amp;","&amp;9,$B$40:$F$40,0)),""),"")))</f>
      </c>
      <c r="K50" s="12">
        <f>IF(OR(10&gt;$B$5,9&gt;$B$6),"X",IF(IFERROR(INDEX(OFFSET($B$15,$D$46-15,0,1,3),MATCH(10&amp;","&amp;9,OFFSET($B$15,$F$46-15,0,1,3),0)),"")&lt;&gt;"",IFERROR(INDEX(OFFSET($B$15,$D$46-15,0,1,3),MATCH(10&amp;","&amp;9,OFFSET($B$15,$F$46-15,0,1,3),0)),""),IF($B$46="Start",IFERROR(INDEX($B$39:$F$39,MATCH(10&amp;","&amp;9,$B$40:$F$40,0)),""),"")))</f>
      </c>
    </row>
    <row r="51">
      <c r="A51" s="11">
        <v>8</v>
      </c>
      <c r="B51" s="12">
        <f>IF(OR(1&gt;$B$5,8&gt;$B$6),"X",IF(IFERROR(INDEX(OFFSET($B$15,$D$46-15,0,1,3),MATCH(1&amp;","&amp;8,OFFSET($B$15,$F$46-15,0,1,3),0)),"")&lt;&gt;"",IFERROR(INDEX(OFFSET($B$15,$D$46-15,0,1,3),MATCH(1&amp;","&amp;8,OFFSET($B$15,$F$46-15,0,1,3),0)),""),IF($B$46="Start",IFERROR(INDEX($B$39:$F$39,MATCH(1&amp;","&amp;8,$B$40:$F$40,0)),""),"")))</f>
      </c>
      <c r="C51" s="12">
        <f>IF(OR(2&gt;$B$5,8&gt;$B$6),"X",IF(IFERROR(INDEX(OFFSET($B$15,$D$46-15,0,1,3),MATCH(2&amp;","&amp;8,OFFSET($B$15,$F$46-15,0,1,3),0)),"")&lt;&gt;"",IFERROR(INDEX(OFFSET($B$15,$D$46-15,0,1,3),MATCH(2&amp;","&amp;8,OFFSET($B$15,$F$46-15,0,1,3),0)),""),IF($B$46="Start",IFERROR(INDEX($B$39:$F$39,MATCH(2&amp;","&amp;8,$B$40:$F$40,0)),""),"")))</f>
      </c>
      <c r="D51" s="12">
        <f>IF(OR(3&gt;$B$5,8&gt;$B$6),"X",IF(IFERROR(INDEX(OFFSET($B$15,$D$46-15,0,1,3),MATCH(3&amp;","&amp;8,OFFSET($B$15,$F$46-15,0,1,3),0)),"")&lt;&gt;"",IFERROR(INDEX(OFFSET($B$15,$D$46-15,0,1,3),MATCH(3&amp;","&amp;8,OFFSET($B$15,$F$46-15,0,1,3),0)),""),IF($B$46="Start",IFERROR(INDEX($B$39:$F$39,MATCH(3&amp;","&amp;8,$B$40:$F$40,0)),""),"")))</f>
      </c>
      <c r="E51" s="12">
        <f>IF(OR(4&gt;$B$5,8&gt;$B$6),"X",IF(IFERROR(INDEX(OFFSET($B$15,$D$46-15,0,1,3),MATCH(4&amp;","&amp;8,OFFSET($B$15,$F$46-15,0,1,3),0)),"")&lt;&gt;"",IFERROR(INDEX(OFFSET($B$15,$D$46-15,0,1,3),MATCH(4&amp;","&amp;8,OFFSET($B$15,$F$46-15,0,1,3),0)),""),IF($B$46="Start",IFERROR(INDEX($B$39:$F$39,MATCH(4&amp;","&amp;8,$B$40:$F$40,0)),""),"")))</f>
      </c>
      <c r="F51" s="12">
        <f>IF(OR(5&gt;$B$5,8&gt;$B$6),"X",IF(IFERROR(INDEX(OFFSET($B$15,$D$46-15,0,1,3),MATCH(5&amp;","&amp;8,OFFSET($B$15,$F$46-15,0,1,3),0)),"")&lt;&gt;"",IFERROR(INDEX(OFFSET($B$15,$D$46-15,0,1,3),MATCH(5&amp;","&amp;8,OFFSET($B$15,$F$46-15,0,1,3),0)),""),IF($B$46="Start",IFERROR(INDEX($B$39:$F$39,MATCH(5&amp;","&amp;8,$B$40:$F$40,0)),""),"")))</f>
      </c>
      <c r="G51" s="12">
        <f>IF(OR(6&gt;$B$5,8&gt;$B$6),"X",IF(IFERROR(INDEX(OFFSET($B$15,$D$46-15,0,1,3),MATCH(6&amp;","&amp;8,OFFSET($B$15,$F$46-15,0,1,3),0)),"")&lt;&gt;"",IFERROR(INDEX(OFFSET($B$15,$D$46-15,0,1,3),MATCH(6&amp;","&amp;8,OFFSET($B$15,$F$46-15,0,1,3),0)),""),IF($B$46="Start",IFERROR(INDEX($B$39:$F$39,MATCH(6&amp;","&amp;8,$B$40:$F$40,0)),""),"")))</f>
      </c>
      <c r="H51" s="12">
        <f>IF(OR(7&gt;$B$5,8&gt;$B$6),"X",IF(IFERROR(INDEX(OFFSET($B$15,$D$46-15,0,1,3),MATCH(7&amp;","&amp;8,OFFSET($B$15,$F$46-15,0,1,3),0)),"")&lt;&gt;"",IFERROR(INDEX(OFFSET($B$15,$D$46-15,0,1,3),MATCH(7&amp;","&amp;8,OFFSET($B$15,$F$46-15,0,1,3),0)),""),IF($B$46="Start",IFERROR(INDEX($B$39:$F$39,MATCH(7&amp;","&amp;8,$B$40:$F$40,0)),""),"")))</f>
      </c>
      <c r="I51" s="12">
        <f>IF(OR(8&gt;$B$5,8&gt;$B$6),"X",IF(IFERROR(INDEX(OFFSET($B$15,$D$46-15,0,1,3),MATCH(8&amp;","&amp;8,OFFSET($B$15,$F$46-15,0,1,3),0)),"")&lt;&gt;"",IFERROR(INDEX(OFFSET($B$15,$D$46-15,0,1,3),MATCH(8&amp;","&amp;8,OFFSET($B$15,$F$46-15,0,1,3),0)),""),IF($B$46="Start",IFERROR(INDEX($B$39:$F$39,MATCH(8&amp;","&amp;8,$B$40:$F$40,0)),""),"")))</f>
      </c>
      <c r="J51" s="12">
        <f>IF(OR(9&gt;$B$5,8&gt;$B$6),"X",IF(IFERROR(INDEX(OFFSET($B$15,$D$46-15,0,1,3),MATCH(9&amp;","&amp;8,OFFSET($B$15,$F$46-15,0,1,3),0)),"")&lt;&gt;"",IFERROR(INDEX(OFFSET($B$15,$D$46-15,0,1,3),MATCH(9&amp;","&amp;8,OFFSET($B$15,$F$46-15,0,1,3),0)),""),IF($B$46="Start",IFERROR(INDEX($B$39:$F$39,MATCH(9&amp;","&amp;8,$B$40:$F$40,0)),""),"")))</f>
      </c>
      <c r="K51" s="12">
        <f>IF(OR(10&gt;$B$5,8&gt;$B$6),"X",IF(IFERROR(INDEX(OFFSET($B$15,$D$46-15,0,1,3),MATCH(10&amp;","&amp;8,OFFSET($B$15,$F$46-15,0,1,3),0)),"")&lt;&gt;"",IFERROR(INDEX(OFFSET($B$15,$D$46-15,0,1,3),MATCH(10&amp;","&amp;8,OFFSET($B$15,$F$46-15,0,1,3),0)),""),IF($B$46="Start",IFERROR(INDEX($B$39:$F$39,MATCH(10&amp;","&amp;8,$B$40:$F$40,0)),""),"")))</f>
      </c>
    </row>
    <row r="52">
      <c r="A52" s="11">
        <v>7</v>
      </c>
      <c r="B52" s="12">
        <f>IF(OR(1&gt;$B$5,7&gt;$B$6),"X",IF(IFERROR(INDEX(OFFSET($B$15,$D$46-15,0,1,3),MATCH(1&amp;","&amp;7,OFFSET($B$15,$F$46-15,0,1,3),0)),"")&lt;&gt;"",IFERROR(INDEX(OFFSET($B$15,$D$46-15,0,1,3),MATCH(1&amp;","&amp;7,OFFSET($B$15,$F$46-15,0,1,3),0)),""),IF($B$46="Start",IFERROR(INDEX($B$39:$F$39,MATCH(1&amp;","&amp;7,$B$40:$F$40,0)),""),"")))</f>
      </c>
      <c r="C52" s="12">
        <f>IF(OR(2&gt;$B$5,7&gt;$B$6),"X",IF(IFERROR(INDEX(OFFSET($B$15,$D$46-15,0,1,3),MATCH(2&amp;","&amp;7,OFFSET($B$15,$F$46-15,0,1,3),0)),"")&lt;&gt;"",IFERROR(INDEX(OFFSET($B$15,$D$46-15,0,1,3),MATCH(2&amp;","&amp;7,OFFSET($B$15,$F$46-15,0,1,3),0)),""),IF($B$46="Start",IFERROR(INDEX($B$39:$F$39,MATCH(2&amp;","&amp;7,$B$40:$F$40,0)),""),"")))</f>
      </c>
      <c r="D52" s="12">
        <f>IF(OR(3&gt;$B$5,7&gt;$B$6),"X",IF(IFERROR(INDEX(OFFSET($B$15,$D$46-15,0,1,3),MATCH(3&amp;","&amp;7,OFFSET($B$15,$F$46-15,0,1,3),0)),"")&lt;&gt;"",IFERROR(INDEX(OFFSET($B$15,$D$46-15,0,1,3),MATCH(3&amp;","&amp;7,OFFSET($B$15,$F$46-15,0,1,3),0)),""),IF($B$46="Start",IFERROR(INDEX($B$39:$F$39,MATCH(3&amp;","&amp;7,$B$40:$F$40,0)),""),"")))</f>
      </c>
      <c r="E52" s="12">
        <f>IF(OR(4&gt;$B$5,7&gt;$B$6),"X",IF(IFERROR(INDEX(OFFSET($B$15,$D$46-15,0,1,3),MATCH(4&amp;","&amp;7,OFFSET($B$15,$F$46-15,0,1,3),0)),"")&lt;&gt;"",IFERROR(INDEX(OFFSET($B$15,$D$46-15,0,1,3),MATCH(4&amp;","&amp;7,OFFSET($B$15,$F$46-15,0,1,3),0)),""),IF($B$46="Start",IFERROR(INDEX($B$39:$F$39,MATCH(4&amp;","&amp;7,$B$40:$F$40,0)),""),"")))</f>
      </c>
      <c r="F52" s="12">
        <f>IF(OR(5&gt;$B$5,7&gt;$B$6),"X",IF(IFERROR(INDEX(OFFSET($B$15,$D$46-15,0,1,3),MATCH(5&amp;","&amp;7,OFFSET($B$15,$F$46-15,0,1,3),0)),"")&lt;&gt;"",IFERROR(INDEX(OFFSET($B$15,$D$46-15,0,1,3),MATCH(5&amp;","&amp;7,OFFSET($B$15,$F$46-15,0,1,3),0)),""),IF($B$46="Start",IFERROR(INDEX($B$39:$F$39,MATCH(5&amp;","&amp;7,$B$40:$F$40,0)),""),"")))</f>
      </c>
      <c r="G52" s="12">
        <f>IF(OR(6&gt;$B$5,7&gt;$B$6),"X",IF(IFERROR(INDEX(OFFSET($B$15,$D$46-15,0,1,3),MATCH(6&amp;","&amp;7,OFFSET($B$15,$F$46-15,0,1,3),0)),"")&lt;&gt;"",IFERROR(INDEX(OFFSET($B$15,$D$46-15,0,1,3),MATCH(6&amp;","&amp;7,OFFSET($B$15,$F$46-15,0,1,3),0)),""),IF($B$46="Start",IFERROR(INDEX($B$39:$F$39,MATCH(6&amp;","&amp;7,$B$40:$F$40,0)),""),"")))</f>
      </c>
      <c r="H52" s="12">
        <f>IF(OR(7&gt;$B$5,7&gt;$B$6),"X",IF(IFERROR(INDEX(OFFSET($B$15,$D$46-15,0,1,3),MATCH(7&amp;","&amp;7,OFFSET($B$15,$F$46-15,0,1,3),0)),"")&lt;&gt;"",IFERROR(INDEX(OFFSET($B$15,$D$46-15,0,1,3),MATCH(7&amp;","&amp;7,OFFSET($B$15,$F$46-15,0,1,3),0)),""),IF($B$46="Start",IFERROR(INDEX($B$39:$F$39,MATCH(7&amp;","&amp;7,$B$40:$F$40,0)),""),"")))</f>
      </c>
      <c r="I52" s="12">
        <f>IF(OR(8&gt;$B$5,7&gt;$B$6),"X",IF(IFERROR(INDEX(OFFSET($B$15,$D$46-15,0,1,3),MATCH(8&amp;","&amp;7,OFFSET($B$15,$F$46-15,0,1,3),0)),"")&lt;&gt;"",IFERROR(INDEX(OFFSET($B$15,$D$46-15,0,1,3),MATCH(8&amp;","&amp;7,OFFSET($B$15,$F$46-15,0,1,3),0)),""),IF($B$46="Start",IFERROR(INDEX($B$39:$F$39,MATCH(8&amp;","&amp;7,$B$40:$F$40,0)),""),"")))</f>
      </c>
      <c r="J52" s="12">
        <f>IF(OR(9&gt;$B$5,7&gt;$B$6),"X",IF(IFERROR(INDEX(OFFSET($B$15,$D$46-15,0,1,3),MATCH(9&amp;","&amp;7,OFFSET($B$15,$F$46-15,0,1,3),0)),"")&lt;&gt;"",IFERROR(INDEX(OFFSET($B$15,$D$46-15,0,1,3),MATCH(9&amp;","&amp;7,OFFSET($B$15,$F$46-15,0,1,3),0)),""),IF($B$46="Start",IFERROR(INDEX($B$39:$F$39,MATCH(9&amp;","&amp;7,$B$40:$F$40,0)),""),"")))</f>
      </c>
      <c r="K52" s="12">
        <f>IF(OR(10&gt;$B$5,7&gt;$B$6),"X",IF(IFERROR(INDEX(OFFSET($B$15,$D$46-15,0,1,3),MATCH(10&amp;","&amp;7,OFFSET($B$15,$F$46-15,0,1,3),0)),"")&lt;&gt;"",IFERROR(INDEX(OFFSET($B$15,$D$46-15,0,1,3),MATCH(10&amp;","&amp;7,OFFSET($B$15,$F$46-15,0,1,3),0)),""),IF($B$46="Start",IFERROR(INDEX($B$39:$F$39,MATCH(10&amp;","&amp;7,$B$40:$F$40,0)),""),"")))</f>
      </c>
    </row>
    <row r="53">
      <c r="A53" s="11">
        <v>6</v>
      </c>
      <c r="B53" s="12">
        <f>IF(OR(1&gt;$B$5,6&gt;$B$6),"X",IF(IFERROR(INDEX(OFFSET($B$15,$D$46-15,0,1,3),MATCH(1&amp;","&amp;6,OFFSET($B$15,$F$46-15,0,1,3),0)),"")&lt;&gt;"",IFERROR(INDEX(OFFSET($B$15,$D$46-15,0,1,3),MATCH(1&amp;","&amp;6,OFFSET($B$15,$F$46-15,0,1,3),0)),""),IF($B$46="Start",IFERROR(INDEX($B$39:$F$39,MATCH(1&amp;","&amp;6,$B$40:$F$40,0)),""),"")))</f>
      </c>
      <c r="C53" s="12">
        <f>IF(OR(2&gt;$B$5,6&gt;$B$6),"X",IF(IFERROR(INDEX(OFFSET($B$15,$D$46-15,0,1,3),MATCH(2&amp;","&amp;6,OFFSET($B$15,$F$46-15,0,1,3),0)),"")&lt;&gt;"",IFERROR(INDEX(OFFSET($B$15,$D$46-15,0,1,3),MATCH(2&amp;","&amp;6,OFFSET($B$15,$F$46-15,0,1,3),0)),""),IF($B$46="Start",IFERROR(INDEX($B$39:$F$39,MATCH(2&amp;","&amp;6,$B$40:$F$40,0)),""),"")))</f>
      </c>
      <c r="D53" s="12">
        <f>IF(OR(3&gt;$B$5,6&gt;$B$6),"X",IF(IFERROR(INDEX(OFFSET($B$15,$D$46-15,0,1,3),MATCH(3&amp;","&amp;6,OFFSET($B$15,$F$46-15,0,1,3),0)),"")&lt;&gt;"",IFERROR(INDEX(OFFSET($B$15,$D$46-15,0,1,3),MATCH(3&amp;","&amp;6,OFFSET($B$15,$F$46-15,0,1,3),0)),""),IF($B$46="Start",IFERROR(INDEX($B$39:$F$39,MATCH(3&amp;","&amp;6,$B$40:$F$40,0)),""),"")))</f>
      </c>
      <c r="E53" s="12">
        <f>IF(OR(4&gt;$B$5,6&gt;$B$6),"X",IF(IFERROR(INDEX(OFFSET($B$15,$D$46-15,0,1,3),MATCH(4&amp;","&amp;6,OFFSET($B$15,$F$46-15,0,1,3),0)),"")&lt;&gt;"",IFERROR(INDEX(OFFSET($B$15,$D$46-15,0,1,3),MATCH(4&amp;","&amp;6,OFFSET($B$15,$F$46-15,0,1,3),0)),""),IF($B$46="Start",IFERROR(INDEX($B$39:$F$39,MATCH(4&amp;","&amp;6,$B$40:$F$40,0)),""),"")))</f>
      </c>
      <c r="F53" s="12">
        <f>IF(OR(5&gt;$B$5,6&gt;$B$6),"X",IF(IFERROR(INDEX(OFFSET($B$15,$D$46-15,0,1,3),MATCH(5&amp;","&amp;6,OFFSET($B$15,$F$46-15,0,1,3),0)),"")&lt;&gt;"",IFERROR(INDEX(OFFSET($B$15,$D$46-15,0,1,3),MATCH(5&amp;","&amp;6,OFFSET($B$15,$F$46-15,0,1,3),0)),""),IF($B$46="Start",IFERROR(INDEX($B$39:$F$39,MATCH(5&amp;","&amp;6,$B$40:$F$40,0)),""),"")))</f>
      </c>
      <c r="G53" s="12">
        <f>IF(OR(6&gt;$B$5,6&gt;$B$6),"X",IF(IFERROR(INDEX(OFFSET($B$15,$D$46-15,0,1,3),MATCH(6&amp;","&amp;6,OFFSET($B$15,$F$46-15,0,1,3),0)),"")&lt;&gt;"",IFERROR(INDEX(OFFSET($B$15,$D$46-15,0,1,3),MATCH(6&amp;","&amp;6,OFFSET($B$15,$F$46-15,0,1,3),0)),""),IF($B$46="Start",IFERROR(INDEX($B$39:$F$39,MATCH(6&amp;","&amp;6,$B$40:$F$40,0)),""),"")))</f>
      </c>
      <c r="H53" s="12">
        <f>IF(OR(7&gt;$B$5,6&gt;$B$6),"X",IF(IFERROR(INDEX(OFFSET($B$15,$D$46-15,0,1,3),MATCH(7&amp;","&amp;6,OFFSET($B$15,$F$46-15,0,1,3),0)),"")&lt;&gt;"",IFERROR(INDEX(OFFSET($B$15,$D$46-15,0,1,3),MATCH(7&amp;","&amp;6,OFFSET($B$15,$F$46-15,0,1,3),0)),""),IF($B$46="Start",IFERROR(INDEX($B$39:$F$39,MATCH(7&amp;","&amp;6,$B$40:$F$40,0)),""),"")))</f>
      </c>
      <c r="I53" s="12">
        <f>IF(OR(8&gt;$B$5,6&gt;$B$6),"X",IF(IFERROR(INDEX(OFFSET($B$15,$D$46-15,0,1,3),MATCH(8&amp;","&amp;6,OFFSET($B$15,$F$46-15,0,1,3),0)),"")&lt;&gt;"",IFERROR(INDEX(OFFSET($B$15,$D$46-15,0,1,3),MATCH(8&amp;","&amp;6,OFFSET($B$15,$F$46-15,0,1,3),0)),""),IF($B$46="Start",IFERROR(INDEX($B$39:$F$39,MATCH(8&amp;","&amp;6,$B$40:$F$40,0)),""),"")))</f>
      </c>
      <c r="J53" s="12">
        <f>IF(OR(9&gt;$B$5,6&gt;$B$6),"X",IF(IFERROR(INDEX(OFFSET($B$15,$D$46-15,0,1,3),MATCH(9&amp;","&amp;6,OFFSET($B$15,$F$46-15,0,1,3),0)),"")&lt;&gt;"",IFERROR(INDEX(OFFSET($B$15,$D$46-15,0,1,3),MATCH(9&amp;","&amp;6,OFFSET($B$15,$F$46-15,0,1,3),0)),""),IF($B$46="Start",IFERROR(INDEX($B$39:$F$39,MATCH(9&amp;","&amp;6,$B$40:$F$40,0)),""),"")))</f>
      </c>
      <c r="K53" s="12">
        <f>IF(OR(10&gt;$B$5,6&gt;$B$6),"X",IF(IFERROR(INDEX(OFFSET($B$15,$D$46-15,0,1,3),MATCH(10&amp;","&amp;6,OFFSET($B$15,$F$46-15,0,1,3),0)),"")&lt;&gt;"",IFERROR(INDEX(OFFSET($B$15,$D$46-15,0,1,3),MATCH(10&amp;","&amp;6,OFFSET($B$15,$F$46-15,0,1,3),0)),""),IF($B$46="Start",IFERROR(INDEX($B$39:$F$39,MATCH(10&amp;","&amp;6,$B$40:$F$40,0)),""),"")))</f>
      </c>
    </row>
    <row r="54">
      <c r="A54" s="11">
        <v>5</v>
      </c>
      <c r="B54" s="12">
        <f>IF(OR(1&gt;$B$5,5&gt;$B$6),"X",IF(IFERROR(INDEX(OFFSET($B$15,$D$46-15,0,1,3),MATCH(1&amp;","&amp;5,OFFSET($B$15,$F$46-15,0,1,3),0)),"")&lt;&gt;"",IFERROR(INDEX(OFFSET($B$15,$D$46-15,0,1,3),MATCH(1&amp;","&amp;5,OFFSET($B$15,$F$46-15,0,1,3),0)),""),IF($B$46="Start",IFERROR(INDEX($B$39:$F$39,MATCH(1&amp;","&amp;5,$B$40:$F$40,0)),""),"")))</f>
      </c>
      <c r="C54" s="12">
        <f>IF(OR(2&gt;$B$5,5&gt;$B$6),"X",IF(IFERROR(INDEX(OFFSET($B$15,$D$46-15,0,1,3),MATCH(2&amp;","&amp;5,OFFSET($B$15,$F$46-15,0,1,3),0)),"")&lt;&gt;"",IFERROR(INDEX(OFFSET($B$15,$D$46-15,0,1,3),MATCH(2&amp;","&amp;5,OFFSET($B$15,$F$46-15,0,1,3),0)),""),IF($B$46="Start",IFERROR(INDEX($B$39:$F$39,MATCH(2&amp;","&amp;5,$B$40:$F$40,0)),""),"")))</f>
      </c>
      <c r="D54" s="12">
        <f>IF(OR(3&gt;$B$5,5&gt;$B$6),"X",IF(IFERROR(INDEX(OFFSET($B$15,$D$46-15,0,1,3),MATCH(3&amp;","&amp;5,OFFSET($B$15,$F$46-15,0,1,3),0)),"")&lt;&gt;"",IFERROR(INDEX(OFFSET($B$15,$D$46-15,0,1,3),MATCH(3&amp;","&amp;5,OFFSET($B$15,$F$46-15,0,1,3),0)),""),IF($B$46="Start",IFERROR(INDEX($B$39:$F$39,MATCH(3&amp;","&amp;5,$B$40:$F$40,0)),""),"")))</f>
      </c>
      <c r="E54" s="12">
        <f>IF(OR(4&gt;$B$5,5&gt;$B$6),"X",IF(IFERROR(INDEX(OFFSET($B$15,$D$46-15,0,1,3),MATCH(4&amp;","&amp;5,OFFSET($B$15,$F$46-15,0,1,3),0)),"")&lt;&gt;"",IFERROR(INDEX(OFFSET($B$15,$D$46-15,0,1,3),MATCH(4&amp;","&amp;5,OFFSET($B$15,$F$46-15,0,1,3),0)),""),IF($B$46="Start",IFERROR(INDEX($B$39:$F$39,MATCH(4&amp;","&amp;5,$B$40:$F$40,0)),""),"")))</f>
      </c>
      <c r="F54" s="12">
        <f>IF(OR(5&gt;$B$5,5&gt;$B$6),"X",IF(IFERROR(INDEX(OFFSET($B$15,$D$46-15,0,1,3),MATCH(5&amp;","&amp;5,OFFSET($B$15,$F$46-15,0,1,3),0)),"")&lt;&gt;"",IFERROR(INDEX(OFFSET($B$15,$D$46-15,0,1,3),MATCH(5&amp;","&amp;5,OFFSET($B$15,$F$46-15,0,1,3),0)),""),IF($B$46="Start",IFERROR(INDEX($B$39:$F$39,MATCH(5&amp;","&amp;5,$B$40:$F$40,0)),""),"")))</f>
      </c>
      <c r="G54" s="12">
        <f>IF(OR(6&gt;$B$5,5&gt;$B$6),"X",IF(IFERROR(INDEX(OFFSET($B$15,$D$46-15,0,1,3),MATCH(6&amp;","&amp;5,OFFSET($B$15,$F$46-15,0,1,3),0)),"")&lt;&gt;"",IFERROR(INDEX(OFFSET($B$15,$D$46-15,0,1,3),MATCH(6&amp;","&amp;5,OFFSET($B$15,$F$46-15,0,1,3),0)),""),IF($B$46="Start",IFERROR(INDEX($B$39:$F$39,MATCH(6&amp;","&amp;5,$B$40:$F$40,0)),""),"")))</f>
      </c>
      <c r="H54" s="12">
        <f>IF(OR(7&gt;$B$5,5&gt;$B$6),"X",IF(IFERROR(INDEX(OFFSET($B$15,$D$46-15,0,1,3),MATCH(7&amp;","&amp;5,OFFSET($B$15,$F$46-15,0,1,3),0)),"")&lt;&gt;"",IFERROR(INDEX(OFFSET($B$15,$D$46-15,0,1,3),MATCH(7&amp;","&amp;5,OFFSET($B$15,$F$46-15,0,1,3),0)),""),IF($B$46="Start",IFERROR(INDEX($B$39:$F$39,MATCH(7&amp;","&amp;5,$B$40:$F$40,0)),""),"")))</f>
      </c>
      <c r="I54" s="12">
        <f>IF(OR(8&gt;$B$5,5&gt;$B$6),"X",IF(IFERROR(INDEX(OFFSET($B$15,$D$46-15,0,1,3),MATCH(8&amp;","&amp;5,OFFSET($B$15,$F$46-15,0,1,3),0)),"")&lt;&gt;"",IFERROR(INDEX(OFFSET($B$15,$D$46-15,0,1,3),MATCH(8&amp;","&amp;5,OFFSET($B$15,$F$46-15,0,1,3),0)),""),IF($B$46="Start",IFERROR(INDEX($B$39:$F$39,MATCH(8&amp;","&amp;5,$B$40:$F$40,0)),""),"")))</f>
      </c>
      <c r="J54" s="12">
        <f>IF(OR(9&gt;$B$5,5&gt;$B$6),"X",IF(IFERROR(INDEX(OFFSET($B$15,$D$46-15,0,1,3),MATCH(9&amp;","&amp;5,OFFSET($B$15,$F$46-15,0,1,3),0)),"")&lt;&gt;"",IFERROR(INDEX(OFFSET($B$15,$D$46-15,0,1,3),MATCH(9&amp;","&amp;5,OFFSET($B$15,$F$46-15,0,1,3),0)),""),IF($B$46="Start",IFERROR(INDEX($B$39:$F$39,MATCH(9&amp;","&amp;5,$B$40:$F$40,0)),""),"")))</f>
      </c>
      <c r="K54" s="12">
        <f>IF(OR(10&gt;$B$5,5&gt;$B$6),"X",IF(IFERROR(INDEX(OFFSET($B$15,$D$46-15,0,1,3),MATCH(10&amp;","&amp;5,OFFSET($B$15,$F$46-15,0,1,3),0)),"")&lt;&gt;"",IFERROR(INDEX(OFFSET($B$15,$D$46-15,0,1,3),MATCH(10&amp;","&amp;5,OFFSET($B$15,$F$46-15,0,1,3),0)),""),IF($B$46="Start",IFERROR(INDEX($B$39:$F$39,MATCH(10&amp;","&amp;5,$B$40:$F$40,0)),""),"")))</f>
      </c>
    </row>
    <row r="55">
      <c r="A55" s="11">
        <v>4</v>
      </c>
      <c r="B55" s="12">
        <f>IF(OR(1&gt;$B$5,4&gt;$B$6),"X",IF(IFERROR(INDEX(OFFSET($B$15,$D$46-15,0,1,3),MATCH(1&amp;","&amp;4,OFFSET($B$15,$F$46-15,0,1,3),0)),"")&lt;&gt;"",IFERROR(INDEX(OFFSET($B$15,$D$46-15,0,1,3),MATCH(1&amp;","&amp;4,OFFSET($B$15,$F$46-15,0,1,3),0)),""),IF($B$46="Start",IFERROR(INDEX($B$39:$F$39,MATCH(1&amp;","&amp;4,$B$40:$F$40,0)),""),"")))</f>
      </c>
      <c r="C55" s="12">
        <f>IF(OR(2&gt;$B$5,4&gt;$B$6),"X",IF(IFERROR(INDEX(OFFSET($B$15,$D$46-15,0,1,3),MATCH(2&amp;","&amp;4,OFFSET($B$15,$F$46-15,0,1,3),0)),"")&lt;&gt;"",IFERROR(INDEX(OFFSET($B$15,$D$46-15,0,1,3),MATCH(2&amp;","&amp;4,OFFSET($B$15,$F$46-15,0,1,3),0)),""),IF($B$46="Start",IFERROR(INDEX($B$39:$F$39,MATCH(2&amp;","&amp;4,$B$40:$F$40,0)),""),"")))</f>
      </c>
      <c r="D55" s="12">
        <f>IF(OR(3&gt;$B$5,4&gt;$B$6),"X",IF(IFERROR(INDEX(OFFSET($B$15,$D$46-15,0,1,3),MATCH(3&amp;","&amp;4,OFFSET($B$15,$F$46-15,0,1,3),0)),"")&lt;&gt;"",IFERROR(INDEX(OFFSET($B$15,$D$46-15,0,1,3),MATCH(3&amp;","&amp;4,OFFSET($B$15,$F$46-15,0,1,3),0)),""),IF($B$46="Start",IFERROR(INDEX($B$39:$F$39,MATCH(3&amp;","&amp;4,$B$40:$F$40,0)),""),"")))</f>
      </c>
      <c r="E55" s="12">
        <f>IF(OR(4&gt;$B$5,4&gt;$B$6),"X",IF(IFERROR(INDEX(OFFSET($B$15,$D$46-15,0,1,3),MATCH(4&amp;","&amp;4,OFFSET($B$15,$F$46-15,0,1,3),0)),"")&lt;&gt;"",IFERROR(INDEX(OFFSET($B$15,$D$46-15,0,1,3),MATCH(4&amp;","&amp;4,OFFSET($B$15,$F$46-15,0,1,3),0)),""),IF($B$46="Start",IFERROR(INDEX($B$39:$F$39,MATCH(4&amp;","&amp;4,$B$40:$F$40,0)),""),"")))</f>
      </c>
      <c r="F55" s="12">
        <f>IF(OR(5&gt;$B$5,4&gt;$B$6),"X",IF(IFERROR(INDEX(OFFSET($B$15,$D$46-15,0,1,3),MATCH(5&amp;","&amp;4,OFFSET($B$15,$F$46-15,0,1,3),0)),"")&lt;&gt;"",IFERROR(INDEX(OFFSET($B$15,$D$46-15,0,1,3),MATCH(5&amp;","&amp;4,OFFSET($B$15,$F$46-15,0,1,3),0)),""),IF($B$46="Start",IFERROR(INDEX($B$39:$F$39,MATCH(5&amp;","&amp;4,$B$40:$F$40,0)),""),"")))</f>
      </c>
      <c r="G55" s="12">
        <f>IF(OR(6&gt;$B$5,4&gt;$B$6),"X",IF(IFERROR(INDEX(OFFSET($B$15,$D$46-15,0,1,3),MATCH(6&amp;","&amp;4,OFFSET($B$15,$F$46-15,0,1,3),0)),"")&lt;&gt;"",IFERROR(INDEX(OFFSET($B$15,$D$46-15,0,1,3),MATCH(6&amp;","&amp;4,OFFSET($B$15,$F$46-15,0,1,3),0)),""),IF($B$46="Start",IFERROR(INDEX($B$39:$F$39,MATCH(6&amp;","&amp;4,$B$40:$F$40,0)),""),"")))</f>
      </c>
      <c r="H55" s="12">
        <f>IF(OR(7&gt;$B$5,4&gt;$B$6),"X",IF(IFERROR(INDEX(OFFSET($B$15,$D$46-15,0,1,3),MATCH(7&amp;","&amp;4,OFFSET($B$15,$F$46-15,0,1,3),0)),"")&lt;&gt;"",IFERROR(INDEX(OFFSET($B$15,$D$46-15,0,1,3),MATCH(7&amp;","&amp;4,OFFSET($B$15,$F$46-15,0,1,3),0)),""),IF($B$46="Start",IFERROR(INDEX($B$39:$F$39,MATCH(7&amp;","&amp;4,$B$40:$F$40,0)),""),"")))</f>
      </c>
      <c r="I55" s="12">
        <f>IF(OR(8&gt;$B$5,4&gt;$B$6),"X",IF(IFERROR(INDEX(OFFSET($B$15,$D$46-15,0,1,3),MATCH(8&amp;","&amp;4,OFFSET($B$15,$F$46-15,0,1,3),0)),"")&lt;&gt;"",IFERROR(INDEX(OFFSET($B$15,$D$46-15,0,1,3),MATCH(8&amp;","&amp;4,OFFSET($B$15,$F$46-15,0,1,3),0)),""),IF($B$46="Start",IFERROR(INDEX($B$39:$F$39,MATCH(8&amp;","&amp;4,$B$40:$F$40,0)),""),"")))</f>
      </c>
      <c r="J55" s="12">
        <f>IF(OR(9&gt;$B$5,4&gt;$B$6),"X",IF(IFERROR(INDEX(OFFSET($B$15,$D$46-15,0,1,3),MATCH(9&amp;","&amp;4,OFFSET($B$15,$F$46-15,0,1,3),0)),"")&lt;&gt;"",IFERROR(INDEX(OFFSET($B$15,$D$46-15,0,1,3),MATCH(9&amp;","&amp;4,OFFSET($B$15,$F$46-15,0,1,3),0)),""),IF($B$46="Start",IFERROR(INDEX($B$39:$F$39,MATCH(9&amp;","&amp;4,$B$40:$F$40,0)),""),"")))</f>
      </c>
      <c r="K55" s="12">
        <f>IF(OR(10&gt;$B$5,4&gt;$B$6),"X",IF(IFERROR(INDEX(OFFSET($B$15,$D$46-15,0,1,3),MATCH(10&amp;","&amp;4,OFFSET($B$15,$F$46-15,0,1,3),0)),"")&lt;&gt;"",IFERROR(INDEX(OFFSET($B$15,$D$46-15,0,1,3),MATCH(10&amp;","&amp;4,OFFSET($B$15,$F$46-15,0,1,3),0)),""),IF($B$46="Start",IFERROR(INDEX($B$39:$F$39,MATCH(10&amp;","&amp;4,$B$40:$F$40,0)),""),"")))</f>
      </c>
    </row>
    <row r="56">
      <c r="A56" s="11">
        <v>3</v>
      </c>
      <c r="B56" s="12">
        <f>IF(OR(1&gt;$B$5,3&gt;$B$6),"X",IF(IFERROR(INDEX(OFFSET($B$15,$D$46-15,0,1,3),MATCH(1&amp;","&amp;3,OFFSET($B$15,$F$46-15,0,1,3),0)),"")&lt;&gt;"",IFERROR(INDEX(OFFSET($B$15,$D$46-15,0,1,3),MATCH(1&amp;","&amp;3,OFFSET($B$15,$F$46-15,0,1,3),0)),""),IF($B$46="Start",IFERROR(INDEX($B$39:$F$39,MATCH(1&amp;","&amp;3,$B$40:$F$40,0)),""),"")))</f>
      </c>
      <c r="C56" s="12">
        <f>IF(OR(2&gt;$B$5,3&gt;$B$6),"X",IF(IFERROR(INDEX(OFFSET($B$15,$D$46-15,0,1,3),MATCH(2&amp;","&amp;3,OFFSET($B$15,$F$46-15,0,1,3),0)),"")&lt;&gt;"",IFERROR(INDEX(OFFSET($B$15,$D$46-15,0,1,3),MATCH(2&amp;","&amp;3,OFFSET($B$15,$F$46-15,0,1,3),0)),""),IF($B$46="Start",IFERROR(INDEX($B$39:$F$39,MATCH(2&amp;","&amp;3,$B$40:$F$40,0)),""),"")))</f>
      </c>
      <c r="D56" s="12">
        <f>IF(OR(3&gt;$B$5,3&gt;$B$6),"X",IF(IFERROR(INDEX(OFFSET($B$15,$D$46-15,0,1,3),MATCH(3&amp;","&amp;3,OFFSET($B$15,$F$46-15,0,1,3),0)),"")&lt;&gt;"",IFERROR(INDEX(OFFSET($B$15,$D$46-15,0,1,3),MATCH(3&amp;","&amp;3,OFFSET($B$15,$F$46-15,0,1,3),0)),""),IF($B$46="Start",IFERROR(INDEX($B$39:$F$39,MATCH(3&amp;","&amp;3,$B$40:$F$40,0)),""),"")))</f>
      </c>
      <c r="E56" s="12">
        <f>IF(OR(4&gt;$B$5,3&gt;$B$6),"X",IF(IFERROR(INDEX(OFFSET($B$15,$D$46-15,0,1,3),MATCH(4&amp;","&amp;3,OFFSET($B$15,$F$46-15,0,1,3),0)),"")&lt;&gt;"",IFERROR(INDEX(OFFSET($B$15,$D$46-15,0,1,3),MATCH(4&amp;","&amp;3,OFFSET($B$15,$F$46-15,0,1,3),0)),""),IF($B$46="Start",IFERROR(INDEX($B$39:$F$39,MATCH(4&amp;","&amp;3,$B$40:$F$40,0)),""),"")))</f>
      </c>
      <c r="F56" s="12">
        <f>IF(OR(5&gt;$B$5,3&gt;$B$6),"X",IF(IFERROR(INDEX(OFFSET($B$15,$D$46-15,0,1,3),MATCH(5&amp;","&amp;3,OFFSET($B$15,$F$46-15,0,1,3),0)),"")&lt;&gt;"",IFERROR(INDEX(OFFSET($B$15,$D$46-15,0,1,3),MATCH(5&amp;","&amp;3,OFFSET($B$15,$F$46-15,0,1,3),0)),""),IF($B$46="Start",IFERROR(INDEX($B$39:$F$39,MATCH(5&amp;","&amp;3,$B$40:$F$40,0)),""),"")))</f>
      </c>
      <c r="G56" s="12">
        <f>IF(OR(6&gt;$B$5,3&gt;$B$6),"X",IF(IFERROR(INDEX(OFFSET($B$15,$D$46-15,0,1,3),MATCH(6&amp;","&amp;3,OFFSET($B$15,$F$46-15,0,1,3),0)),"")&lt;&gt;"",IFERROR(INDEX(OFFSET($B$15,$D$46-15,0,1,3),MATCH(6&amp;","&amp;3,OFFSET($B$15,$F$46-15,0,1,3),0)),""),IF($B$46="Start",IFERROR(INDEX($B$39:$F$39,MATCH(6&amp;","&amp;3,$B$40:$F$40,0)),""),"")))</f>
      </c>
      <c r="H56" s="12">
        <f>IF(OR(7&gt;$B$5,3&gt;$B$6),"X",IF(IFERROR(INDEX(OFFSET($B$15,$D$46-15,0,1,3),MATCH(7&amp;","&amp;3,OFFSET($B$15,$F$46-15,0,1,3),0)),"")&lt;&gt;"",IFERROR(INDEX(OFFSET($B$15,$D$46-15,0,1,3),MATCH(7&amp;","&amp;3,OFFSET($B$15,$F$46-15,0,1,3),0)),""),IF($B$46="Start",IFERROR(INDEX($B$39:$F$39,MATCH(7&amp;","&amp;3,$B$40:$F$40,0)),""),"")))</f>
      </c>
      <c r="I56" s="12">
        <f>IF(OR(8&gt;$B$5,3&gt;$B$6),"X",IF(IFERROR(INDEX(OFFSET($B$15,$D$46-15,0,1,3),MATCH(8&amp;","&amp;3,OFFSET($B$15,$F$46-15,0,1,3),0)),"")&lt;&gt;"",IFERROR(INDEX(OFFSET($B$15,$D$46-15,0,1,3),MATCH(8&amp;","&amp;3,OFFSET($B$15,$F$46-15,0,1,3),0)),""),IF($B$46="Start",IFERROR(INDEX($B$39:$F$39,MATCH(8&amp;","&amp;3,$B$40:$F$40,0)),""),"")))</f>
      </c>
      <c r="J56" s="12">
        <f>IF(OR(9&gt;$B$5,3&gt;$B$6),"X",IF(IFERROR(INDEX(OFFSET($B$15,$D$46-15,0,1,3),MATCH(9&amp;","&amp;3,OFFSET($B$15,$F$46-15,0,1,3),0)),"")&lt;&gt;"",IFERROR(INDEX(OFFSET($B$15,$D$46-15,0,1,3),MATCH(9&amp;","&amp;3,OFFSET($B$15,$F$46-15,0,1,3),0)),""),IF($B$46="Start",IFERROR(INDEX($B$39:$F$39,MATCH(9&amp;","&amp;3,$B$40:$F$40,0)),""),"")))</f>
      </c>
      <c r="K56" s="12">
        <f>IF(OR(10&gt;$B$5,3&gt;$B$6),"X",IF(IFERROR(INDEX(OFFSET($B$15,$D$46-15,0,1,3),MATCH(10&amp;","&amp;3,OFFSET($B$15,$F$46-15,0,1,3),0)),"")&lt;&gt;"",IFERROR(INDEX(OFFSET($B$15,$D$46-15,0,1,3),MATCH(10&amp;","&amp;3,OFFSET($B$15,$F$46-15,0,1,3),0)),""),IF($B$46="Start",IFERROR(INDEX($B$39:$F$39,MATCH(10&amp;","&amp;3,$B$40:$F$40,0)),""),"")))</f>
      </c>
    </row>
    <row r="57">
      <c r="A57" s="11">
        <v>2</v>
      </c>
      <c r="B57" s="12">
        <f>IF(OR(1&gt;$B$5,2&gt;$B$6),"X",IF(IFERROR(INDEX(OFFSET($B$15,$D$46-15,0,1,3),MATCH(1&amp;","&amp;2,OFFSET($B$15,$F$46-15,0,1,3),0)),"")&lt;&gt;"",IFERROR(INDEX(OFFSET($B$15,$D$46-15,0,1,3),MATCH(1&amp;","&amp;2,OFFSET($B$15,$F$46-15,0,1,3),0)),""),IF($B$46="Start",IFERROR(INDEX($B$39:$F$39,MATCH(1&amp;","&amp;2,$B$40:$F$40,0)),""),"")))</f>
      </c>
      <c r="C57" s="12">
        <f>IF(OR(2&gt;$B$5,2&gt;$B$6),"X",IF(IFERROR(INDEX(OFFSET($B$15,$D$46-15,0,1,3),MATCH(2&amp;","&amp;2,OFFSET($B$15,$F$46-15,0,1,3),0)),"")&lt;&gt;"",IFERROR(INDEX(OFFSET($B$15,$D$46-15,0,1,3),MATCH(2&amp;","&amp;2,OFFSET($B$15,$F$46-15,0,1,3),0)),""),IF($B$46="Start",IFERROR(INDEX($B$39:$F$39,MATCH(2&amp;","&amp;2,$B$40:$F$40,0)),""),"")))</f>
      </c>
      <c r="D57" s="12">
        <f>IF(OR(3&gt;$B$5,2&gt;$B$6),"X",IF(IFERROR(INDEX(OFFSET($B$15,$D$46-15,0,1,3),MATCH(3&amp;","&amp;2,OFFSET($B$15,$F$46-15,0,1,3),0)),"")&lt;&gt;"",IFERROR(INDEX(OFFSET($B$15,$D$46-15,0,1,3),MATCH(3&amp;","&amp;2,OFFSET($B$15,$F$46-15,0,1,3),0)),""),IF($B$46="Start",IFERROR(INDEX($B$39:$F$39,MATCH(3&amp;","&amp;2,$B$40:$F$40,0)),""),"")))</f>
      </c>
      <c r="E57" s="12">
        <f>IF(OR(4&gt;$B$5,2&gt;$B$6),"X",IF(IFERROR(INDEX(OFFSET($B$15,$D$46-15,0,1,3),MATCH(4&amp;","&amp;2,OFFSET($B$15,$F$46-15,0,1,3),0)),"")&lt;&gt;"",IFERROR(INDEX(OFFSET($B$15,$D$46-15,0,1,3),MATCH(4&amp;","&amp;2,OFFSET($B$15,$F$46-15,0,1,3),0)),""),IF($B$46="Start",IFERROR(INDEX($B$39:$F$39,MATCH(4&amp;","&amp;2,$B$40:$F$40,0)),""),"")))</f>
      </c>
      <c r="F57" s="12">
        <f>IF(OR(5&gt;$B$5,2&gt;$B$6),"X",IF(IFERROR(INDEX(OFFSET($B$15,$D$46-15,0,1,3),MATCH(5&amp;","&amp;2,OFFSET($B$15,$F$46-15,0,1,3),0)),"")&lt;&gt;"",IFERROR(INDEX(OFFSET($B$15,$D$46-15,0,1,3),MATCH(5&amp;","&amp;2,OFFSET($B$15,$F$46-15,0,1,3),0)),""),IF($B$46="Start",IFERROR(INDEX($B$39:$F$39,MATCH(5&amp;","&amp;2,$B$40:$F$40,0)),""),"")))</f>
      </c>
      <c r="G57" s="12">
        <f>IF(OR(6&gt;$B$5,2&gt;$B$6),"X",IF(IFERROR(INDEX(OFFSET($B$15,$D$46-15,0,1,3),MATCH(6&amp;","&amp;2,OFFSET($B$15,$F$46-15,0,1,3),0)),"")&lt;&gt;"",IFERROR(INDEX(OFFSET($B$15,$D$46-15,0,1,3),MATCH(6&amp;","&amp;2,OFFSET($B$15,$F$46-15,0,1,3),0)),""),IF($B$46="Start",IFERROR(INDEX($B$39:$F$39,MATCH(6&amp;","&amp;2,$B$40:$F$40,0)),""),"")))</f>
      </c>
      <c r="H57" s="12">
        <f>IF(OR(7&gt;$B$5,2&gt;$B$6),"X",IF(IFERROR(INDEX(OFFSET($B$15,$D$46-15,0,1,3),MATCH(7&amp;","&amp;2,OFFSET($B$15,$F$46-15,0,1,3),0)),"")&lt;&gt;"",IFERROR(INDEX(OFFSET($B$15,$D$46-15,0,1,3),MATCH(7&amp;","&amp;2,OFFSET($B$15,$F$46-15,0,1,3),0)),""),IF($B$46="Start",IFERROR(INDEX($B$39:$F$39,MATCH(7&amp;","&amp;2,$B$40:$F$40,0)),""),"")))</f>
      </c>
      <c r="I57" s="12">
        <f>IF(OR(8&gt;$B$5,2&gt;$B$6),"X",IF(IFERROR(INDEX(OFFSET($B$15,$D$46-15,0,1,3),MATCH(8&amp;","&amp;2,OFFSET($B$15,$F$46-15,0,1,3),0)),"")&lt;&gt;"",IFERROR(INDEX(OFFSET($B$15,$D$46-15,0,1,3),MATCH(8&amp;","&amp;2,OFFSET($B$15,$F$46-15,0,1,3),0)),""),IF($B$46="Start",IFERROR(INDEX($B$39:$F$39,MATCH(8&amp;","&amp;2,$B$40:$F$40,0)),""),"")))</f>
      </c>
      <c r="J57" s="12">
        <f>IF(OR(9&gt;$B$5,2&gt;$B$6),"X",IF(IFERROR(INDEX(OFFSET($B$15,$D$46-15,0,1,3),MATCH(9&amp;","&amp;2,OFFSET($B$15,$F$46-15,0,1,3),0)),"")&lt;&gt;"",IFERROR(INDEX(OFFSET($B$15,$D$46-15,0,1,3),MATCH(9&amp;","&amp;2,OFFSET($B$15,$F$46-15,0,1,3),0)),""),IF($B$46="Start",IFERROR(INDEX($B$39:$F$39,MATCH(9&amp;","&amp;2,$B$40:$F$40,0)),""),"")))</f>
      </c>
      <c r="K57" s="12">
        <f>IF(OR(10&gt;$B$5,2&gt;$B$6),"X",IF(IFERROR(INDEX(OFFSET($B$15,$D$46-15,0,1,3),MATCH(10&amp;","&amp;2,OFFSET($B$15,$F$46-15,0,1,3),0)),"")&lt;&gt;"",IFERROR(INDEX(OFFSET($B$15,$D$46-15,0,1,3),MATCH(10&amp;","&amp;2,OFFSET($B$15,$F$46-15,0,1,3),0)),""),IF($B$46="Start",IFERROR(INDEX($B$39:$F$39,MATCH(10&amp;","&amp;2,$B$40:$F$40,0)),""),"")))</f>
      </c>
    </row>
    <row r="58">
      <c r="A58" s="11">
        <v>1</v>
      </c>
      <c r="B58" s="12">
        <f>IF(OR(1&gt;$B$5,1&gt;$B$6),"X",IF(IFERROR(INDEX(OFFSET($B$15,$D$46-15,0,1,3),MATCH(1&amp;","&amp;1,OFFSET($B$15,$F$46-15,0,1,3),0)),"")&lt;&gt;"",IFERROR(INDEX(OFFSET($B$15,$D$46-15,0,1,3),MATCH(1&amp;","&amp;1,OFFSET($B$15,$F$46-15,0,1,3),0)),""),IF($B$46="Start",IFERROR(INDEX($B$39:$F$39,MATCH(1&amp;","&amp;1,$B$40:$F$40,0)),""),"")))</f>
      </c>
      <c r="C58" s="12">
        <f>IF(OR(2&gt;$B$5,1&gt;$B$6),"X",IF(IFERROR(INDEX(OFFSET($B$15,$D$46-15,0,1,3),MATCH(2&amp;","&amp;1,OFFSET($B$15,$F$46-15,0,1,3),0)),"")&lt;&gt;"",IFERROR(INDEX(OFFSET($B$15,$D$46-15,0,1,3),MATCH(2&amp;","&amp;1,OFFSET($B$15,$F$46-15,0,1,3),0)),""),IF($B$46="Start",IFERROR(INDEX($B$39:$F$39,MATCH(2&amp;","&amp;1,$B$40:$F$40,0)),""),"")))</f>
      </c>
      <c r="D58" s="12">
        <f>IF(OR(3&gt;$B$5,1&gt;$B$6),"X",IF(IFERROR(INDEX(OFFSET($B$15,$D$46-15,0,1,3),MATCH(3&amp;","&amp;1,OFFSET($B$15,$F$46-15,0,1,3),0)),"")&lt;&gt;"",IFERROR(INDEX(OFFSET($B$15,$D$46-15,0,1,3),MATCH(3&amp;","&amp;1,OFFSET($B$15,$F$46-15,0,1,3),0)),""),IF($B$46="Start",IFERROR(INDEX($B$39:$F$39,MATCH(3&amp;","&amp;1,$B$40:$F$40,0)),""),"")))</f>
      </c>
      <c r="E58" s="12">
        <f>IF(OR(4&gt;$B$5,1&gt;$B$6),"X",IF(IFERROR(INDEX(OFFSET($B$15,$D$46-15,0,1,3),MATCH(4&amp;","&amp;1,OFFSET($B$15,$F$46-15,0,1,3),0)),"")&lt;&gt;"",IFERROR(INDEX(OFFSET($B$15,$D$46-15,0,1,3),MATCH(4&amp;","&amp;1,OFFSET($B$15,$F$46-15,0,1,3),0)),""),IF($B$46="Start",IFERROR(INDEX($B$39:$F$39,MATCH(4&amp;","&amp;1,$B$40:$F$40,0)),""),"")))</f>
      </c>
      <c r="F58" s="12">
        <f>IF(OR(5&gt;$B$5,1&gt;$B$6),"X",IF(IFERROR(INDEX(OFFSET($B$15,$D$46-15,0,1,3),MATCH(5&amp;","&amp;1,OFFSET($B$15,$F$46-15,0,1,3),0)),"")&lt;&gt;"",IFERROR(INDEX(OFFSET($B$15,$D$46-15,0,1,3),MATCH(5&amp;","&amp;1,OFFSET($B$15,$F$46-15,0,1,3),0)),""),IF($B$46="Start",IFERROR(INDEX($B$39:$F$39,MATCH(5&amp;","&amp;1,$B$40:$F$40,0)),""),"")))</f>
      </c>
      <c r="G58" s="12">
        <f>IF(OR(6&gt;$B$5,1&gt;$B$6),"X",IF(IFERROR(INDEX(OFFSET($B$15,$D$46-15,0,1,3),MATCH(6&amp;","&amp;1,OFFSET($B$15,$F$46-15,0,1,3),0)),"")&lt;&gt;"",IFERROR(INDEX(OFFSET($B$15,$D$46-15,0,1,3),MATCH(6&amp;","&amp;1,OFFSET($B$15,$F$46-15,0,1,3),0)),""),IF($B$46="Start",IFERROR(INDEX($B$39:$F$39,MATCH(6&amp;","&amp;1,$B$40:$F$40,0)),""),"")))</f>
      </c>
      <c r="H58" s="12">
        <f>IF(OR(7&gt;$B$5,1&gt;$B$6),"X",IF(IFERROR(INDEX(OFFSET($B$15,$D$46-15,0,1,3),MATCH(7&amp;","&amp;1,OFFSET($B$15,$F$46-15,0,1,3),0)),"")&lt;&gt;"",IFERROR(INDEX(OFFSET($B$15,$D$46-15,0,1,3),MATCH(7&amp;","&amp;1,OFFSET($B$15,$F$46-15,0,1,3),0)),""),IF($B$46="Start",IFERROR(INDEX($B$39:$F$39,MATCH(7&amp;","&amp;1,$B$40:$F$40,0)),""),"")))</f>
      </c>
      <c r="I58" s="12">
        <f>IF(OR(8&gt;$B$5,1&gt;$B$6),"X",IF(IFERROR(INDEX(OFFSET($B$15,$D$46-15,0,1,3),MATCH(8&amp;","&amp;1,OFFSET($B$15,$F$46-15,0,1,3),0)),"")&lt;&gt;"",IFERROR(INDEX(OFFSET($B$15,$D$46-15,0,1,3),MATCH(8&amp;","&amp;1,OFFSET($B$15,$F$46-15,0,1,3),0)),""),IF($B$46="Start",IFERROR(INDEX($B$39:$F$39,MATCH(8&amp;","&amp;1,$B$40:$F$40,0)),""),"")))</f>
      </c>
      <c r="J58" s="12">
        <f>IF(OR(9&gt;$B$5,1&gt;$B$6),"X",IF(IFERROR(INDEX(OFFSET($B$15,$D$46-15,0,1,3),MATCH(9&amp;","&amp;1,OFFSET($B$15,$F$46-15,0,1,3),0)),"")&lt;&gt;"",IFERROR(INDEX(OFFSET($B$15,$D$46-15,0,1,3),MATCH(9&amp;","&amp;1,OFFSET($B$15,$F$46-15,0,1,3),0)),""),IF($B$46="Start",IFERROR(INDEX($B$39:$F$39,MATCH(9&amp;","&amp;1,$B$40:$F$40,0)),""),"")))</f>
      </c>
      <c r="K58" s="12">
        <f>IF(OR(10&gt;$B$5,1&gt;$B$6),"X",IF(IFERROR(INDEX(OFFSET($B$15,$D$46-15,0,1,3),MATCH(10&amp;","&amp;1,OFFSET($B$15,$F$46-15,0,1,3),0)),"")&lt;&gt;"",IFERROR(INDEX(OFFSET($B$15,$D$46-15,0,1,3),MATCH(10&amp;","&amp;1,OFFSET($B$15,$F$46-15,0,1,3),0)),""),IF($B$46="Start",IFERROR(INDEX($B$39:$F$39,MATCH(10&amp;","&amp;1,$B$40:$F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  <row r="71">
      <c r="A71" s="0" t="s">
        <v>203</v>
      </c>
      <c r="B71" s="0">
        <v>17</v>
      </c>
      <c r="C71" s="0">
        <v>18</v>
      </c>
    </row>
    <row r="72">
      <c r="A72" s="0" t="s">
        <v>189</v>
      </c>
      <c r="B72" s="0">
        <v>19</v>
      </c>
      <c r="C72" s="0">
        <v>20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D15" showErrorMessage="0" allowBlank="1">
      <formula1>=list_Prefab</formula1>
    </dataValidation>
    <dataValidation type="list" sqref="B17:D17" showErrorMessage="0" allowBlank="1">
      <formula1>=list_Prefab</formula1>
    </dataValidation>
    <dataValidation type="list" sqref="B19:D19" showErrorMessage="0" allowBlank="1">
      <formula1>=list_Prefab</formula1>
    </dataValidation>
    <dataValidation type="list" sqref="B21:D21" showErrorMessage="0" allowBlank="1">
      <formula1>=list_Prefab</formula1>
    </dataValidation>
    <dataValidation type="list" sqref="B23:D23" showErrorMessage="0" allowBlank="1">
      <formula1>=list_Prefab</formula1>
    </dataValidation>
    <dataValidation type="list" sqref="B25:D25" showErrorMessage="0" allowBlank="1">
      <formula1>=list_Prefab</formula1>
    </dataValidation>
    <dataValidation type="list" sqref="B27:D27" showErrorMessage="0" allowBlank="1">
      <formula1>=list_Prefab</formula1>
    </dataValidation>
    <dataValidation type="list" sqref="B29:D29" showErrorMessage="0" allowBlank="1">
      <formula1>=list_Prefab</formula1>
    </dataValidation>
    <dataValidation type="list" sqref="B31:D31" showErrorMessage="0" allowBlank="1">
      <formula1>=list_Prefab</formula1>
    </dataValidation>
    <dataValidation type="list" sqref="B33:D33" showErrorMessage="0" allowBlank="1">
      <formula1>=list_Prefab</formula1>
    </dataValidation>
    <dataValidation type="list" sqref="B35:D35" showErrorMessage="0" allowBlank="1">
      <formula1>=list_Prefab</formula1>
    </dataValidation>
    <dataValidation type="list" sqref="B46" showErrorMessage="0">
      <formula1>=$A$70:$A$72</formula1>
    </dataValidation>
  </dataValidations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72"/>
  <sheetViews>
    <sheetView workbookViewId="0" tabSelected="0">
      <pane xSplit="1" ySplit="14" topLeftCell="B15" state="frozen" activePane="bottomRight"/>
      <selection pane="topRight" activeCell="B1" sqref="B1"/>
      <selection pane="bottomLeft" activeCell="A15" sqref="A15"/>
      <selection pane="bottomRight" activeCell="A1" sqref="A1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>
      <c r="A1" s="1" t="s">
        <v>87</v>
      </c>
      <c r="B1" s="0" t="s">
        <v>19</v>
      </c>
    </row>
    <row r="2">
      <c r="A2" s="1" t="s">
        <v>3</v>
      </c>
      <c r="B2" s="0" t="s">
        <v>204</v>
      </c>
    </row>
    <row r="3">
      <c r="A3" s="1" t="s">
        <v>4</v>
      </c>
      <c r="B3" s="0">
        <f>IF($B$2="","NEW","Live")</f>
      </c>
    </row>
    <row r="4">
      <c r="A4" s="1" t="s">
        <v>89</v>
      </c>
    </row>
    <row r="5">
      <c r="A5" s="4" t="s">
        <v>90</v>
      </c>
      <c r="B5" s="0">
        <v>3</v>
      </c>
    </row>
    <row r="6">
      <c r="A6" s="4" t="s">
        <v>91</v>
      </c>
      <c r="B6" s="0">
        <v>6</v>
      </c>
    </row>
    <row r="7">
      <c r="A7" s="4" t="s">
        <v>92</v>
      </c>
      <c r="B7" s="0">
        <v>3</v>
      </c>
    </row>
    <row r="8">
      <c r="A8" s="4" t="s">
        <v>93</v>
      </c>
      <c r="B8" s="0">
        <v>3</v>
      </c>
    </row>
    <row r="9">
      <c r="A9" s="4" t="s">
        <v>94</v>
      </c>
      <c r="B9" s="0" t="s">
        <v>62</v>
      </c>
    </row>
    <row r="10">
      <c r="A10" s="4" t="s">
        <v>95</v>
      </c>
      <c r="B10" s="0" t="s">
        <v>26</v>
      </c>
    </row>
    <row r="11">
      <c r="A11" s="4" t="s">
        <v>96</v>
      </c>
      <c r="B11" s="0" t="s">
        <v>97</v>
      </c>
    </row>
    <row r="13">
      <c r="A13" s="1" t="s">
        <v>98</v>
      </c>
    </row>
    <row r="14">
      <c r="A14" s="4" t="s">
        <v>99</v>
      </c>
      <c r="B14" s="4" t="s">
        <v>100</v>
      </c>
    </row>
    <row r="15">
      <c r="A15" s="1" t="s">
        <v>112</v>
      </c>
      <c r="B15" s="0" t="s">
        <v>60</v>
      </c>
    </row>
    <row r="16">
      <c r="A16" s="4" t="s">
        <v>113</v>
      </c>
      <c r="B16" s="0" t="s">
        <v>182</v>
      </c>
    </row>
    <row r="17">
      <c r="A17" s="1">
        <v>2</v>
      </c>
      <c r="B17" s="0" t="s">
        <v>77</v>
      </c>
    </row>
    <row r="18">
      <c r="A18" s="4" t="s">
        <v>113</v>
      </c>
      <c r="B18" s="0" t="s">
        <v>173</v>
      </c>
    </row>
    <row r="19">
      <c r="A19" s="1">
        <v>3</v>
      </c>
      <c r="B19" s="0" t="s">
        <v>77</v>
      </c>
    </row>
    <row r="20">
      <c r="A20" s="4" t="s">
        <v>113</v>
      </c>
      <c r="B20" s="0" t="s">
        <v>176</v>
      </c>
    </row>
    <row r="21">
      <c r="A21" s="5"/>
    </row>
    <row r="22">
      <c r="A22" s="6" t="s">
        <v>113</v>
      </c>
    </row>
    <row r="23">
      <c r="A23" s="5"/>
    </row>
    <row r="24">
      <c r="A24" s="6" t="s">
        <v>113</v>
      </c>
    </row>
    <row r="25">
      <c r="A25" s="5"/>
    </row>
    <row r="26">
      <c r="A26" s="6" t="s">
        <v>113</v>
      </c>
    </row>
    <row r="27">
      <c r="A27" s="5"/>
    </row>
    <row r="28">
      <c r="A28" s="6" t="s">
        <v>113</v>
      </c>
    </row>
    <row r="29">
      <c r="A29" s="5"/>
    </row>
    <row r="30">
      <c r="A30" s="6" t="s">
        <v>113</v>
      </c>
    </row>
    <row r="31">
      <c r="A31" s="5"/>
    </row>
    <row r="32">
      <c r="A32" s="6" t="s">
        <v>113</v>
      </c>
    </row>
    <row r="33">
      <c r="A33" s="5"/>
    </row>
    <row r="34">
      <c r="A34" s="6" t="s">
        <v>113</v>
      </c>
    </row>
    <row r="35">
      <c r="A35" s="5"/>
    </row>
    <row r="36">
      <c r="A36" s="6" t="s">
        <v>113</v>
      </c>
    </row>
    <row r="38">
      <c r="A38" s="1" t="s">
        <v>126</v>
      </c>
    </row>
    <row r="39">
      <c r="B39" s="4" t="s">
        <v>127</v>
      </c>
      <c r="C39" s="4" t="s">
        <v>128</v>
      </c>
      <c r="D39" s="4" t="s">
        <v>129</v>
      </c>
      <c r="E39" s="4" t="s">
        <v>130</v>
      </c>
    </row>
    <row r="40">
      <c r="A40" s="1" t="s">
        <v>132</v>
      </c>
      <c r="B40" s="0" t="s">
        <v>162</v>
      </c>
      <c r="C40" s="0" t="s">
        <v>205</v>
      </c>
    </row>
    <row r="42">
      <c r="A42" s="1" t="s">
        <v>136</v>
      </c>
    </row>
    <row r="43">
      <c r="A43" s="4" t="s">
        <v>137</v>
      </c>
      <c r="B43" s="4" t="s">
        <v>138</v>
      </c>
      <c r="C43" s="4" t="s">
        <v>99</v>
      </c>
      <c r="D43" s="4" t="s">
        <v>139</v>
      </c>
    </row>
    <row r="45">
      <c r="A45" s="1" t="s">
        <v>140</v>
      </c>
    </row>
    <row r="46">
      <c r="A46" s="1" t="s">
        <v>141</v>
      </c>
      <c r="B46" s="0" t="s">
        <v>112</v>
      </c>
      <c r="C46" s="7" t="s">
        <v>142</v>
      </c>
      <c r="D46" s="8">
        <f>INDEX($B$70:$B$72,MATCH($B$46,$A$70:$A$72,0))</f>
      </c>
      <c r="E46" s="7" t="s">
        <v>143</v>
      </c>
      <c r="F46" s="8">
        <f>INDEX($C$70:$C$72,MATCH($B$46,$A$70:$A$72,0))</f>
      </c>
    </row>
    <row r="48">
      <c r="A48" s="9"/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</row>
    <row r="49">
      <c r="A49" s="11">
        <v>10</v>
      </c>
      <c r="B49" s="12">
        <f>IF(OR(1&gt;$B$5,10&gt;$B$6),"X",IF(IFERROR(INDEX(OFFSET($B$15,$D$46-15,0,1,1),MATCH(1&amp;","&amp;10,OFFSET($B$15,$F$46-15,0,1,1),0)),"")&lt;&gt;"",IFERROR(INDEX(OFFSET($B$15,$D$46-15,0,1,1),MATCH(1&amp;","&amp;10,OFFSET($B$15,$F$46-15,0,1,1),0)),""),IF($B$46="Start",IFERROR(INDEX($B$39:$E$39,MATCH(1&amp;","&amp;10,$B$40:$E$40,0)),""),"")))</f>
      </c>
      <c r="C49" s="12">
        <f>IF(OR(2&gt;$B$5,10&gt;$B$6),"X",IF(IFERROR(INDEX(OFFSET($B$15,$D$46-15,0,1,1),MATCH(2&amp;","&amp;10,OFFSET($B$15,$F$46-15,0,1,1),0)),"")&lt;&gt;"",IFERROR(INDEX(OFFSET($B$15,$D$46-15,0,1,1),MATCH(2&amp;","&amp;10,OFFSET($B$15,$F$46-15,0,1,1),0)),""),IF($B$46="Start",IFERROR(INDEX($B$39:$E$39,MATCH(2&amp;","&amp;10,$B$40:$E$40,0)),""),"")))</f>
      </c>
      <c r="D49" s="12">
        <f>IF(OR(3&gt;$B$5,10&gt;$B$6),"X",IF(IFERROR(INDEX(OFFSET($B$15,$D$46-15,0,1,1),MATCH(3&amp;","&amp;10,OFFSET($B$15,$F$46-15,0,1,1),0)),"")&lt;&gt;"",IFERROR(INDEX(OFFSET($B$15,$D$46-15,0,1,1),MATCH(3&amp;","&amp;10,OFFSET($B$15,$F$46-15,0,1,1),0)),""),IF($B$46="Start",IFERROR(INDEX($B$39:$E$39,MATCH(3&amp;","&amp;10,$B$40:$E$40,0)),""),"")))</f>
      </c>
      <c r="E49" s="12">
        <f>IF(OR(4&gt;$B$5,10&gt;$B$6),"X",IF(IFERROR(INDEX(OFFSET($B$15,$D$46-15,0,1,1),MATCH(4&amp;","&amp;10,OFFSET($B$15,$F$46-15,0,1,1),0)),"")&lt;&gt;"",IFERROR(INDEX(OFFSET($B$15,$D$46-15,0,1,1),MATCH(4&amp;","&amp;10,OFFSET($B$15,$F$46-15,0,1,1),0)),""),IF($B$46="Start",IFERROR(INDEX($B$39:$E$39,MATCH(4&amp;","&amp;10,$B$40:$E$40,0)),""),"")))</f>
      </c>
      <c r="F49" s="12">
        <f>IF(OR(5&gt;$B$5,10&gt;$B$6),"X",IF(IFERROR(INDEX(OFFSET($B$15,$D$46-15,0,1,1),MATCH(5&amp;","&amp;10,OFFSET($B$15,$F$46-15,0,1,1),0)),"")&lt;&gt;"",IFERROR(INDEX(OFFSET($B$15,$D$46-15,0,1,1),MATCH(5&amp;","&amp;10,OFFSET($B$15,$F$46-15,0,1,1),0)),""),IF($B$46="Start",IFERROR(INDEX($B$39:$E$39,MATCH(5&amp;","&amp;10,$B$40:$E$40,0)),""),"")))</f>
      </c>
      <c r="G49" s="12">
        <f>IF(OR(6&gt;$B$5,10&gt;$B$6),"X",IF(IFERROR(INDEX(OFFSET($B$15,$D$46-15,0,1,1),MATCH(6&amp;","&amp;10,OFFSET($B$15,$F$46-15,0,1,1),0)),"")&lt;&gt;"",IFERROR(INDEX(OFFSET($B$15,$D$46-15,0,1,1),MATCH(6&amp;","&amp;10,OFFSET($B$15,$F$46-15,0,1,1),0)),""),IF($B$46="Start",IFERROR(INDEX($B$39:$E$39,MATCH(6&amp;","&amp;10,$B$40:$E$40,0)),""),"")))</f>
      </c>
      <c r="H49" s="12">
        <f>IF(OR(7&gt;$B$5,10&gt;$B$6),"X",IF(IFERROR(INDEX(OFFSET($B$15,$D$46-15,0,1,1),MATCH(7&amp;","&amp;10,OFFSET($B$15,$F$46-15,0,1,1),0)),"")&lt;&gt;"",IFERROR(INDEX(OFFSET($B$15,$D$46-15,0,1,1),MATCH(7&amp;","&amp;10,OFFSET($B$15,$F$46-15,0,1,1),0)),""),IF($B$46="Start",IFERROR(INDEX($B$39:$E$39,MATCH(7&amp;","&amp;10,$B$40:$E$40,0)),""),"")))</f>
      </c>
      <c r="I49" s="12">
        <f>IF(OR(8&gt;$B$5,10&gt;$B$6),"X",IF(IFERROR(INDEX(OFFSET($B$15,$D$46-15,0,1,1),MATCH(8&amp;","&amp;10,OFFSET($B$15,$F$46-15,0,1,1),0)),"")&lt;&gt;"",IFERROR(INDEX(OFFSET($B$15,$D$46-15,0,1,1),MATCH(8&amp;","&amp;10,OFFSET($B$15,$F$46-15,0,1,1),0)),""),IF($B$46="Start",IFERROR(INDEX($B$39:$E$39,MATCH(8&amp;","&amp;10,$B$40:$E$40,0)),""),"")))</f>
      </c>
      <c r="J49" s="12">
        <f>IF(OR(9&gt;$B$5,10&gt;$B$6),"X",IF(IFERROR(INDEX(OFFSET($B$15,$D$46-15,0,1,1),MATCH(9&amp;","&amp;10,OFFSET($B$15,$F$46-15,0,1,1),0)),"")&lt;&gt;"",IFERROR(INDEX(OFFSET($B$15,$D$46-15,0,1,1),MATCH(9&amp;","&amp;10,OFFSET($B$15,$F$46-15,0,1,1),0)),""),IF($B$46="Start",IFERROR(INDEX($B$39:$E$39,MATCH(9&amp;","&amp;10,$B$40:$E$40,0)),""),"")))</f>
      </c>
      <c r="K49" s="12">
        <f>IF(OR(10&gt;$B$5,10&gt;$B$6),"X",IF(IFERROR(INDEX(OFFSET($B$15,$D$46-15,0,1,1),MATCH(10&amp;","&amp;10,OFFSET($B$15,$F$46-15,0,1,1),0)),"")&lt;&gt;"",IFERROR(INDEX(OFFSET($B$15,$D$46-15,0,1,1),MATCH(10&amp;","&amp;10,OFFSET($B$15,$F$46-15,0,1,1),0)),""),IF($B$46="Start",IFERROR(INDEX($B$39:$E$39,MATCH(10&amp;","&amp;10,$B$40:$E$40,0)),""),"")))</f>
      </c>
    </row>
    <row r="50">
      <c r="A50" s="11">
        <v>9</v>
      </c>
      <c r="B50" s="12">
        <f>IF(OR(1&gt;$B$5,9&gt;$B$6),"X",IF(IFERROR(INDEX(OFFSET($B$15,$D$46-15,0,1,1),MATCH(1&amp;","&amp;9,OFFSET($B$15,$F$46-15,0,1,1),0)),"")&lt;&gt;"",IFERROR(INDEX(OFFSET($B$15,$D$46-15,0,1,1),MATCH(1&amp;","&amp;9,OFFSET($B$15,$F$46-15,0,1,1),0)),""),IF($B$46="Start",IFERROR(INDEX($B$39:$E$39,MATCH(1&amp;","&amp;9,$B$40:$E$40,0)),""),"")))</f>
      </c>
      <c r="C50" s="12">
        <f>IF(OR(2&gt;$B$5,9&gt;$B$6),"X",IF(IFERROR(INDEX(OFFSET($B$15,$D$46-15,0,1,1),MATCH(2&amp;","&amp;9,OFFSET($B$15,$F$46-15,0,1,1),0)),"")&lt;&gt;"",IFERROR(INDEX(OFFSET($B$15,$D$46-15,0,1,1),MATCH(2&amp;","&amp;9,OFFSET($B$15,$F$46-15,0,1,1),0)),""),IF($B$46="Start",IFERROR(INDEX($B$39:$E$39,MATCH(2&amp;","&amp;9,$B$40:$E$40,0)),""),"")))</f>
      </c>
      <c r="D50" s="12">
        <f>IF(OR(3&gt;$B$5,9&gt;$B$6),"X",IF(IFERROR(INDEX(OFFSET($B$15,$D$46-15,0,1,1),MATCH(3&amp;","&amp;9,OFFSET($B$15,$F$46-15,0,1,1),0)),"")&lt;&gt;"",IFERROR(INDEX(OFFSET($B$15,$D$46-15,0,1,1),MATCH(3&amp;","&amp;9,OFFSET($B$15,$F$46-15,0,1,1),0)),""),IF($B$46="Start",IFERROR(INDEX($B$39:$E$39,MATCH(3&amp;","&amp;9,$B$40:$E$40,0)),""),"")))</f>
      </c>
      <c r="E50" s="12">
        <f>IF(OR(4&gt;$B$5,9&gt;$B$6),"X",IF(IFERROR(INDEX(OFFSET($B$15,$D$46-15,0,1,1),MATCH(4&amp;","&amp;9,OFFSET($B$15,$F$46-15,0,1,1),0)),"")&lt;&gt;"",IFERROR(INDEX(OFFSET($B$15,$D$46-15,0,1,1),MATCH(4&amp;","&amp;9,OFFSET($B$15,$F$46-15,0,1,1),0)),""),IF($B$46="Start",IFERROR(INDEX($B$39:$E$39,MATCH(4&amp;","&amp;9,$B$40:$E$40,0)),""),"")))</f>
      </c>
      <c r="F50" s="12">
        <f>IF(OR(5&gt;$B$5,9&gt;$B$6),"X",IF(IFERROR(INDEX(OFFSET($B$15,$D$46-15,0,1,1),MATCH(5&amp;","&amp;9,OFFSET($B$15,$F$46-15,0,1,1),0)),"")&lt;&gt;"",IFERROR(INDEX(OFFSET($B$15,$D$46-15,0,1,1),MATCH(5&amp;","&amp;9,OFFSET($B$15,$F$46-15,0,1,1),0)),""),IF($B$46="Start",IFERROR(INDEX($B$39:$E$39,MATCH(5&amp;","&amp;9,$B$40:$E$40,0)),""),"")))</f>
      </c>
      <c r="G50" s="12">
        <f>IF(OR(6&gt;$B$5,9&gt;$B$6),"X",IF(IFERROR(INDEX(OFFSET($B$15,$D$46-15,0,1,1),MATCH(6&amp;","&amp;9,OFFSET($B$15,$F$46-15,0,1,1),0)),"")&lt;&gt;"",IFERROR(INDEX(OFFSET($B$15,$D$46-15,0,1,1),MATCH(6&amp;","&amp;9,OFFSET($B$15,$F$46-15,0,1,1),0)),""),IF($B$46="Start",IFERROR(INDEX($B$39:$E$39,MATCH(6&amp;","&amp;9,$B$40:$E$40,0)),""),"")))</f>
      </c>
      <c r="H50" s="12">
        <f>IF(OR(7&gt;$B$5,9&gt;$B$6),"X",IF(IFERROR(INDEX(OFFSET($B$15,$D$46-15,0,1,1),MATCH(7&amp;","&amp;9,OFFSET($B$15,$F$46-15,0,1,1),0)),"")&lt;&gt;"",IFERROR(INDEX(OFFSET($B$15,$D$46-15,0,1,1),MATCH(7&amp;","&amp;9,OFFSET($B$15,$F$46-15,0,1,1),0)),""),IF($B$46="Start",IFERROR(INDEX($B$39:$E$39,MATCH(7&amp;","&amp;9,$B$40:$E$40,0)),""),"")))</f>
      </c>
      <c r="I50" s="12">
        <f>IF(OR(8&gt;$B$5,9&gt;$B$6),"X",IF(IFERROR(INDEX(OFFSET($B$15,$D$46-15,0,1,1),MATCH(8&amp;","&amp;9,OFFSET($B$15,$F$46-15,0,1,1),0)),"")&lt;&gt;"",IFERROR(INDEX(OFFSET($B$15,$D$46-15,0,1,1),MATCH(8&amp;","&amp;9,OFFSET($B$15,$F$46-15,0,1,1),0)),""),IF($B$46="Start",IFERROR(INDEX($B$39:$E$39,MATCH(8&amp;","&amp;9,$B$40:$E$40,0)),""),"")))</f>
      </c>
      <c r="J50" s="12">
        <f>IF(OR(9&gt;$B$5,9&gt;$B$6),"X",IF(IFERROR(INDEX(OFFSET($B$15,$D$46-15,0,1,1),MATCH(9&amp;","&amp;9,OFFSET($B$15,$F$46-15,0,1,1),0)),"")&lt;&gt;"",IFERROR(INDEX(OFFSET($B$15,$D$46-15,0,1,1),MATCH(9&amp;","&amp;9,OFFSET($B$15,$F$46-15,0,1,1),0)),""),IF($B$46="Start",IFERROR(INDEX($B$39:$E$39,MATCH(9&amp;","&amp;9,$B$40:$E$40,0)),""),"")))</f>
      </c>
      <c r="K50" s="12">
        <f>IF(OR(10&gt;$B$5,9&gt;$B$6),"X",IF(IFERROR(INDEX(OFFSET($B$15,$D$46-15,0,1,1),MATCH(10&amp;","&amp;9,OFFSET($B$15,$F$46-15,0,1,1),0)),"")&lt;&gt;"",IFERROR(INDEX(OFFSET($B$15,$D$46-15,0,1,1),MATCH(10&amp;","&amp;9,OFFSET($B$15,$F$46-15,0,1,1),0)),""),IF($B$46="Start",IFERROR(INDEX($B$39:$E$39,MATCH(10&amp;","&amp;9,$B$40:$E$40,0)),""),"")))</f>
      </c>
    </row>
    <row r="51">
      <c r="A51" s="11">
        <v>8</v>
      </c>
      <c r="B51" s="12">
        <f>IF(OR(1&gt;$B$5,8&gt;$B$6),"X",IF(IFERROR(INDEX(OFFSET($B$15,$D$46-15,0,1,1),MATCH(1&amp;","&amp;8,OFFSET($B$15,$F$46-15,0,1,1),0)),"")&lt;&gt;"",IFERROR(INDEX(OFFSET($B$15,$D$46-15,0,1,1),MATCH(1&amp;","&amp;8,OFFSET($B$15,$F$46-15,0,1,1),0)),""),IF($B$46="Start",IFERROR(INDEX($B$39:$E$39,MATCH(1&amp;","&amp;8,$B$40:$E$40,0)),""),"")))</f>
      </c>
      <c r="C51" s="12">
        <f>IF(OR(2&gt;$B$5,8&gt;$B$6),"X",IF(IFERROR(INDEX(OFFSET($B$15,$D$46-15,0,1,1),MATCH(2&amp;","&amp;8,OFFSET($B$15,$F$46-15,0,1,1),0)),"")&lt;&gt;"",IFERROR(INDEX(OFFSET($B$15,$D$46-15,0,1,1),MATCH(2&amp;","&amp;8,OFFSET($B$15,$F$46-15,0,1,1),0)),""),IF($B$46="Start",IFERROR(INDEX($B$39:$E$39,MATCH(2&amp;","&amp;8,$B$40:$E$40,0)),""),"")))</f>
      </c>
      <c r="D51" s="12">
        <f>IF(OR(3&gt;$B$5,8&gt;$B$6),"X",IF(IFERROR(INDEX(OFFSET($B$15,$D$46-15,0,1,1),MATCH(3&amp;","&amp;8,OFFSET($B$15,$F$46-15,0,1,1),0)),"")&lt;&gt;"",IFERROR(INDEX(OFFSET($B$15,$D$46-15,0,1,1),MATCH(3&amp;","&amp;8,OFFSET($B$15,$F$46-15,0,1,1),0)),""),IF($B$46="Start",IFERROR(INDEX($B$39:$E$39,MATCH(3&amp;","&amp;8,$B$40:$E$40,0)),""),"")))</f>
      </c>
      <c r="E51" s="12">
        <f>IF(OR(4&gt;$B$5,8&gt;$B$6),"X",IF(IFERROR(INDEX(OFFSET($B$15,$D$46-15,0,1,1),MATCH(4&amp;","&amp;8,OFFSET($B$15,$F$46-15,0,1,1),0)),"")&lt;&gt;"",IFERROR(INDEX(OFFSET($B$15,$D$46-15,0,1,1),MATCH(4&amp;","&amp;8,OFFSET($B$15,$F$46-15,0,1,1),0)),""),IF($B$46="Start",IFERROR(INDEX($B$39:$E$39,MATCH(4&amp;","&amp;8,$B$40:$E$40,0)),""),"")))</f>
      </c>
      <c r="F51" s="12">
        <f>IF(OR(5&gt;$B$5,8&gt;$B$6),"X",IF(IFERROR(INDEX(OFFSET($B$15,$D$46-15,0,1,1),MATCH(5&amp;","&amp;8,OFFSET($B$15,$F$46-15,0,1,1),0)),"")&lt;&gt;"",IFERROR(INDEX(OFFSET($B$15,$D$46-15,0,1,1),MATCH(5&amp;","&amp;8,OFFSET($B$15,$F$46-15,0,1,1),0)),""),IF($B$46="Start",IFERROR(INDEX($B$39:$E$39,MATCH(5&amp;","&amp;8,$B$40:$E$40,0)),""),"")))</f>
      </c>
      <c r="G51" s="12">
        <f>IF(OR(6&gt;$B$5,8&gt;$B$6),"X",IF(IFERROR(INDEX(OFFSET($B$15,$D$46-15,0,1,1),MATCH(6&amp;","&amp;8,OFFSET($B$15,$F$46-15,0,1,1),0)),"")&lt;&gt;"",IFERROR(INDEX(OFFSET($B$15,$D$46-15,0,1,1),MATCH(6&amp;","&amp;8,OFFSET($B$15,$F$46-15,0,1,1),0)),""),IF($B$46="Start",IFERROR(INDEX($B$39:$E$39,MATCH(6&amp;","&amp;8,$B$40:$E$40,0)),""),"")))</f>
      </c>
      <c r="H51" s="12">
        <f>IF(OR(7&gt;$B$5,8&gt;$B$6),"X",IF(IFERROR(INDEX(OFFSET($B$15,$D$46-15,0,1,1),MATCH(7&amp;","&amp;8,OFFSET($B$15,$F$46-15,0,1,1),0)),"")&lt;&gt;"",IFERROR(INDEX(OFFSET($B$15,$D$46-15,0,1,1),MATCH(7&amp;","&amp;8,OFFSET($B$15,$F$46-15,0,1,1),0)),""),IF($B$46="Start",IFERROR(INDEX($B$39:$E$39,MATCH(7&amp;","&amp;8,$B$40:$E$40,0)),""),"")))</f>
      </c>
      <c r="I51" s="12">
        <f>IF(OR(8&gt;$B$5,8&gt;$B$6),"X",IF(IFERROR(INDEX(OFFSET($B$15,$D$46-15,0,1,1),MATCH(8&amp;","&amp;8,OFFSET($B$15,$F$46-15,0,1,1),0)),"")&lt;&gt;"",IFERROR(INDEX(OFFSET($B$15,$D$46-15,0,1,1),MATCH(8&amp;","&amp;8,OFFSET($B$15,$F$46-15,0,1,1),0)),""),IF($B$46="Start",IFERROR(INDEX($B$39:$E$39,MATCH(8&amp;","&amp;8,$B$40:$E$40,0)),""),"")))</f>
      </c>
      <c r="J51" s="12">
        <f>IF(OR(9&gt;$B$5,8&gt;$B$6),"X",IF(IFERROR(INDEX(OFFSET($B$15,$D$46-15,0,1,1),MATCH(9&amp;","&amp;8,OFFSET($B$15,$F$46-15,0,1,1),0)),"")&lt;&gt;"",IFERROR(INDEX(OFFSET($B$15,$D$46-15,0,1,1),MATCH(9&amp;","&amp;8,OFFSET($B$15,$F$46-15,0,1,1),0)),""),IF($B$46="Start",IFERROR(INDEX($B$39:$E$39,MATCH(9&amp;","&amp;8,$B$40:$E$40,0)),""),"")))</f>
      </c>
      <c r="K51" s="12">
        <f>IF(OR(10&gt;$B$5,8&gt;$B$6),"X",IF(IFERROR(INDEX(OFFSET($B$15,$D$46-15,0,1,1),MATCH(10&amp;","&amp;8,OFFSET($B$15,$F$46-15,0,1,1),0)),"")&lt;&gt;"",IFERROR(INDEX(OFFSET($B$15,$D$46-15,0,1,1),MATCH(10&amp;","&amp;8,OFFSET($B$15,$F$46-15,0,1,1),0)),""),IF($B$46="Start",IFERROR(INDEX($B$39:$E$39,MATCH(10&amp;","&amp;8,$B$40:$E$40,0)),""),"")))</f>
      </c>
    </row>
    <row r="52">
      <c r="A52" s="11">
        <v>7</v>
      </c>
      <c r="B52" s="12">
        <f>IF(OR(1&gt;$B$5,7&gt;$B$6),"X",IF(IFERROR(INDEX(OFFSET($B$15,$D$46-15,0,1,1),MATCH(1&amp;","&amp;7,OFFSET($B$15,$F$46-15,0,1,1),0)),"")&lt;&gt;"",IFERROR(INDEX(OFFSET($B$15,$D$46-15,0,1,1),MATCH(1&amp;","&amp;7,OFFSET($B$15,$F$46-15,0,1,1),0)),""),IF($B$46="Start",IFERROR(INDEX($B$39:$E$39,MATCH(1&amp;","&amp;7,$B$40:$E$40,0)),""),"")))</f>
      </c>
      <c r="C52" s="12">
        <f>IF(OR(2&gt;$B$5,7&gt;$B$6),"X",IF(IFERROR(INDEX(OFFSET($B$15,$D$46-15,0,1,1),MATCH(2&amp;","&amp;7,OFFSET($B$15,$F$46-15,0,1,1),0)),"")&lt;&gt;"",IFERROR(INDEX(OFFSET($B$15,$D$46-15,0,1,1),MATCH(2&amp;","&amp;7,OFFSET($B$15,$F$46-15,0,1,1),0)),""),IF($B$46="Start",IFERROR(INDEX($B$39:$E$39,MATCH(2&amp;","&amp;7,$B$40:$E$40,0)),""),"")))</f>
      </c>
      <c r="D52" s="12">
        <f>IF(OR(3&gt;$B$5,7&gt;$B$6),"X",IF(IFERROR(INDEX(OFFSET($B$15,$D$46-15,0,1,1),MATCH(3&amp;","&amp;7,OFFSET($B$15,$F$46-15,0,1,1),0)),"")&lt;&gt;"",IFERROR(INDEX(OFFSET($B$15,$D$46-15,0,1,1),MATCH(3&amp;","&amp;7,OFFSET($B$15,$F$46-15,0,1,1),0)),""),IF($B$46="Start",IFERROR(INDEX($B$39:$E$39,MATCH(3&amp;","&amp;7,$B$40:$E$40,0)),""),"")))</f>
      </c>
      <c r="E52" s="12">
        <f>IF(OR(4&gt;$B$5,7&gt;$B$6),"X",IF(IFERROR(INDEX(OFFSET($B$15,$D$46-15,0,1,1),MATCH(4&amp;","&amp;7,OFFSET($B$15,$F$46-15,0,1,1),0)),"")&lt;&gt;"",IFERROR(INDEX(OFFSET($B$15,$D$46-15,0,1,1),MATCH(4&amp;","&amp;7,OFFSET($B$15,$F$46-15,0,1,1),0)),""),IF($B$46="Start",IFERROR(INDEX($B$39:$E$39,MATCH(4&amp;","&amp;7,$B$40:$E$40,0)),""),"")))</f>
      </c>
      <c r="F52" s="12">
        <f>IF(OR(5&gt;$B$5,7&gt;$B$6),"X",IF(IFERROR(INDEX(OFFSET($B$15,$D$46-15,0,1,1),MATCH(5&amp;","&amp;7,OFFSET($B$15,$F$46-15,0,1,1),0)),"")&lt;&gt;"",IFERROR(INDEX(OFFSET($B$15,$D$46-15,0,1,1),MATCH(5&amp;","&amp;7,OFFSET($B$15,$F$46-15,0,1,1),0)),""),IF($B$46="Start",IFERROR(INDEX($B$39:$E$39,MATCH(5&amp;","&amp;7,$B$40:$E$40,0)),""),"")))</f>
      </c>
      <c r="G52" s="12">
        <f>IF(OR(6&gt;$B$5,7&gt;$B$6),"X",IF(IFERROR(INDEX(OFFSET($B$15,$D$46-15,0,1,1),MATCH(6&amp;","&amp;7,OFFSET($B$15,$F$46-15,0,1,1),0)),"")&lt;&gt;"",IFERROR(INDEX(OFFSET($B$15,$D$46-15,0,1,1),MATCH(6&amp;","&amp;7,OFFSET($B$15,$F$46-15,0,1,1),0)),""),IF($B$46="Start",IFERROR(INDEX($B$39:$E$39,MATCH(6&amp;","&amp;7,$B$40:$E$40,0)),""),"")))</f>
      </c>
      <c r="H52" s="12">
        <f>IF(OR(7&gt;$B$5,7&gt;$B$6),"X",IF(IFERROR(INDEX(OFFSET($B$15,$D$46-15,0,1,1),MATCH(7&amp;","&amp;7,OFFSET($B$15,$F$46-15,0,1,1),0)),"")&lt;&gt;"",IFERROR(INDEX(OFFSET($B$15,$D$46-15,0,1,1),MATCH(7&amp;","&amp;7,OFFSET($B$15,$F$46-15,0,1,1),0)),""),IF($B$46="Start",IFERROR(INDEX($B$39:$E$39,MATCH(7&amp;","&amp;7,$B$40:$E$40,0)),""),"")))</f>
      </c>
      <c r="I52" s="12">
        <f>IF(OR(8&gt;$B$5,7&gt;$B$6),"X",IF(IFERROR(INDEX(OFFSET($B$15,$D$46-15,0,1,1),MATCH(8&amp;","&amp;7,OFFSET($B$15,$F$46-15,0,1,1),0)),"")&lt;&gt;"",IFERROR(INDEX(OFFSET($B$15,$D$46-15,0,1,1),MATCH(8&amp;","&amp;7,OFFSET($B$15,$F$46-15,0,1,1),0)),""),IF($B$46="Start",IFERROR(INDEX($B$39:$E$39,MATCH(8&amp;","&amp;7,$B$40:$E$40,0)),""),"")))</f>
      </c>
      <c r="J52" s="12">
        <f>IF(OR(9&gt;$B$5,7&gt;$B$6),"X",IF(IFERROR(INDEX(OFFSET($B$15,$D$46-15,0,1,1),MATCH(9&amp;","&amp;7,OFFSET($B$15,$F$46-15,0,1,1),0)),"")&lt;&gt;"",IFERROR(INDEX(OFFSET($B$15,$D$46-15,0,1,1),MATCH(9&amp;","&amp;7,OFFSET($B$15,$F$46-15,0,1,1),0)),""),IF($B$46="Start",IFERROR(INDEX($B$39:$E$39,MATCH(9&amp;","&amp;7,$B$40:$E$40,0)),""),"")))</f>
      </c>
      <c r="K52" s="12">
        <f>IF(OR(10&gt;$B$5,7&gt;$B$6),"X",IF(IFERROR(INDEX(OFFSET($B$15,$D$46-15,0,1,1),MATCH(10&amp;","&amp;7,OFFSET($B$15,$F$46-15,0,1,1),0)),"")&lt;&gt;"",IFERROR(INDEX(OFFSET($B$15,$D$46-15,0,1,1),MATCH(10&amp;","&amp;7,OFFSET($B$15,$F$46-15,0,1,1),0)),""),IF($B$46="Start",IFERROR(INDEX($B$39:$E$39,MATCH(10&amp;","&amp;7,$B$40:$E$40,0)),""),"")))</f>
      </c>
    </row>
    <row r="53">
      <c r="A53" s="11">
        <v>6</v>
      </c>
      <c r="B53" s="12">
        <f>IF(OR(1&gt;$B$5,6&gt;$B$6),"X",IF(IFERROR(INDEX(OFFSET($B$15,$D$46-15,0,1,1),MATCH(1&amp;","&amp;6,OFFSET($B$15,$F$46-15,0,1,1),0)),"")&lt;&gt;"",IFERROR(INDEX(OFFSET($B$15,$D$46-15,0,1,1),MATCH(1&amp;","&amp;6,OFFSET($B$15,$F$46-15,0,1,1),0)),""),IF($B$46="Start",IFERROR(INDEX($B$39:$E$39,MATCH(1&amp;","&amp;6,$B$40:$E$40,0)),""),"")))</f>
      </c>
      <c r="C53" s="12">
        <f>IF(OR(2&gt;$B$5,6&gt;$B$6),"X",IF(IFERROR(INDEX(OFFSET($B$15,$D$46-15,0,1,1),MATCH(2&amp;","&amp;6,OFFSET($B$15,$F$46-15,0,1,1),0)),"")&lt;&gt;"",IFERROR(INDEX(OFFSET($B$15,$D$46-15,0,1,1),MATCH(2&amp;","&amp;6,OFFSET($B$15,$F$46-15,0,1,1),0)),""),IF($B$46="Start",IFERROR(INDEX($B$39:$E$39,MATCH(2&amp;","&amp;6,$B$40:$E$40,0)),""),"")))</f>
      </c>
      <c r="D53" s="12">
        <f>IF(OR(3&gt;$B$5,6&gt;$B$6),"X",IF(IFERROR(INDEX(OFFSET($B$15,$D$46-15,0,1,1),MATCH(3&amp;","&amp;6,OFFSET($B$15,$F$46-15,0,1,1),0)),"")&lt;&gt;"",IFERROR(INDEX(OFFSET($B$15,$D$46-15,0,1,1),MATCH(3&amp;","&amp;6,OFFSET($B$15,$F$46-15,0,1,1),0)),""),IF($B$46="Start",IFERROR(INDEX($B$39:$E$39,MATCH(3&amp;","&amp;6,$B$40:$E$40,0)),""),"")))</f>
      </c>
      <c r="E53" s="12">
        <f>IF(OR(4&gt;$B$5,6&gt;$B$6),"X",IF(IFERROR(INDEX(OFFSET($B$15,$D$46-15,0,1,1),MATCH(4&amp;","&amp;6,OFFSET($B$15,$F$46-15,0,1,1),0)),"")&lt;&gt;"",IFERROR(INDEX(OFFSET($B$15,$D$46-15,0,1,1),MATCH(4&amp;","&amp;6,OFFSET($B$15,$F$46-15,0,1,1),0)),""),IF($B$46="Start",IFERROR(INDEX($B$39:$E$39,MATCH(4&amp;","&amp;6,$B$40:$E$40,0)),""),"")))</f>
      </c>
      <c r="F53" s="12">
        <f>IF(OR(5&gt;$B$5,6&gt;$B$6),"X",IF(IFERROR(INDEX(OFFSET($B$15,$D$46-15,0,1,1),MATCH(5&amp;","&amp;6,OFFSET($B$15,$F$46-15,0,1,1),0)),"")&lt;&gt;"",IFERROR(INDEX(OFFSET($B$15,$D$46-15,0,1,1),MATCH(5&amp;","&amp;6,OFFSET($B$15,$F$46-15,0,1,1),0)),""),IF($B$46="Start",IFERROR(INDEX($B$39:$E$39,MATCH(5&amp;","&amp;6,$B$40:$E$40,0)),""),"")))</f>
      </c>
      <c r="G53" s="12">
        <f>IF(OR(6&gt;$B$5,6&gt;$B$6),"X",IF(IFERROR(INDEX(OFFSET($B$15,$D$46-15,0,1,1),MATCH(6&amp;","&amp;6,OFFSET($B$15,$F$46-15,0,1,1),0)),"")&lt;&gt;"",IFERROR(INDEX(OFFSET($B$15,$D$46-15,0,1,1),MATCH(6&amp;","&amp;6,OFFSET($B$15,$F$46-15,0,1,1),0)),""),IF($B$46="Start",IFERROR(INDEX($B$39:$E$39,MATCH(6&amp;","&amp;6,$B$40:$E$40,0)),""),"")))</f>
      </c>
      <c r="H53" s="12">
        <f>IF(OR(7&gt;$B$5,6&gt;$B$6),"X",IF(IFERROR(INDEX(OFFSET($B$15,$D$46-15,0,1,1),MATCH(7&amp;","&amp;6,OFFSET($B$15,$F$46-15,0,1,1),0)),"")&lt;&gt;"",IFERROR(INDEX(OFFSET($B$15,$D$46-15,0,1,1),MATCH(7&amp;","&amp;6,OFFSET($B$15,$F$46-15,0,1,1),0)),""),IF($B$46="Start",IFERROR(INDEX($B$39:$E$39,MATCH(7&amp;","&amp;6,$B$40:$E$40,0)),""),"")))</f>
      </c>
      <c r="I53" s="12">
        <f>IF(OR(8&gt;$B$5,6&gt;$B$6),"X",IF(IFERROR(INDEX(OFFSET($B$15,$D$46-15,0,1,1),MATCH(8&amp;","&amp;6,OFFSET($B$15,$F$46-15,0,1,1),0)),"")&lt;&gt;"",IFERROR(INDEX(OFFSET($B$15,$D$46-15,0,1,1),MATCH(8&amp;","&amp;6,OFFSET($B$15,$F$46-15,0,1,1),0)),""),IF($B$46="Start",IFERROR(INDEX($B$39:$E$39,MATCH(8&amp;","&amp;6,$B$40:$E$40,0)),""),"")))</f>
      </c>
      <c r="J53" s="12">
        <f>IF(OR(9&gt;$B$5,6&gt;$B$6),"X",IF(IFERROR(INDEX(OFFSET($B$15,$D$46-15,0,1,1),MATCH(9&amp;","&amp;6,OFFSET($B$15,$F$46-15,0,1,1),0)),"")&lt;&gt;"",IFERROR(INDEX(OFFSET($B$15,$D$46-15,0,1,1),MATCH(9&amp;","&amp;6,OFFSET($B$15,$F$46-15,0,1,1),0)),""),IF($B$46="Start",IFERROR(INDEX($B$39:$E$39,MATCH(9&amp;","&amp;6,$B$40:$E$40,0)),""),"")))</f>
      </c>
      <c r="K53" s="12">
        <f>IF(OR(10&gt;$B$5,6&gt;$B$6),"X",IF(IFERROR(INDEX(OFFSET($B$15,$D$46-15,0,1,1),MATCH(10&amp;","&amp;6,OFFSET($B$15,$F$46-15,0,1,1),0)),"")&lt;&gt;"",IFERROR(INDEX(OFFSET($B$15,$D$46-15,0,1,1),MATCH(10&amp;","&amp;6,OFFSET($B$15,$F$46-15,0,1,1),0)),""),IF($B$46="Start",IFERROR(INDEX($B$39:$E$39,MATCH(10&amp;","&amp;6,$B$40:$E$40,0)),""),"")))</f>
      </c>
    </row>
    <row r="54">
      <c r="A54" s="11">
        <v>5</v>
      </c>
      <c r="B54" s="12">
        <f>IF(OR(1&gt;$B$5,5&gt;$B$6),"X",IF(IFERROR(INDEX(OFFSET($B$15,$D$46-15,0,1,1),MATCH(1&amp;","&amp;5,OFFSET($B$15,$F$46-15,0,1,1),0)),"")&lt;&gt;"",IFERROR(INDEX(OFFSET($B$15,$D$46-15,0,1,1),MATCH(1&amp;","&amp;5,OFFSET($B$15,$F$46-15,0,1,1),0)),""),IF($B$46="Start",IFERROR(INDEX($B$39:$E$39,MATCH(1&amp;","&amp;5,$B$40:$E$40,0)),""),"")))</f>
      </c>
      <c r="C54" s="12">
        <f>IF(OR(2&gt;$B$5,5&gt;$B$6),"X",IF(IFERROR(INDEX(OFFSET($B$15,$D$46-15,0,1,1),MATCH(2&amp;","&amp;5,OFFSET($B$15,$F$46-15,0,1,1),0)),"")&lt;&gt;"",IFERROR(INDEX(OFFSET($B$15,$D$46-15,0,1,1),MATCH(2&amp;","&amp;5,OFFSET($B$15,$F$46-15,0,1,1),0)),""),IF($B$46="Start",IFERROR(INDEX($B$39:$E$39,MATCH(2&amp;","&amp;5,$B$40:$E$40,0)),""),"")))</f>
      </c>
      <c r="D54" s="12">
        <f>IF(OR(3&gt;$B$5,5&gt;$B$6),"X",IF(IFERROR(INDEX(OFFSET($B$15,$D$46-15,0,1,1),MATCH(3&amp;","&amp;5,OFFSET($B$15,$F$46-15,0,1,1),0)),"")&lt;&gt;"",IFERROR(INDEX(OFFSET($B$15,$D$46-15,0,1,1),MATCH(3&amp;","&amp;5,OFFSET($B$15,$F$46-15,0,1,1),0)),""),IF($B$46="Start",IFERROR(INDEX($B$39:$E$39,MATCH(3&amp;","&amp;5,$B$40:$E$40,0)),""),"")))</f>
      </c>
      <c r="E54" s="12">
        <f>IF(OR(4&gt;$B$5,5&gt;$B$6),"X",IF(IFERROR(INDEX(OFFSET($B$15,$D$46-15,0,1,1),MATCH(4&amp;","&amp;5,OFFSET($B$15,$F$46-15,0,1,1),0)),"")&lt;&gt;"",IFERROR(INDEX(OFFSET($B$15,$D$46-15,0,1,1),MATCH(4&amp;","&amp;5,OFFSET($B$15,$F$46-15,0,1,1),0)),""),IF($B$46="Start",IFERROR(INDEX($B$39:$E$39,MATCH(4&amp;","&amp;5,$B$40:$E$40,0)),""),"")))</f>
      </c>
      <c r="F54" s="12">
        <f>IF(OR(5&gt;$B$5,5&gt;$B$6),"X",IF(IFERROR(INDEX(OFFSET($B$15,$D$46-15,0,1,1),MATCH(5&amp;","&amp;5,OFFSET($B$15,$F$46-15,0,1,1),0)),"")&lt;&gt;"",IFERROR(INDEX(OFFSET($B$15,$D$46-15,0,1,1),MATCH(5&amp;","&amp;5,OFFSET($B$15,$F$46-15,0,1,1),0)),""),IF($B$46="Start",IFERROR(INDEX($B$39:$E$39,MATCH(5&amp;","&amp;5,$B$40:$E$40,0)),""),"")))</f>
      </c>
      <c r="G54" s="12">
        <f>IF(OR(6&gt;$B$5,5&gt;$B$6),"X",IF(IFERROR(INDEX(OFFSET($B$15,$D$46-15,0,1,1),MATCH(6&amp;","&amp;5,OFFSET($B$15,$F$46-15,0,1,1),0)),"")&lt;&gt;"",IFERROR(INDEX(OFFSET($B$15,$D$46-15,0,1,1),MATCH(6&amp;","&amp;5,OFFSET($B$15,$F$46-15,0,1,1),0)),""),IF($B$46="Start",IFERROR(INDEX($B$39:$E$39,MATCH(6&amp;","&amp;5,$B$40:$E$40,0)),""),"")))</f>
      </c>
      <c r="H54" s="12">
        <f>IF(OR(7&gt;$B$5,5&gt;$B$6),"X",IF(IFERROR(INDEX(OFFSET($B$15,$D$46-15,0,1,1),MATCH(7&amp;","&amp;5,OFFSET($B$15,$F$46-15,0,1,1),0)),"")&lt;&gt;"",IFERROR(INDEX(OFFSET($B$15,$D$46-15,0,1,1),MATCH(7&amp;","&amp;5,OFFSET($B$15,$F$46-15,0,1,1),0)),""),IF($B$46="Start",IFERROR(INDEX($B$39:$E$39,MATCH(7&amp;","&amp;5,$B$40:$E$40,0)),""),"")))</f>
      </c>
      <c r="I54" s="12">
        <f>IF(OR(8&gt;$B$5,5&gt;$B$6),"X",IF(IFERROR(INDEX(OFFSET($B$15,$D$46-15,0,1,1),MATCH(8&amp;","&amp;5,OFFSET($B$15,$F$46-15,0,1,1),0)),"")&lt;&gt;"",IFERROR(INDEX(OFFSET($B$15,$D$46-15,0,1,1),MATCH(8&amp;","&amp;5,OFFSET($B$15,$F$46-15,0,1,1),0)),""),IF($B$46="Start",IFERROR(INDEX($B$39:$E$39,MATCH(8&amp;","&amp;5,$B$40:$E$40,0)),""),"")))</f>
      </c>
      <c r="J54" s="12">
        <f>IF(OR(9&gt;$B$5,5&gt;$B$6),"X",IF(IFERROR(INDEX(OFFSET($B$15,$D$46-15,0,1,1),MATCH(9&amp;","&amp;5,OFFSET($B$15,$F$46-15,0,1,1),0)),"")&lt;&gt;"",IFERROR(INDEX(OFFSET($B$15,$D$46-15,0,1,1),MATCH(9&amp;","&amp;5,OFFSET($B$15,$F$46-15,0,1,1),0)),""),IF($B$46="Start",IFERROR(INDEX($B$39:$E$39,MATCH(9&amp;","&amp;5,$B$40:$E$40,0)),""),"")))</f>
      </c>
      <c r="K54" s="12">
        <f>IF(OR(10&gt;$B$5,5&gt;$B$6),"X",IF(IFERROR(INDEX(OFFSET($B$15,$D$46-15,0,1,1),MATCH(10&amp;","&amp;5,OFFSET($B$15,$F$46-15,0,1,1),0)),"")&lt;&gt;"",IFERROR(INDEX(OFFSET($B$15,$D$46-15,0,1,1),MATCH(10&amp;","&amp;5,OFFSET($B$15,$F$46-15,0,1,1),0)),""),IF($B$46="Start",IFERROR(INDEX($B$39:$E$39,MATCH(10&amp;","&amp;5,$B$40:$E$40,0)),""),"")))</f>
      </c>
    </row>
    <row r="55">
      <c r="A55" s="11">
        <v>4</v>
      </c>
      <c r="B55" s="12">
        <f>IF(OR(1&gt;$B$5,4&gt;$B$6),"X",IF(IFERROR(INDEX(OFFSET($B$15,$D$46-15,0,1,1),MATCH(1&amp;","&amp;4,OFFSET($B$15,$F$46-15,0,1,1),0)),"")&lt;&gt;"",IFERROR(INDEX(OFFSET($B$15,$D$46-15,0,1,1),MATCH(1&amp;","&amp;4,OFFSET($B$15,$F$46-15,0,1,1),0)),""),IF($B$46="Start",IFERROR(INDEX($B$39:$E$39,MATCH(1&amp;","&amp;4,$B$40:$E$40,0)),""),"")))</f>
      </c>
      <c r="C55" s="12">
        <f>IF(OR(2&gt;$B$5,4&gt;$B$6),"X",IF(IFERROR(INDEX(OFFSET($B$15,$D$46-15,0,1,1),MATCH(2&amp;","&amp;4,OFFSET($B$15,$F$46-15,0,1,1),0)),"")&lt;&gt;"",IFERROR(INDEX(OFFSET($B$15,$D$46-15,0,1,1),MATCH(2&amp;","&amp;4,OFFSET($B$15,$F$46-15,0,1,1),0)),""),IF($B$46="Start",IFERROR(INDEX($B$39:$E$39,MATCH(2&amp;","&amp;4,$B$40:$E$40,0)),""),"")))</f>
      </c>
      <c r="D55" s="12">
        <f>IF(OR(3&gt;$B$5,4&gt;$B$6),"X",IF(IFERROR(INDEX(OFFSET($B$15,$D$46-15,0,1,1),MATCH(3&amp;","&amp;4,OFFSET($B$15,$F$46-15,0,1,1),0)),"")&lt;&gt;"",IFERROR(INDEX(OFFSET($B$15,$D$46-15,0,1,1),MATCH(3&amp;","&amp;4,OFFSET($B$15,$F$46-15,0,1,1),0)),""),IF($B$46="Start",IFERROR(INDEX($B$39:$E$39,MATCH(3&amp;","&amp;4,$B$40:$E$40,0)),""),"")))</f>
      </c>
      <c r="E55" s="12">
        <f>IF(OR(4&gt;$B$5,4&gt;$B$6),"X",IF(IFERROR(INDEX(OFFSET($B$15,$D$46-15,0,1,1),MATCH(4&amp;","&amp;4,OFFSET($B$15,$F$46-15,0,1,1),0)),"")&lt;&gt;"",IFERROR(INDEX(OFFSET($B$15,$D$46-15,0,1,1),MATCH(4&amp;","&amp;4,OFFSET($B$15,$F$46-15,0,1,1),0)),""),IF($B$46="Start",IFERROR(INDEX($B$39:$E$39,MATCH(4&amp;","&amp;4,$B$40:$E$40,0)),""),"")))</f>
      </c>
      <c r="F55" s="12">
        <f>IF(OR(5&gt;$B$5,4&gt;$B$6),"X",IF(IFERROR(INDEX(OFFSET($B$15,$D$46-15,0,1,1),MATCH(5&amp;","&amp;4,OFFSET($B$15,$F$46-15,0,1,1),0)),"")&lt;&gt;"",IFERROR(INDEX(OFFSET($B$15,$D$46-15,0,1,1),MATCH(5&amp;","&amp;4,OFFSET($B$15,$F$46-15,0,1,1),0)),""),IF($B$46="Start",IFERROR(INDEX($B$39:$E$39,MATCH(5&amp;","&amp;4,$B$40:$E$40,0)),""),"")))</f>
      </c>
      <c r="G55" s="12">
        <f>IF(OR(6&gt;$B$5,4&gt;$B$6),"X",IF(IFERROR(INDEX(OFFSET($B$15,$D$46-15,0,1,1),MATCH(6&amp;","&amp;4,OFFSET($B$15,$F$46-15,0,1,1),0)),"")&lt;&gt;"",IFERROR(INDEX(OFFSET($B$15,$D$46-15,0,1,1),MATCH(6&amp;","&amp;4,OFFSET($B$15,$F$46-15,0,1,1),0)),""),IF($B$46="Start",IFERROR(INDEX($B$39:$E$39,MATCH(6&amp;","&amp;4,$B$40:$E$40,0)),""),"")))</f>
      </c>
      <c r="H55" s="12">
        <f>IF(OR(7&gt;$B$5,4&gt;$B$6),"X",IF(IFERROR(INDEX(OFFSET($B$15,$D$46-15,0,1,1),MATCH(7&amp;","&amp;4,OFFSET($B$15,$F$46-15,0,1,1),0)),"")&lt;&gt;"",IFERROR(INDEX(OFFSET($B$15,$D$46-15,0,1,1),MATCH(7&amp;","&amp;4,OFFSET($B$15,$F$46-15,0,1,1),0)),""),IF($B$46="Start",IFERROR(INDEX($B$39:$E$39,MATCH(7&amp;","&amp;4,$B$40:$E$40,0)),""),"")))</f>
      </c>
      <c r="I55" s="12">
        <f>IF(OR(8&gt;$B$5,4&gt;$B$6),"X",IF(IFERROR(INDEX(OFFSET($B$15,$D$46-15,0,1,1),MATCH(8&amp;","&amp;4,OFFSET($B$15,$F$46-15,0,1,1),0)),"")&lt;&gt;"",IFERROR(INDEX(OFFSET($B$15,$D$46-15,0,1,1),MATCH(8&amp;","&amp;4,OFFSET($B$15,$F$46-15,0,1,1),0)),""),IF($B$46="Start",IFERROR(INDEX($B$39:$E$39,MATCH(8&amp;","&amp;4,$B$40:$E$40,0)),""),"")))</f>
      </c>
      <c r="J55" s="12">
        <f>IF(OR(9&gt;$B$5,4&gt;$B$6),"X",IF(IFERROR(INDEX(OFFSET($B$15,$D$46-15,0,1,1),MATCH(9&amp;","&amp;4,OFFSET($B$15,$F$46-15,0,1,1),0)),"")&lt;&gt;"",IFERROR(INDEX(OFFSET($B$15,$D$46-15,0,1,1),MATCH(9&amp;","&amp;4,OFFSET($B$15,$F$46-15,0,1,1),0)),""),IF($B$46="Start",IFERROR(INDEX($B$39:$E$39,MATCH(9&amp;","&amp;4,$B$40:$E$40,0)),""),"")))</f>
      </c>
      <c r="K55" s="12">
        <f>IF(OR(10&gt;$B$5,4&gt;$B$6),"X",IF(IFERROR(INDEX(OFFSET($B$15,$D$46-15,0,1,1),MATCH(10&amp;","&amp;4,OFFSET($B$15,$F$46-15,0,1,1),0)),"")&lt;&gt;"",IFERROR(INDEX(OFFSET($B$15,$D$46-15,0,1,1),MATCH(10&amp;","&amp;4,OFFSET($B$15,$F$46-15,0,1,1),0)),""),IF($B$46="Start",IFERROR(INDEX($B$39:$E$39,MATCH(10&amp;","&amp;4,$B$40:$E$40,0)),""),"")))</f>
      </c>
    </row>
    <row r="56">
      <c r="A56" s="11">
        <v>3</v>
      </c>
      <c r="B56" s="12">
        <f>IF(OR(1&gt;$B$5,3&gt;$B$6),"X",IF(IFERROR(INDEX(OFFSET($B$15,$D$46-15,0,1,1),MATCH(1&amp;","&amp;3,OFFSET($B$15,$F$46-15,0,1,1),0)),"")&lt;&gt;"",IFERROR(INDEX(OFFSET($B$15,$D$46-15,0,1,1),MATCH(1&amp;","&amp;3,OFFSET($B$15,$F$46-15,0,1,1),0)),""),IF($B$46="Start",IFERROR(INDEX($B$39:$E$39,MATCH(1&amp;","&amp;3,$B$40:$E$40,0)),""),"")))</f>
      </c>
      <c r="C56" s="12">
        <f>IF(OR(2&gt;$B$5,3&gt;$B$6),"X",IF(IFERROR(INDEX(OFFSET($B$15,$D$46-15,0,1,1),MATCH(2&amp;","&amp;3,OFFSET($B$15,$F$46-15,0,1,1),0)),"")&lt;&gt;"",IFERROR(INDEX(OFFSET($B$15,$D$46-15,0,1,1),MATCH(2&amp;","&amp;3,OFFSET($B$15,$F$46-15,0,1,1),0)),""),IF($B$46="Start",IFERROR(INDEX($B$39:$E$39,MATCH(2&amp;","&amp;3,$B$40:$E$40,0)),""),"")))</f>
      </c>
      <c r="D56" s="12">
        <f>IF(OR(3&gt;$B$5,3&gt;$B$6),"X",IF(IFERROR(INDEX(OFFSET($B$15,$D$46-15,0,1,1),MATCH(3&amp;","&amp;3,OFFSET($B$15,$F$46-15,0,1,1),0)),"")&lt;&gt;"",IFERROR(INDEX(OFFSET($B$15,$D$46-15,0,1,1),MATCH(3&amp;","&amp;3,OFFSET($B$15,$F$46-15,0,1,1),0)),""),IF($B$46="Start",IFERROR(INDEX($B$39:$E$39,MATCH(3&amp;","&amp;3,$B$40:$E$40,0)),""),"")))</f>
      </c>
      <c r="E56" s="12">
        <f>IF(OR(4&gt;$B$5,3&gt;$B$6),"X",IF(IFERROR(INDEX(OFFSET($B$15,$D$46-15,0,1,1),MATCH(4&amp;","&amp;3,OFFSET($B$15,$F$46-15,0,1,1),0)),"")&lt;&gt;"",IFERROR(INDEX(OFFSET($B$15,$D$46-15,0,1,1),MATCH(4&amp;","&amp;3,OFFSET($B$15,$F$46-15,0,1,1),0)),""),IF($B$46="Start",IFERROR(INDEX($B$39:$E$39,MATCH(4&amp;","&amp;3,$B$40:$E$40,0)),""),"")))</f>
      </c>
      <c r="F56" s="12">
        <f>IF(OR(5&gt;$B$5,3&gt;$B$6),"X",IF(IFERROR(INDEX(OFFSET($B$15,$D$46-15,0,1,1),MATCH(5&amp;","&amp;3,OFFSET($B$15,$F$46-15,0,1,1),0)),"")&lt;&gt;"",IFERROR(INDEX(OFFSET($B$15,$D$46-15,0,1,1),MATCH(5&amp;","&amp;3,OFFSET($B$15,$F$46-15,0,1,1),0)),""),IF($B$46="Start",IFERROR(INDEX($B$39:$E$39,MATCH(5&amp;","&amp;3,$B$40:$E$40,0)),""),"")))</f>
      </c>
      <c r="G56" s="12">
        <f>IF(OR(6&gt;$B$5,3&gt;$B$6),"X",IF(IFERROR(INDEX(OFFSET($B$15,$D$46-15,0,1,1),MATCH(6&amp;","&amp;3,OFFSET($B$15,$F$46-15,0,1,1),0)),"")&lt;&gt;"",IFERROR(INDEX(OFFSET($B$15,$D$46-15,0,1,1),MATCH(6&amp;","&amp;3,OFFSET($B$15,$F$46-15,0,1,1),0)),""),IF($B$46="Start",IFERROR(INDEX($B$39:$E$39,MATCH(6&amp;","&amp;3,$B$40:$E$40,0)),""),"")))</f>
      </c>
      <c r="H56" s="12">
        <f>IF(OR(7&gt;$B$5,3&gt;$B$6),"X",IF(IFERROR(INDEX(OFFSET($B$15,$D$46-15,0,1,1),MATCH(7&amp;","&amp;3,OFFSET($B$15,$F$46-15,0,1,1),0)),"")&lt;&gt;"",IFERROR(INDEX(OFFSET($B$15,$D$46-15,0,1,1),MATCH(7&amp;","&amp;3,OFFSET($B$15,$F$46-15,0,1,1),0)),""),IF($B$46="Start",IFERROR(INDEX($B$39:$E$39,MATCH(7&amp;","&amp;3,$B$40:$E$40,0)),""),"")))</f>
      </c>
      <c r="I56" s="12">
        <f>IF(OR(8&gt;$B$5,3&gt;$B$6),"X",IF(IFERROR(INDEX(OFFSET($B$15,$D$46-15,0,1,1),MATCH(8&amp;","&amp;3,OFFSET($B$15,$F$46-15,0,1,1),0)),"")&lt;&gt;"",IFERROR(INDEX(OFFSET($B$15,$D$46-15,0,1,1),MATCH(8&amp;","&amp;3,OFFSET($B$15,$F$46-15,0,1,1),0)),""),IF($B$46="Start",IFERROR(INDEX($B$39:$E$39,MATCH(8&amp;","&amp;3,$B$40:$E$40,0)),""),"")))</f>
      </c>
      <c r="J56" s="12">
        <f>IF(OR(9&gt;$B$5,3&gt;$B$6),"X",IF(IFERROR(INDEX(OFFSET($B$15,$D$46-15,0,1,1),MATCH(9&amp;","&amp;3,OFFSET($B$15,$F$46-15,0,1,1),0)),"")&lt;&gt;"",IFERROR(INDEX(OFFSET($B$15,$D$46-15,0,1,1),MATCH(9&amp;","&amp;3,OFFSET($B$15,$F$46-15,0,1,1),0)),""),IF($B$46="Start",IFERROR(INDEX($B$39:$E$39,MATCH(9&amp;","&amp;3,$B$40:$E$40,0)),""),"")))</f>
      </c>
      <c r="K56" s="12">
        <f>IF(OR(10&gt;$B$5,3&gt;$B$6),"X",IF(IFERROR(INDEX(OFFSET($B$15,$D$46-15,0,1,1),MATCH(10&amp;","&amp;3,OFFSET($B$15,$F$46-15,0,1,1),0)),"")&lt;&gt;"",IFERROR(INDEX(OFFSET($B$15,$D$46-15,0,1,1),MATCH(10&amp;","&amp;3,OFFSET($B$15,$F$46-15,0,1,1),0)),""),IF($B$46="Start",IFERROR(INDEX($B$39:$E$39,MATCH(10&amp;","&amp;3,$B$40:$E$40,0)),""),"")))</f>
      </c>
    </row>
    <row r="57">
      <c r="A57" s="11">
        <v>2</v>
      </c>
      <c r="B57" s="12">
        <f>IF(OR(1&gt;$B$5,2&gt;$B$6),"X",IF(IFERROR(INDEX(OFFSET($B$15,$D$46-15,0,1,1),MATCH(1&amp;","&amp;2,OFFSET($B$15,$F$46-15,0,1,1),0)),"")&lt;&gt;"",IFERROR(INDEX(OFFSET($B$15,$D$46-15,0,1,1),MATCH(1&amp;","&amp;2,OFFSET($B$15,$F$46-15,0,1,1),0)),""),IF($B$46="Start",IFERROR(INDEX($B$39:$E$39,MATCH(1&amp;","&amp;2,$B$40:$E$40,0)),""),"")))</f>
      </c>
      <c r="C57" s="12">
        <f>IF(OR(2&gt;$B$5,2&gt;$B$6),"X",IF(IFERROR(INDEX(OFFSET($B$15,$D$46-15,0,1,1),MATCH(2&amp;","&amp;2,OFFSET($B$15,$F$46-15,0,1,1),0)),"")&lt;&gt;"",IFERROR(INDEX(OFFSET($B$15,$D$46-15,0,1,1),MATCH(2&amp;","&amp;2,OFFSET($B$15,$F$46-15,0,1,1),0)),""),IF($B$46="Start",IFERROR(INDEX($B$39:$E$39,MATCH(2&amp;","&amp;2,$B$40:$E$40,0)),""),"")))</f>
      </c>
      <c r="D57" s="12">
        <f>IF(OR(3&gt;$B$5,2&gt;$B$6),"X",IF(IFERROR(INDEX(OFFSET($B$15,$D$46-15,0,1,1),MATCH(3&amp;","&amp;2,OFFSET($B$15,$F$46-15,0,1,1),0)),"")&lt;&gt;"",IFERROR(INDEX(OFFSET($B$15,$D$46-15,0,1,1),MATCH(3&amp;","&amp;2,OFFSET($B$15,$F$46-15,0,1,1),0)),""),IF($B$46="Start",IFERROR(INDEX($B$39:$E$39,MATCH(3&amp;","&amp;2,$B$40:$E$40,0)),""),"")))</f>
      </c>
      <c r="E57" s="12">
        <f>IF(OR(4&gt;$B$5,2&gt;$B$6),"X",IF(IFERROR(INDEX(OFFSET($B$15,$D$46-15,0,1,1),MATCH(4&amp;","&amp;2,OFFSET($B$15,$F$46-15,0,1,1),0)),"")&lt;&gt;"",IFERROR(INDEX(OFFSET($B$15,$D$46-15,0,1,1),MATCH(4&amp;","&amp;2,OFFSET($B$15,$F$46-15,0,1,1),0)),""),IF($B$46="Start",IFERROR(INDEX($B$39:$E$39,MATCH(4&amp;","&amp;2,$B$40:$E$40,0)),""),"")))</f>
      </c>
      <c r="F57" s="12">
        <f>IF(OR(5&gt;$B$5,2&gt;$B$6),"X",IF(IFERROR(INDEX(OFFSET($B$15,$D$46-15,0,1,1),MATCH(5&amp;","&amp;2,OFFSET($B$15,$F$46-15,0,1,1),0)),"")&lt;&gt;"",IFERROR(INDEX(OFFSET($B$15,$D$46-15,0,1,1),MATCH(5&amp;","&amp;2,OFFSET($B$15,$F$46-15,0,1,1),0)),""),IF($B$46="Start",IFERROR(INDEX($B$39:$E$39,MATCH(5&amp;","&amp;2,$B$40:$E$40,0)),""),"")))</f>
      </c>
      <c r="G57" s="12">
        <f>IF(OR(6&gt;$B$5,2&gt;$B$6),"X",IF(IFERROR(INDEX(OFFSET($B$15,$D$46-15,0,1,1),MATCH(6&amp;","&amp;2,OFFSET($B$15,$F$46-15,0,1,1),0)),"")&lt;&gt;"",IFERROR(INDEX(OFFSET($B$15,$D$46-15,0,1,1),MATCH(6&amp;","&amp;2,OFFSET($B$15,$F$46-15,0,1,1),0)),""),IF($B$46="Start",IFERROR(INDEX($B$39:$E$39,MATCH(6&amp;","&amp;2,$B$40:$E$40,0)),""),"")))</f>
      </c>
      <c r="H57" s="12">
        <f>IF(OR(7&gt;$B$5,2&gt;$B$6),"X",IF(IFERROR(INDEX(OFFSET($B$15,$D$46-15,0,1,1),MATCH(7&amp;","&amp;2,OFFSET($B$15,$F$46-15,0,1,1),0)),"")&lt;&gt;"",IFERROR(INDEX(OFFSET($B$15,$D$46-15,0,1,1),MATCH(7&amp;","&amp;2,OFFSET($B$15,$F$46-15,0,1,1),0)),""),IF($B$46="Start",IFERROR(INDEX($B$39:$E$39,MATCH(7&amp;","&amp;2,$B$40:$E$40,0)),""),"")))</f>
      </c>
      <c r="I57" s="12">
        <f>IF(OR(8&gt;$B$5,2&gt;$B$6),"X",IF(IFERROR(INDEX(OFFSET($B$15,$D$46-15,0,1,1),MATCH(8&amp;","&amp;2,OFFSET($B$15,$F$46-15,0,1,1),0)),"")&lt;&gt;"",IFERROR(INDEX(OFFSET($B$15,$D$46-15,0,1,1),MATCH(8&amp;","&amp;2,OFFSET($B$15,$F$46-15,0,1,1),0)),""),IF($B$46="Start",IFERROR(INDEX($B$39:$E$39,MATCH(8&amp;","&amp;2,$B$40:$E$40,0)),""),"")))</f>
      </c>
      <c r="J57" s="12">
        <f>IF(OR(9&gt;$B$5,2&gt;$B$6),"X",IF(IFERROR(INDEX(OFFSET($B$15,$D$46-15,0,1,1),MATCH(9&amp;","&amp;2,OFFSET($B$15,$F$46-15,0,1,1),0)),"")&lt;&gt;"",IFERROR(INDEX(OFFSET($B$15,$D$46-15,0,1,1),MATCH(9&amp;","&amp;2,OFFSET($B$15,$F$46-15,0,1,1),0)),""),IF($B$46="Start",IFERROR(INDEX($B$39:$E$39,MATCH(9&amp;","&amp;2,$B$40:$E$40,0)),""),"")))</f>
      </c>
      <c r="K57" s="12">
        <f>IF(OR(10&gt;$B$5,2&gt;$B$6),"X",IF(IFERROR(INDEX(OFFSET($B$15,$D$46-15,0,1,1),MATCH(10&amp;","&amp;2,OFFSET($B$15,$F$46-15,0,1,1),0)),"")&lt;&gt;"",IFERROR(INDEX(OFFSET($B$15,$D$46-15,0,1,1),MATCH(10&amp;","&amp;2,OFFSET($B$15,$F$46-15,0,1,1),0)),""),IF($B$46="Start",IFERROR(INDEX($B$39:$E$39,MATCH(10&amp;","&amp;2,$B$40:$E$40,0)),""),"")))</f>
      </c>
    </row>
    <row r="58">
      <c r="A58" s="11">
        <v>1</v>
      </c>
      <c r="B58" s="12">
        <f>IF(OR(1&gt;$B$5,1&gt;$B$6),"X",IF(IFERROR(INDEX(OFFSET($B$15,$D$46-15,0,1,1),MATCH(1&amp;","&amp;1,OFFSET($B$15,$F$46-15,0,1,1),0)),"")&lt;&gt;"",IFERROR(INDEX(OFFSET($B$15,$D$46-15,0,1,1),MATCH(1&amp;","&amp;1,OFFSET($B$15,$F$46-15,0,1,1),0)),""),IF($B$46="Start",IFERROR(INDEX($B$39:$E$39,MATCH(1&amp;","&amp;1,$B$40:$E$40,0)),""),"")))</f>
      </c>
      <c r="C58" s="12">
        <f>IF(OR(2&gt;$B$5,1&gt;$B$6),"X",IF(IFERROR(INDEX(OFFSET($B$15,$D$46-15,0,1,1),MATCH(2&amp;","&amp;1,OFFSET($B$15,$F$46-15,0,1,1),0)),"")&lt;&gt;"",IFERROR(INDEX(OFFSET($B$15,$D$46-15,0,1,1),MATCH(2&amp;","&amp;1,OFFSET($B$15,$F$46-15,0,1,1),0)),""),IF($B$46="Start",IFERROR(INDEX($B$39:$E$39,MATCH(2&amp;","&amp;1,$B$40:$E$40,0)),""),"")))</f>
      </c>
      <c r="D58" s="12">
        <f>IF(OR(3&gt;$B$5,1&gt;$B$6),"X",IF(IFERROR(INDEX(OFFSET($B$15,$D$46-15,0,1,1),MATCH(3&amp;","&amp;1,OFFSET($B$15,$F$46-15,0,1,1),0)),"")&lt;&gt;"",IFERROR(INDEX(OFFSET($B$15,$D$46-15,0,1,1),MATCH(3&amp;","&amp;1,OFFSET($B$15,$F$46-15,0,1,1),0)),""),IF($B$46="Start",IFERROR(INDEX($B$39:$E$39,MATCH(3&amp;","&amp;1,$B$40:$E$40,0)),""),"")))</f>
      </c>
      <c r="E58" s="12">
        <f>IF(OR(4&gt;$B$5,1&gt;$B$6),"X",IF(IFERROR(INDEX(OFFSET($B$15,$D$46-15,0,1,1),MATCH(4&amp;","&amp;1,OFFSET($B$15,$F$46-15,0,1,1),0)),"")&lt;&gt;"",IFERROR(INDEX(OFFSET($B$15,$D$46-15,0,1,1),MATCH(4&amp;","&amp;1,OFFSET($B$15,$F$46-15,0,1,1),0)),""),IF($B$46="Start",IFERROR(INDEX($B$39:$E$39,MATCH(4&amp;","&amp;1,$B$40:$E$40,0)),""),"")))</f>
      </c>
      <c r="F58" s="12">
        <f>IF(OR(5&gt;$B$5,1&gt;$B$6),"X",IF(IFERROR(INDEX(OFFSET($B$15,$D$46-15,0,1,1),MATCH(5&amp;","&amp;1,OFFSET($B$15,$F$46-15,0,1,1),0)),"")&lt;&gt;"",IFERROR(INDEX(OFFSET($B$15,$D$46-15,0,1,1),MATCH(5&amp;","&amp;1,OFFSET($B$15,$F$46-15,0,1,1),0)),""),IF($B$46="Start",IFERROR(INDEX($B$39:$E$39,MATCH(5&amp;","&amp;1,$B$40:$E$40,0)),""),"")))</f>
      </c>
      <c r="G58" s="12">
        <f>IF(OR(6&gt;$B$5,1&gt;$B$6),"X",IF(IFERROR(INDEX(OFFSET($B$15,$D$46-15,0,1,1),MATCH(6&amp;","&amp;1,OFFSET($B$15,$F$46-15,0,1,1),0)),"")&lt;&gt;"",IFERROR(INDEX(OFFSET($B$15,$D$46-15,0,1,1),MATCH(6&amp;","&amp;1,OFFSET($B$15,$F$46-15,0,1,1),0)),""),IF($B$46="Start",IFERROR(INDEX($B$39:$E$39,MATCH(6&amp;","&amp;1,$B$40:$E$40,0)),""),"")))</f>
      </c>
      <c r="H58" s="12">
        <f>IF(OR(7&gt;$B$5,1&gt;$B$6),"X",IF(IFERROR(INDEX(OFFSET($B$15,$D$46-15,0,1,1),MATCH(7&amp;","&amp;1,OFFSET($B$15,$F$46-15,0,1,1),0)),"")&lt;&gt;"",IFERROR(INDEX(OFFSET($B$15,$D$46-15,0,1,1),MATCH(7&amp;","&amp;1,OFFSET($B$15,$F$46-15,0,1,1),0)),""),IF($B$46="Start",IFERROR(INDEX($B$39:$E$39,MATCH(7&amp;","&amp;1,$B$40:$E$40,0)),""),"")))</f>
      </c>
      <c r="I58" s="12">
        <f>IF(OR(8&gt;$B$5,1&gt;$B$6),"X",IF(IFERROR(INDEX(OFFSET($B$15,$D$46-15,0,1,1),MATCH(8&amp;","&amp;1,OFFSET($B$15,$F$46-15,0,1,1),0)),"")&lt;&gt;"",IFERROR(INDEX(OFFSET($B$15,$D$46-15,0,1,1),MATCH(8&amp;","&amp;1,OFFSET($B$15,$F$46-15,0,1,1),0)),""),IF($B$46="Start",IFERROR(INDEX($B$39:$E$39,MATCH(8&amp;","&amp;1,$B$40:$E$40,0)),""),"")))</f>
      </c>
      <c r="J58" s="12">
        <f>IF(OR(9&gt;$B$5,1&gt;$B$6),"X",IF(IFERROR(INDEX(OFFSET($B$15,$D$46-15,0,1,1),MATCH(9&amp;","&amp;1,OFFSET($B$15,$F$46-15,0,1,1),0)),"")&lt;&gt;"",IFERROR(INDEX(OFFSET($B$15,$D$46-15,0,1,1),MATCH(9&amp;","&amp;1,OFFSET($B$15,$F$46-15,0,1,1),0)),""),IF($B$46="Start",IFERROR(INDEX($B$39:$E$39,MATCH(9&amp;","&amp;1,$B$40:$E$40,0)),""),"")))</f>
      </c>
      <c r="K58" s="12">
        <f>IF(OR(10&gt;$B$5,1&gt;$B$6),"X",IF(IFERROR(INDEX(OFFSET($B$15,$D$46-15,0,1,1),MATCH(10&amp;","&amp;1,OFFSET($B$15,$F$46-15,0,1,1),0)),"")&lt;&gt;"",IFERROR(INDEX(OFFSET($B$15,$D$46-15,0,1,1),MATCH(10&amp;","&amp;1,OFFSET($B$15,$F$46-15,0,1,1),0)),""),IF($B$46="Start",IFERROR(INDEX($B$39:$E$39,MATCH(10&amp;","&amp;1,$B$40:$E$40,0)),""),"")))</f>
      </c>
    </row>
    <row r="60">
      <c r="A60" s="1" t="s">
        <v>144</v>
      </c>
    </row>
    <row r="61">
      <c r="A61" s="0" t="s">
        <v>145</v>
      </c>
    </row>
    <row r="62">
      <c r="A62" s="0" t="s">
        <v>146</v>
      </c>
    </row>
    <row r="63">
      <c r="A63" s="0" t="s">
        <v>147</v>
      </c>
    </row>
    <row r="64">
      <c r="A64" s="0" t="s">
        <v>148</v>
      </c>
    </row>
    <row r="66">
      <c r="A66" s="1" t="s">
        <v>149</v>
      </c>
      <c r="B66" s="2"/>
    </row>
    <row r="68">
      <c r="A68" s="4" t="s">
        <v>150</v>
      </c>
    </row>
    <row r="69">
      <c r="A69" s="4" t="s">
        <v>151</v>
      </c>
      <c r="B69" s="4" t="s">
        <v>152</v>
      </c>
      <c r="C69" s="4" t="s">
        <v>153</v>
      </c>
    </row>
    <row r="70">
      <c r="A70" s="0" t="s">
        <v>112</v>
      </c>
      <c r="B70" s="0">
        <v>15</v>
      </c>
      <c r="C70" s="0">
        <v>16</v>
      </c>
    </row>
    <row r="71">
      <c r="A71" s="0" t="s">
        <v>185</v>
      </c>
      <c r="B71" s="0">
        <v>17</v>
      </c>
      <c r="C71" s="0">
        <v>18</v>
      </c>
    </row>
    <row r="72">
      <c r="A72" s="0" t="s">
        <v>186</v>
      </c>
      <c r="B72" s="0">
        <v>19</v>
      </c>
      <c r="C72" s="0">
        <v>20</v>
      </c>
    </row>
  </sheetData>
  <conditionalFormatting sqref="B48:K58">
    <cfRule priority="1" type="cellIs" operator="equal" dxfId="0">
      <formula>"X"</formula>
    </cfRule>
  </conditionalFormatting>
  <dataValidations count="14">
    <dataValidation type="list" sqref="B9" showErrorMessage="0" allowBlank="1">
      <formula1>=list_Loot</formula1>
    </dataValidation>
    <dataValidation type="list" sqref="B10" showErrorMessage="0" allowBlank="1">
      <formula1>=list_Loot</formula1>
    </dataValidation>
    <dataValidation type="list" sqref="B15:B15" showErrorMessage="0" allowBlank="1">
      <formula1>=list_Prefab</formula1>
    </dataValidation>
    <dataValidation type="list" sqref="B17:B17" showErrorMessage="0" allowBlank="1">
      <formula1>=list_Prefab</formula1>
    </dataValidation>
    <dataValidation type="list" sqref="B19:B19" showErrorMessage="0" allowBlank="1">
      <formula1>=list_Prefab</formula1>
    </dataValidation>
    <dataValidation type="list" sqref="B21:B21" showErrorMessage="0" allowBlank="1">
      <formula1>=list_Prefab</formula1>
    </dataValidation>
    <dataValidation type="list" sqref="B23:B23" showErrorMessage="0" allowBlank="1">
      <formula1>=list_Prefab</formula1>
    </dataValidation>
    <dataValidation type="list" sqref="B25:B25" showErrorMessage="0" allowBlank="1">
      <formula1>=list_Prefab</formula1>
    </dataValidation>
    <dataValidation type="list" sqref="B27:B27" showErrorMessage="0" allowBlank="1">
      <formula1>=list_Prefab</formula1>
    </dataValidation>
    <dataValidation type="list" sqref="B29:B29" showErrorMessage="0" allowBlank="1">
      <formula1>=list_Prefab</formula1>
    </dataValidation>
    <dataValidation type="list" sqref="B31:B31" showErrorMessage="0" allowBlank="1">
      <formula1>=list_Prefab</formula1>
    </dataValidation>
    <dataValidation type="list" sqref="B33:B33" showErrorMessage="0" allowBlank="1">
      <formula1>=list_Prefab</formula1>
    </dataValidation>
    <dataValidation type="list" sqref="B35:B35" showErrorMessage="0" allowBlank="1">
      <formula1>=list_Prefab</formula1>
    </dataValidation>
    <dataValidation type="list" sqref="B46" showErrorMessage="0">
      <formula1>=$A$70:$A$72</formula1>
    </dataValidation>
  </dataValidations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B24"/>
  <sheetViews>
    <sheetView workbookViewId="0" tabSelected="0"/>
  </sheetViews>
  <sheetFormatPr defaultRowHeight="15"/>
  <cols>
    <col min="1" max="1" width="24" customWidth="1"/>
    <col min="2" max="2" width="110" customWidth="1" style="2"/>
  </cols>
  <sheetData>
    <row r="1">
      <c r="A1" s="13" t="s">
        <v>206</v>
      </c>
    </row>
    <row r="2">
      <c r="A2" s="0" t="s">
        <v>26</v>
      </c>
    </row>
    <row r="3">
      <c r="A3" s="0" t="s">
        <v>207</v>
      </c>
    </row>
    <row r="4">
      <c r="A4" s="0" t="s">
        <v>26</v>
      </c>
    </row>
    <row r="5">
      <c r="A5" s="14" t="s">
        <v>208</v>
      </c>
    </row>
    <row r="6">
      <c r="A6" s="1" t="s">
        <v>209</v>
      </c>
      <c r="B6" s="2" t="s">
        <v>210</v>
      </c>
    </row>
    <row r="7">
      <c r="A7" s="1" t="s">
        <v>211</v>
      </c>
      <c r="B7" s="2" t="s">
        <v>212</v>
      </c>
    </row>
    <row r="8">
      <c r="A8" s="1" t="s">
        <v>213</v>
      </c>
      <c r="B8" s="2" t="s">
        <v>214</v>
      </c>
    </row>
    <row r="9">
      <c r="A9" s="0" t="s">
        <v>26</v>
      </c>
    </row>
    <row r="10">
      <c r="A10" s="14" t="s">
        <v>215</v>
      </c>
    </row>
    <row r="11">
      <c r="A11" s="1" t="s">
        <v>216</v>
      </c>
      <c r="B11" s="2" t="s">
        <v>217</v>
      </c>
    </row>
    <row r="12">
      <c r="A12" s="1" t="s">
        <v>218</v>
      </c>
      <c r="B12" s="2" t="s">
        <v>219</v>
      </c>
    </row>
    <row r="13">
      <c r="A13" s="1" t="s">
        <v>132</v>
      </c>
      <c r="B13" s="2" t="s">
        <v>220</v>
      </c>
    </row>
    <row r="14">
      <c r="A14" s="1" t="s">
        <v>136</v>
      </c>
      <c r="B14" s="2" t="s">
        <v>221</v>
      </c>
    </row>
    <row r="15">
      <c r="A15" s="0" t="s">
        <v>26</v>
      </c>
    </row>
    <row r="16">
      <c r="A16" s="14" t="s">
        <v>222</v>
      </c>
    </row>
    <row r="17">
      <c r="A17" s="1" t="s">
        <v>141</v>
      </c>
      <c r="B17" s="2" t="s">
        <v>223</v>
      </c>
    </row>
    <row r="18">
      <c r="A18" s="1" t="s">
        <v>224</v>
      </c>
      <c r="B18" s="2" t="s">
        <v>225</v>
      </c>
    </row>
    <row r="19">
      <c r="A19" s="0" t="s">
        <v>26</v>
      </c>
    </row>
    <row r="20">
      <c r="A20" s="14" t="s">
        <v>226</v>
      </c>
    </row>
    <row r="21">
      <c r="A21" s="1" t="s">
        <v>227</v>
      </c>
      <c r="B21" s="2" t="s">
        <v>228</v>
      </c>
    </row>
    <row r="22">
      <c r="A22" s="1" t="s">
        <v>229</v>
      </c>
      <c r="B22" s="2" t="s">
        <v>230</v>
      </c>
    </row>
    <row r="23">
      <c r="A23" s="1" t="s">
        <v>231</v>
      </c>
      <c r="B23" s="2" t="s">
        <v>232</v>
      </c>
    </row>
    <row r="24">
      <c r="A24" s="1" t="s">
        <v>233</v>
      </c>
      <c r="B24" s="2" t="s">
        <v>234</v>
      </c>
    </row>
  </sheetData>
  <headerFooter/>
</worksheet>
</file>