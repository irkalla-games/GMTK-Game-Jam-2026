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oxxi\Documents\GitHub\GMTK-Game-Jam-2026\Docs\"/>
    </mc:Choice>
  </mc:AlternateContent>
  <xr:revisionPtr revIDLastSave="0" documentId="13_ncr:1_{6C72A220-234E-45D9-B073-3B7AA7B1759F}" xr6:coauthVersionLast="47" xr6:coauthVersionMax="47" xr10:uidLastSave="{00000000-0000-0000-0000-000000000000}"/>
  <bookViews>
    <workbookView xWindow="-108" yWindow="-108" windowWidth="23256" windowHeight="12456" activeTab="2" xr2:uid="{00000000-000D-0000-FFFF-FFFF00000000}"/>
  </bookViews>
  <sheets>
    <sheet name="README" sheetId="25" r:id="rId1"/>
    <sheet name="PowerLevel" sheetId="1" r:id="rId2"/>
    <sheet name="Roster" sheetId="24" r:id="rId3"/>
    <sheet name="Bat" sheetId="4" r:id="rId4"/>
    <sheet name="BrittleSkeleton" sheetId="23" r:id="rId5"/>
    <sheet name="Crab" sheetId="5" r:id="rId6"/>
    <sheet name="EnemyRanger" sheetId="6" r:id="rId7"/>
    <sheet name="FlyingEye" sheetId="7" r:id="rId8"/>
    <sheet name="Goblin" sheetId="8" r:id="rId9"/>
    <sheet name="Golem" sheetId="9" r:id="rId10"/>
    <sheet name="HeavyBandit" sheetId="10" r:id="rId11"/>
    <sheet name="LightBandit" sheetId="11" r:id="rId12"/>
    <sheet name="Mimic" sheetId="12" r:id="rId13"/>
    <sheet name="Mushroom" sheetId="13" r:id="rId14"/>
    <sheet name="Pebble" sheetId="14" r:id="rId15"/>
    <sheet name="PlagueRat" sheetId="15" r:id="rId16"/>
    <sheet name="Rat" sheetId="16" r:id="rId17"/>
    <sheet name="Skeleton" sheetId="17" r:id="rId18"/>
    <sheet name="SkeletonAlly" sheetId="3" r:id="rId19"/>
    <sheet name="SkeletonWarrior" sheetId="18" r:id="rId20"/>
    <sheet name="Skull" sheetId="19" r:id="rId21"/>
    <sheet name="Slime" sheetId="20" r:id="rId22"/>
    <sheet name="SpikedSlime" sheetId="21" r:id="rId23"/>
    <sheet name="VampireBat" sheetId="22" r:id="rId24"/>
    <sheet name="Enums" sheetId="2" r:id="rId25"/>
  </sheets>
  <definedNames>
    <definedName name="_xlnm._FilterDatabase" localSheetId="2" hidden="1">Roster!$A$1:$T$22</definedName>
    <definedName name="list_Bool">Enums!$E$2:$E$3</definedName>
    <definedName name="list_Brain">Enums!$A$2:$A$5</definedName>
    <definedName name="list_EnemyCard">Enums!$F$2:$F$53</definedName>
    <definedName name="list_Loot">Enums!$C$2:$C$14</definedName>
    <definedName name="list_Role">Enums!$D$2:$D$5</definedName>
    <definedName name="list_Targeting">Enums!$B$2:$B$15</definedName>
    <definedName name="pow_Bat">Bat!$B$16</definedName>
    <definedName name="pow_BrittleSkeleton">BrittleSkeleton!$B$16</definedName>
    <definedName name="pow_Crab">Crab!$B$16</definedName>
    <definedName name="pow_EnemyRanger">EnemyRanger!$B$16</definedName>
    <definedName name="pow_FlyingEye">FlyingEye!$B$16</definedName>
    <definedName name="pow_Goblin">Goblin!$B$16</definedName>
    <definedName name="pow_Golem">Golem!$B$16</definedName>
    <definedName name="pow_HeavyBandit">HeavyBandit!$B$16</definedName>
    <definedName name="pow_LightBandit">LightBandit!$B$16</definedName>
    <definedName name="pow_Mimic">Mimic!$B$16</definedName>
    <definedName name="pow_Mushroom">Mushroom!$B$16</definedName>
    <definedName name="pow_Pebble">Pebble!$B$16</definedName>
    <definedName name="pow_PlagueRat">PlagueRat!$B$16</definedName>
    <definedName name="pow_Rat">Rat!$B$16</definedName>
    <definedName name="pow_Skeleton">Skeleton!$B$16</definedName>
    <definedName name="pow_SkeletonAlly">SkeletonAlly!$B$16</definedName>
    <definedName name="pow_SkeletonWarrior">SkeletonWarrior!$B$16</definedName>
    <definedName name="pow_Skull">Skull!$B$16</definedName>
    <definedName name="pow_Slime">Slime!$B$16</definedName>
    <definedName name="pow_SpikedSlime">SpikedSlime!$B$16</definedName>
    <definedName name="pow_VampireBat">VampireBat!$B$16</definedName>
    <definedName name="pw_ActionScale">PowerLevel!$B$32</definedName>
    <definedName name="pw_Area">PowerLevel!$B$26</definedName>
    <definedName name="pw_Block">PowerLevel!$B$5</definedName>
    <definedName name="pw_Damage">PowerLevel!$B$2</definedName>
    <definedName name="pw_Divisor">PowerLevel!$B$9</definedName>
    <definedName name="pw_Dodge">PowerLevel!$B$15</definedName>
    <definedName name="pw_DoubleNextAttack">PowerLevel!$B$12</definedName>
    <definedName name="pw_DoubleShield">PowerLevel!$B$16</definedName>
    <definedName name="pw_Draw">PowerLevel!$B$28</definedName>
    <definedName name="pw_Energy">PowerLevel!$B$29</definedName>
    <definedName name="pw_Frozen">PowerLevel!$B$17</definedName>
    <definedName name="pw_Heal">PowerLevel!$B$10</definedName>
    <definedName name="pw_Health">PowerLevel!$B$8</definedName>
    <definedName name="pw_Horizon">PowerLevel!$B$27</definedName>
    <definedName name="pw_Move">PowerLevel!$B$7</definedName>
    <definedName name="pw_Parry">PowerLevel!$B$14</definedName>
    <definedName name="pw_Poison">PowerLevel!$B$3</definedName>
    <definedName name="pw_PoisonBlade">PowerLevel!$B$13</definedName>
    <definedName name="pw_Rooted">PowerLevel!$B$18</definedName>
    <definedName name="pw_SelfDamage">PowerLevel!$B$31</definedName>
    <definedName name="pw_Shield">PowerLevel!$B$4</definedName>
    <definedName name="pw_Stealth">PowerLevel!$B$22</definedName>
    <definedName name="pw_Strength">PowerLevel!$B$11</definedName>
    <definedName name="pw_Summon">PowerLevel!$B$23</definedName>
    <definedName name="pw_SummonHorizon">PowerLevel!$B$24</definedName>
    <definedName name="pw_Taunt">PowerLevel!$B$21</definedName>
    <definedName name="pw_Teleport">PowerLevel!$B$6</definedName>
    <definedName name="pw_TileEffect">PowerLevel!$B$30</definedName>
    <definedName name="pw_Tolerance">PowerLevel!$B$33</definedName>
    <definedName name="pw_TotemActivations">PowerLevel!$B$25</definedName>
    <definedName name="pw_Vulnerable">PowerLevel!$B$20</definedName>
    <definedName name="pw_Weaken">PowerLevel!$B$19</definedName>
    <definedName name="range_Power">PowerLevel!$A$38:$B$43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3" i="22" l="1"/>
  <c r="F54" i="22" s="1"/>
  <c r="F55" i="22" s="1"/>
  <c r="E33" i="22"/>
  <c r="E54" i="22" s="1"/>
  <c r="E55" i="22" s="1"/>
  <c r="D33" i="22"/>
  <c r="D54" i="22" s="1"/>
  <c r="D55" i="22" s="1"/>
  <c r="C33" i="22"/>
  <c r="C54" i="22" s="1"/>
  <c r="C55" i="22" s="1"/>
  <c r="B33" i="22"/>
  <c r="B54" i="22" s="1"/>
  <c r="B22" i="22"/>
  <c r="B20" i="22"/>
  <c r="B4" i="22"/>
  <c r="B54" i="21"/>
  <c r="F33" i="21"/>
  <c r="F54" i="21" s="1"/>
  <c r="F55" i="21" s="1"/>
  <c r="E33" i="21"/>
  <c r="E54" i="21" s="1"/>
  <c r="E55" i="21" s="1"/>
  <c r="D33" i="21"/>
  <c r="D54" i="21" s="1"/>
  <c r="D55" i="21" s="1"/>
  <c r="C33" i="21"/>
  <c r="C54" i="21" s="1"/>
  <c r="C55" i="21" s="1"/>
  <c r="B33" i="21"/>
  <c r="B22" i="21"/>
  <c r="B20" i="21"/>
  <c r="B4" i="21"/>
  <c r="E54" i="20"/>
  <c r="E55" i="20" s="1"/>
  <c r="B54" i="20"/>
  <c r="B55" i="20" s="1"/>
  <c r="F33" i="20"/>
  <c r="F54" i="20" s="1"/>
  <c r="F55" i="20" s="1"/>
  <c r="E33" i="20"/>
  <c r="D33" i="20"/>
  <c r="D54" i="20" s="1"/>
  <c r="D55" i="20" s="1"/>
  <c r="C33" i="20"/>
  <c r="C54" i="20" s="1"/>
  <c r="C55" i="20" s="1"/>
  <c r="B33" i="20"/>
  <c r="B22" i="20"/>
  <c r="B20" i="20"/>
  <c r="B4" i="20"/>
  <c r="F54" i="19"/>
  <c r="F55" i="19" s="1"/>
  <c r="E54" i="19"/>
  <c r="E55" i="19" s="1"/>
  <c r="F33" i="19"/>
  <c r="E33" i="19"/>
  <c r="D33" i="19"/>
  <c r="D54" i="19" s="1"/>
  <c r="D55" i="19" s="1"/>
  <c r="C33" i="19"/>
  <c r="C54" i="19" s="1"/>
  <c r="C55" i="19" s="1"/>
  <c r="B33" i="19"/>
  <c r="B54" i="19" s="1"/>
  <c r="B22" i="19"/>
  <c r="B20" i="19"/>
  <c r="B4" i="19"/>
  <c r="E54" i="18"/>
  <c r="E55" i="18" s="1"/>
  <c r="D54" i="18"/>
  <c r="D55" i="18" s="1"/>
  <c r="F33" i="18"/>
  <c r="F54" i="18" s="1"/>
  <c r="F55" i="18" s="1"/>
  <c r="E33" i="18"/>
  <c r="D33" i="18"/>
  <c r="C33" i="18"/>
  <c r="C54" i="18" s="1"/>
  <c r="C55" i="18" s="1"/>
  <c r="B33" i="18"/>
  <c r="B54" i="18" s="1"/>
  <c r="B22" i="18"/>
  <c r="N18" i="24" s="1"/>
  <c r="B20" i="18"/>
  <c r="B4" i="18"/>
  <c r="E54" i="3"/>
  <c r="E55" i="3" s="1"/>
  <c r="B54" i="3"/>
  <c r="B55" i="3" s="1"/>
  <c r="B21" i="3" s="1"/>
  <c r="M17" i="24" s="1"/>
  <c r="E33" i="3"/>
  <c r="D33" i="3"/>
  <c r="D54" i="3" s="1"/>
  <c r="D55" i="3" s="1"/>
  <c r="C33" i="3"/>
  <c r="C54" i="3" s="1"/>
  <c r="C55" i="3" s="1"/>
  <c r="B33" i="3"/>
  <c r="B22" i="3"/>
  <c r="B20" i="3"/>
  <c r="B4" i="3"/>
  <c r="F54" i="17"/>
  <c r="F55" i="17" s="1"/>
  <c r="E54" i="17"/>
  <c r="E55" i="17" s="1"/>
  <c r="D54" i="17"/>
  <c r="D55" i="17" s="1"/>
  <c r="F33" i="17"/>
  <c r="E33" i="17"/>
  <c r="D33" i="17"/>
  <c r="C33" i="17"/>
  <c r="C54" i="17" s="1"/>
  <c r="C55" i="17" s="1"/>
  <c r="B33" i="17"/>
  <c r="B54" i="17" s="1"/>
  <c r="B22" i="17"/>
  <c r="B20" i="17"/>
  <c r="L16" i="24" s="1"/>
  <c r="B4" i="17"/>
  <c r="D54" i="16"/>
  <c r="D55" i="16" s="1"/>
  <c r="C54" i="16"/>
  <c r="C55" i="16" s="1"/>
  <c r="F33" i="16"/>
  <c r="F54" i="16" s="1"/>
  <c r="F55" i="16" s="1"/>
  <c r="E33" i="16"/>
  <c r="E54" i="16" s="1"/>
  <c r="E55" i="16" s="1"/>
  <c r="D33" i="16"/>
  <c r="C33" i="16"/>
  <c r="B33" i="16"/>
  <c r="B54" i="16" s="1"/>
  <c r="B22" i="16"/>
  <c r="N15" i="24" s="1"/>
  <c r="B20" i="16"/>
  <c r="L15" i="24" s="1"/>
  <c r="B4" i="16"/>
  <c r="D55" i="15"/>
  <c r="D54" i="15"/>
  <c r="C54" i="15"/>
  <c r="C55" i="15" s="1"/>
  <c r="B54" i="15"/>
  <c r="B55" i="15" s="1"/>
  <c r="F33" i="15"/>
  <c r="F54" i="15" s="1"/>
  <c r="F55" i="15" s="1"/>
  <c r="E33" i="15"/>
  <c r="E54" i="15" s="1"/>
  <c r="E55" i="15" s="1"/>
  <c r="D33" i="15"/>
  <c r="C33" i="15"/>
  <c r="B33" i="15"/>
  <c r="B22" i="15"/>
  <c r="B20" i="15"/>
  <c r="L14" i="24" s="1"/>
  <c r="B4" i="15"/>
  <c r="F54" i="14"/>
  <c r="F55" i="14" s="1"/>
  <c r="F33" i="14"/>
  <c r="E33" i="14"/>
  <c r="E54" i="14" s="1"/>
  <c r="E55" i="14" s="1"/>
  <c r="D33" i="14"/>
  <c r="D54" i="14" s="1"/>
  <c r="D55" i="14" s="1"/>
  <c r="C33" i="14"/>
  <c r="C54" i="14" s="1"/>
  <c r="C55" i="14" s="1"/>
  <c r="B33" i="14"/>
  <c r="B54" i="14" s="1"/>
  <c r="B22" i="14"/>
  <c r="N13" i="24" s="1"/>
  <c r="B20" i="14"/>
  <c r="L13" i="24" s="1"/>
  <c r="B4" i="14"/>
  <c r="F54" i="13"/>
  <c r="F55" i="13" s="1"/>
  <c r="E54" i="13"/>
  <c r="E55" i="13" s="1"/>
  <c r="F33" i="13"/>
  <c r="E33" i="13"/>
  <c r="D33" i="13"/>
  <c r="D54" i="13" s="1"/>
  <c r="D55" i="13" s="1"/>
  <c r="C33" i="13"/>
  <c r="C54" i="13" s="1"/>
  <c r="C55" i="13" s="1"/>
  <c r="B33" i="13"/>
  <c r="B54" i="13" s="1"/>
  <c r="B22" i="13"/>
  <c r="N12" i="24" s="1"/>
  <c r="B20" i="13"/>
  <c r="B4" i="13"/>
  <c r="F55" i="12"/>
  <c r="F54" i="12"/>
  <c r="E54" i="12"/>
  <c r="E55" i="12" s="1"/>
  <c r="D54" i="12"/>
  <c r="D55" i="12" s="1"/>
  <c r="C54" i="12"/>
  <c r="C55" i="12" s="1"/>
  <c r="B54" i="12"/>
  <c r="B19" i="12" s="1"/>
  <c r="F33" i="12"/>
  <c r="E33" i="12"/>
  <c r="D33" i="12"/>
  <c r="C33" i="12"/>
  <c r="B33" i="12"/>
  <c r="B22" i="12"/>
  <c r="N11" i="24" s="1"/>
  <c r="B20" i="12"/>
  <c r="B4" i="12"/>
  <c r="B54" i="11"/>
  <c r="B55" i="11" s="1"/>
  <c r="F33" i="11"/>
  <c r="F54" i="11" s="1"/>
  <c r="F55" i="11" s="1"/>
  <c r="E33" i="11"/>
  <c r="E54" i="11" s="1"/>
  <c r="E55" i="11" s="1"/>
  <c r="D33" i="11"/>
  <c r="D54" i="11" s="1"/>
  <c r="D55" i="11" s="1"/>
  <c r="C33" i="11"/>
  <c r="C54" i="11" s="1"/>
  <c r="B33" i="11"/>
  <c r="B22" i="11"/>
  <c r="N10" i="24" s="1"/>
  <c r="B20" i="11"/>
  <c r="L10" i="24" s="1"/>
  <c r="B4" i="11"/>
  <c r="B55" i="10"/>
  <c r="B54" i="10"/>
  <c r="F33" i="10"/>
  <c r="F54" i="10" s="1"/>
  <c r="F55" i="10" s="1"/>
  <c r="E33" i="10"/>
  <c r="E54" i="10" s="1"/>
  <c r="E55" i="10" s="1"/>
  <c r="D33" i="10"/>
  <c r="D54" i="10" s="1"/>
  <c r="D55" i="10" s="1"/>
  <c r="C33" i="10"/>
  <c r="C54" i="10" s="1"/>
  <c r="C55" i="10" s="1"/>
  <c r="B33" i="10"/>
  <c r="B22" i="10"/>
  <c r="B20" i="10"/>
  <c r="B4" i="10"/>
  <c r="F54" i="9"/>
  <c r="F55" i="9" s="1"/>
  <c r="D54" i="9"/>
  <c r="D55" i="9" s="1"/>
  <c r="F33" i="9"/>
  <c r="E33" i="9"/>
  <c r="D33" i="9"/>
  <c r="C33" i="9"/>
  <c r="C54" i="9" s="1"/>
  <c r="C55" i="9" s="1"/>
  <c r="B33" i="9"/>
  <c r="B54" i="9" s="1"/>
  <c r="B22" i="9"/>
  <c r="B20" i="9"/>
  <c r="B4" i="9"/>
  <c r="E54" i="8"/>
  <c r="E55" i="8" s="1"/>
  <c r="D54" i="8"/>
  <c r="D55" i="8" s="1"/>
  <c r="F33" i="8"/>
  <c r="F54" i="8" s="1"/>
  <c r="F55" i="8" s="1"/>
  <c r="E33" i="8"/>
  <c r="D33" i="8"/>
  <c r="C33" i="8"/>
  <c r="C54" i="8" s="1"/>
  <c r="C55" i="8" s="1"/>
  <c r="B33" i="8"/>
  <c r="B54" i="8" s="1"/>
  <c r="B22" i="8"/>
  <c r="N7" i="24" s="1"/>
  <c r="B20" i="8"/>
  <c r="B4" i="8"/>
  <c r="E55" i="7"/>
  <c r="E54" i="7"/>
  <c r="D54" i="7"/>
  <c r="D55" i="7" s="1"/>
  <c r="C54" i="7"/>
  <c r="C55" i="7" s="1"/>
  <c r="B54" i="7"/>
  <c r="B19" i="7" s="1"/>
  <c r="F33" i="7"/>
  <c r="F54" i="7" s="1"/>
  <c r="F55" i="7" s="1"/>
  <c r="E33" i="7"/>
  <c r="D33" i="7"/>
  <c r="C33" i="7"/>
  <c r="B33" i="7"/>
  <c r="B22" i="7"/>
  <c r="B20" i="7"/>
  <c r="L6" i="24" s="1"/>
  <c r="B4" i="7"/>
  <c r="F33" i="6"/>
  <c r="F54" i="6" s="1"/>
  <c r="F55" i="6" s="1"/>
  <c r="E33" i="6"/>
  <c r="E54" i="6" s="1"/>
  <c r="E55" i="6" s="1"/>
  <c r="D33" i="6"/>
  <c r="D54" i="6" s="1"/>
  <c r="D55" i="6" s="1"/>
  <c r="C33" i="6"/>
  <c r="C54" i="6" s="1"/>
  <c r="C55" i="6" s="1"/>
  <c r="B33" i="6"/>
  <c r="B54" i="6" s="1"/>
  <c r="B22" i="6"/>
  <c r="B20" i="6"/>
  <c r="L5" i="24" s="1"/>
  <c r="B4" i="6"/>
  <c r="F54" i="5"/>
  <c r="F55" i="5" s="1"/>
  <c r="F33" i="5"/>
  <c r="E33" i="5"/>
  <c r="E54" i="5" s="1"/>
  <c r="E55" i="5" s="1"/>
  <c r="D33" i="5"/>
  <c r="D54" i="5" s="1"/>
  <c r="D55" i="5" s="1"/>
  <c r="C33" i="5"/>
  <c r="C54" i="5" s="1"/>
  <c r="C55" i="5" s="1"/>
  <c r="B33" i="5"/>
  <c r="B54" i="5" s="1"/>
  <c r="B22" i="5"/>
  <c r="B20" i="5"/>
  <c r="B4" i="5"/>
  <c r="F54" i="23"/>
  <c r="F55" i="23" s="1"/>
  <c r="E54" i="23"/>
  <c r="E55" i="23" s="1"/>
  <c r="D54" i="23"/>
  <c r="D55" i="23" s="1"/>
  <c r="C54" i="23"/>
  <c r="C55" i="23" s="1"/>
  <c r="F33" i="23"/>
  <c r="E33" i="23"/>
  <c r="D33" i="23"/>
  <c r="C33" i="23"/>
  <c r="B33" i="23"/>
  <c r="B54" i="23" s="1"/>
  <c r="B22" i="23"/>
  <c r="N3" i="24" s="1"/>
  <c r="B20" i="23"/>
  <c r="B17" i="23"/>
  <c r="B4" i="23"/>
  <c r="C54" i="4"/>
  <c r="C55" i="4" s="1"/>
  <c r="B54" i="4"/>
  <c r="B55" i="4" s="1"/>
  <c r="F33" i="4"/>
  <c r="F54" i="4" s="1"/>
  <c r="F55" i="4" s="1"/>
  <c r="E33" i="4"/>
  <c r="E54" i="4" s="1"/>
  <c r="E55" i="4" s="1"/>
  <c r="D33" i="4"/>
  <c r="D54" i="4" s="1"/>
  <c r="C33" i="4"/>
  <c r="B33" i="4"/>
  <c r="B22" i="4"/>
  <c r="N2" i="24" s="1"/>
  <c r="B20" i="4"/>
  <c r="L2" i="24" s="1"/>
  <c r="B4" i="4"/>
  <c r="R22" i="24"/>
  <c r="N22" i="24"/>
  <c r="L22" i="24"/>
  <c r="R21" i="24"/>
  <c r="N21" i="24"/>
  <c r="L21" i="24"/>
  <c r="R20" i="24"/>
  <c r="N20" i="24"/>
  <c r="L20" i="24"/>
  <c r="R19" i="24"/>
  <c r="N19" i="24"/>
  <c r="L19" i="24"/>
  <c r="R18" i="24"/>
  <c r="L18" i="24"/>
  <c r="S17" i="24"/>
  <c r="T17" i="24" s="1"/>
  <c r="N17" i="24"/>
  <c r="L17" i="24"/>
  <c r="R16" i="24"/>
  <c r="N16" i="24"/>
  <c r="R15" i="24"/>
  <c r="R14" i="24"/>
  <c r="N14" i="24"/>
  <c r="R13" i="24"/>
  <c r="R12" i="24"/>
  <c r="L12" i="24"/>
  <c r="R11" i="24"/>
  <c r="L11" i="24"/>
  <c r="R10" i="24"/>
  <c r="R9" i="24"/>
  <c r="N9" i="24"/>
  <c r="L9" i="24"/>
  <c r="R8" i="24"/>
  <c r="N8" i="24"/>
  <c r="L8" i="24"/>
  <c r="R7" i="24"/>
  <c r="L7" i="24"/>
  <c r="R6" i="24"/>
  <c r="N6" i="24"/>
  <c r="R5" i="24"/>
  <c r="N5" i="24"/>
  <c r="R4" i="24"/>
  <c r="N4" i="24"/>
  <c r="L4" i="24"/>
  <c r="S3" i="24"/>
  <c r="T3" i="24" s="1"/>
  <c r="L3" i="24"/>
  <c r="R2" i="24"/>
  <c r="B19" i="14" l="1"/>
  <c r="B55" i="14"/>
  <c r="B21" i="14" s="1"/>
  <c r="M13" i="24" s="1"/>
  <c r="C55" i="11"/>
  <c r="B19" i="11"/>
  <c r="B19" i="8"/>
  <c r="B55" i="8"/>
  <c r="B21" i="8" s="1"/>
  <c r="M7" i="24" s="1"/>
  <c r="B55" i="5"/>
  <c r="B21" i="5" s="1"/>
  <c r="M4" i="24" s="1"/>
  <c r="B19" i="5"/>
  <c r="B19" i="18"/>
  <c r="B55" i="18"/>
  <c r="B21" i="18" s="1"/>
  <c r="M18" i="24" s="1"/>
  <c r="B19" i="16"/>
  <c r="B55" i="16"/>
  <c r="B21" i="16" s="1"/>
  <c r="M15" i="24" s="1"/>
  <c r="B21" i="11"/>
  <c r="M10" i="24" s="1"/>
  <c r="B19" i="13"/>
  <c r="B55" i="13"/>
  <c r="B21" i="13" s="1"/>
  <c r="M12" i="24" s="1"/>
  <c r="B19" i="21"/>
  <c r="B55" i="23"/>
  <c r="B21" i="23" s="1"/>
  <c r="M3" i="24" s="1"/>
  <c r="B19" i="23"/>
  <c r="B19" i="10"/>
  <c r="B19" i="22"/>
  <c r="B55" i="22"/>
  <c r="B21" i="22" s="1"/>
  <c r="M22" i="24" s="1"/>
  <c r="O6" i="24"/>
  <c r="P6" i="24" s="1"/>
  <c r="S6" i="24" s="1"/>
  <c r="T6" i="24" s="1"/>
  <c r="B16" i="7"/>
  <c r="B17" i="7" s="1"/>
  <c r="B55" i="9"/>
  <c r="B21" i="9" s="1"/>
  <c r="M8" i="24" s="1"/>
  <c r="B19" i="9"/>
  <c r="B21" i="10"/>
  <c r="M9" i="24" s="1"/>
  <c r="B55" i="17"/>
  <c r="B21" i="17" s="1"/>
  <c r="M16" i="24" s="1"/>
  <c r="B19" i="17"/>
  <c r="B21" i="20"/>
  <c r="M20" i="24" s="1"/>
  <c r="B19" i="6"/>
  <c r="B55" i="6"/>
  <c r="B21" i="6" s="1"/>
  <c r="M5" i="24" s="1"/>
  <c r="O11" i="24"/>
  <c r="P11" i="24" s="1"/>
  <c r="S11" i="24" s="1"/>
  <c r="T11" i="24" s="1"/>
  <c r="B16" i="12"/>
  <c r="B17" i="12" s="1"/>
  <c r="B19" i="19"/>
  <c r="B55" i="19"/>
  <c r="B21" i="19" s="1"/>
  <c r="M19" i="24" s="1"/>
  <c r="D55" i="4"/>
  <c r="B21" i="4" s="1"/>
  <c r="M2" i="24" s="1"/>
  <c r="B19" i="4"/>
  <c r="B21" i="15"/>
  <c r="M14" i="24" s="1"/>
  <c r="B19" i="15"/>
  <c r="B19" i="20"/>
  <c r="B19" i="3"/>
  <c r="B55" i="21"/>
  <c r="B21" i="21" s="1"/>
  <c r="M21" i="24" s="1"/>
  <c r="B55" i="12"/>
  <c r="B21" i="12" s="1"/>
  <c r="M11" i="24" s="1"/>
  <c r="B55" i="7"/>
  <c r="B21" i="7" s="1"/>
  <c r="M6" i="24" s="1"/>
  <c r="O5" i="24" l="1"/>
  <c r="P5" i="24" s="1"/>
  <c r="S5" i="24" s="1"/>
  <c r="T5" i="24" s="1"/>
  <c r="B16" i="6"/>
  <c r="B17" i="6" s="1"/>
  <c r="O12" i="24"/>
  <c r="P12" i="24" s="1"/>
  <c r="S12" i="24" s="1"/>
  <c r="T12" i="24" s="1"/>
  <c r="B16" i="13"/>
  <c r="B17" i="13" s="1"/>
  <c r="O15" i="24"/>
  <c r="P15" i="24" s="1"/>
  <c r="S15" i="24" s="1"/>
  <c r="T15" i="24" s="1"/>
  <c r="B16" i="16"/>
  <c r="B17" i="16" s="1"/>
  <c r="O16" i="24"/>
  <c r="P16" i="24" s="1"/>
  <c r="S16" i="24" s="1"/>
  <c r="T16" i="24" s="1"/>
  <c r="B16" i="17"/>
  <c r="B17" i="17" s="1"/>
  <c r="O18" i="24"/>
  <c r="P18" i="24" s="1"/>
  <c r="S18" i="24" s="1"/>
  <c r="T18" i="24" s="1"/>
  <c r="B16" i="18"/>
  <c r="B17" i="18" s="1"/>
  <c r="B16" i="3"/>
  <c r="B17" i="3" s="1"/>
  <c r="O17" i="24"/>
  <c r="P17" i="24" s="1"/>
  <c r="R17" i="24" s="1"/>
  <c r="O7" i="24"/>
  <c r="P7" i="24" s="1"/>
  <c r="S7" i="24" s="1"/>
  <c r="T7" i="24" s="1"/>
  <c r="B16" i="8"/>
  <c r="B17" i="8" s="1"/>
  <c r="O2" i="24"/>
  <c r="P2" i="24" s="1"/>
  <c r="S2" i="24" s="1"/>
  <c r="T2" i="24" s="1"/>
  <c r="B16" i="4"/>
  <c r="B17" i="4" s="1"/>
  <c r="B16" i="10"/>
  <c r="B17" i="10" s="1"/>
  <c r="O9" i="24"/>
  <c r="P9" i="24" s="1"/>
  <c r="S9" i="24" s="1"/>
  <c r="T9" i="24" s="1"/>
  <c r="O10" i="24"/>
  <c r="P10" i="24" s="1"/>
  <c r="S10" i="24" s="1"/>
  <c r="T10" i="24" s="1"/>
  <c r="B16" i="11"/>
  <c r="B17" i="11" s="1"/>
  <c r="O8" i="24"/>
  <c r="P8" i="24" s="1"/>
  <c r="S8" i="24" s="1"/>
  <c r="T8" i="24" s="1"/>
  <c r="B16" i="9"/>
  <c r="B17" i="9" s="1"/>
  <c r="B16" i="20"/>
  <c r="B17" i="20" s="1"/>
  <c r="O20" i="24"/>
  <c r="P20" i="24" s="1"/>
  <c r="S20" i="24" s="1"/>
  <c r="T20" i="24" s="1"/>
  <c r="O4" i="24"/>
  <c r="P4" i="24" s="1"/>
  <c r="S4" i="24" s="1"/>
  <c r="T4" i="24" s="1"/>
  <c r="B16" i="5"/>
  <c r="B17" i="5" s="1"/>
  <c r="O14" i="24"/>
  <c r="P14" i="24" s="1"/>
  <c r="S14" i="24" s="1"/>
  <c r="T14" i="24" s="1"/>
  <c r="B16" i="15"/>
  <c r="B17" i="15" s="1"/>
  <c r="O22" i="24"/>
  <c r="P22" i="24" s="1"/>
  <c r="S22" i="24" s="1"/>
  <c r="T22" i="24" s="1"/>
  <c r="B16" i="22"/>
  <c r="B17" i="22" s="1"/>
  <c r="B16" i="19"/>
  <c r="B17" i="19" s="1"/>
  <c r="O19" i="24"/>
  <c r="P19" i="24" s="1"/>
  <c r="S19" i="24" s="1"/>
  <c r="T19" i="24" s="1"/>
  <c r="B16" i="23"/>
  <c r="O3" i="24"/>
  <c r="P3" i="24" s="1"/>
  <c r="R3" i="24" s="1"/>
  <c r="O21" i="24"/>
  <c r="P21" i="24" s="1"/>
  <c r="S21" i="24" s="1"/>
  <c r="T21" i="24" s="1"/>
  <c r="B16" i="21"/>
  <c r="B17" i="21" s="1"/>
  <c r="B16" i="14"/>
  <c r="O13" i="24"/>
  <c r="P13" i="24" s="1"/>
  <c r="S13" i="24" s="1"/>
  <c r="T13" i="24" s="1"/>
  <c r="B17" i="14" l="1"/>
  <c r="E52" i="9"/>
  <c r="E54" i="9" s="1"/>
  <c r="E55" i="9" s="1"/>
</calcChain>
</file>

<file path=xl/sharedStrings.xml><?xml version="1.0" encoding="utf-8"?>
<sst xmlns="http://schemas.openxmlformats.org/spreadsheetml/2006/main" count="2040" uniqueCount="347">
  <si>
    <t>Enemy Design Workbook</t>
  </si>
  <si>
    <t/>
  </si>
  <si>
    <t>One tab per enemy, ally and totem, all built from the actual prefabs and cards under Assets/Prefabs and Assets/Data/CardData/Enemy - this workbook only READS them today. Bosses live in Docs/BossDesign.xlsx instead.</t>
  </si>
  <si>
    <t>The tabs</t>
  </si>
  <si>
    <t>PowerLevel</t>
  </si>
  <si>
    <t>The tuning surface. Every pw_* weight here is a named cell - change one and every body tab and Roster recalculate immediately, no re-export needed.</t>
  </si>
  <si>
    <t>One tab per body</t>
  </si>
  <si>
    <t>Health, Actions Per Turn, Brain, Targeting, Loot Table, Role and Deck mirror the prefab's Character component. Card Facts below the deck strip are read from each card's own CardData/CardEffect assets - edit a card's numbers on Docs/CardDesign.xlsx, not here.</t>
  </si>
  <si>
    <t>One tab per totem</t>
  </si>
  <si>
    <t>A totem has no health or deck - Totem Power is its auras and reactions, weighted the same way a body's Card Power is.</t>
  </si>
  <si>
    <t>Roster</t>
  </si>
  <si>
    <t>Every body side by side, sorted by name - the bulk-edit grid. Display Name, Health, Actions Per Turn, Brain, Targeting, Loot Table, Role and Brandon's Power Level are plain values here, synced to the matching body tab exactly like the Inspector - edit either one. Renaming a body is done by typing its new name in the Name column. Boss, Deck Size and the averages stay read-only; Estimated/Effective Power/Delta/Flag recalculate from this row's own Health/Actions/Brandon's as you type, so they never go stale while you're still editing.</t>
  </si>
  <si>
    <t>Enums</t>
  </si>
  <si>
    <t>Dropdown sources for Brain, Targeting, Loot Table and Deck cells.</t>
  </si>
  <si>
    <t>Reading a body tab</t>
  </si>
  <si>
    <t>Brandon's Power Level</t>
  </si>
  <si>
    <t>Hand-authored ground truth - type in what a body feels like it should be worth. Preserved across re-exports.</t>
  </si>
  <si>
    <t>Estimated Power Level</t>
  </si>
  <si>
    <t>(Average Card Power * Actions Per Turn * pw_ActionScale + Health * pw_Health) / pw_Divisor. Tune the PowerLevel weights until Delta sits near zero for the bodies you already trust, then trust the estimate for the rest.</t>
  </si>
  <si>
    <t>Role</t>
  </si>
  <si>
    <t>Which spawn row(s) this body is eligible for - None (unconstrained), Frontline, Backline or Both. Synced to Character.battleRole; drives BattleManager.SpawnParty and EncounterRoller placement.</t>
  </si>
  <si>
    <t>Counted</t>
  </si>
  <si>
    <t>No for a Move-only card or a Cooldown card - excluded from every average. Cooldown cards get scored separately later.</t>
  </si>
  <si>
    <t>Summon Power</t>
  </si>
  <si>
    <t>A live reference to the summoned body's (or totem's) own power cell, scaled down if its lifetime is shorter than pw_SummonHorizon.</t>
  </si>
  <si>
    <t>Syncing back to Unity</t>
  </si>
  <si>
    <t>One button</t>
  </si>
  <si>
    <t>In Unity: Tools &gt; Sync Enemies With Sheet. Applies your edits - typed on a body tab OR the Roster tab, whichever you used - to the matching prefab: Display Name, Health, Actions Per Turn, Brain, Targeting, Loot Table, Role, Brandon''s Power Level and Deck. Renaming a body''s Name on the Roster tab renames the prefab too, keeping its GUID (so decks and levels still point at it). Then refreshes this workbook so anything changed in the Inspector shows up here.</t>
  </si>
  <si>
    <t>Deck</t>
  </si>
  <si>
    <t>One card name per column, left to right, no gaps - the first blank cell ends the deck. Duplicates are fine and expected (four Enemy Slash cards is four cells). Pick names from the dropdown so a typo cannot silently drop a card. Only editable on the body tab - the Roster tab does not carry a Deck column.</t>
  </si>
  <si>
    <t>Notes</t>
  </si>
  <si>
    <t>Never syncs anywhere - authored HERE, body tab only, and preserved across every re-export.</t>
  </si>
  <si>
    <t>Syncs between the body tab and the Roster tab - whichever one you typed in wins - but never reaches a prefab field directly. It only feeds Effective Power, which is what gets written to Character.powerLevel.</t>
  </si>
  <si>
    <t>Card Facts, Card Power, averages</t>
  </si>
  <si>
    <t>Never hand-edit - fully derived from the prefab and its cards, rebuilt on every export. On the Roster tab this is Avg Damage/Status/Summon/Card Power, Deck Size and Boss.</t>
  </si>
  <si>
    <t>Effective Power and Boss</t>
  </si>
  <si>
    <t>Not sheet columns you edit directly - Effective Power (Brandon's if set, else Estimated) and Boss (which folder the prefab lives in) are written to Character.powerLevel/isBoss one-way, every sync, regardless of whether anything else on the tab changed. A body with neither Brandon's nor a usable Estimated result is skipped with a warning and can never be drawn by EncounterRoller.</t>
  </si>
  <si>
    <t>If both sides changed</t>
  </si>
  <si>
    <t>That body is left alone on BOTH sides and named in the Unity console, the same conflict rule Docs/CardDesign.xlsx follows. Make them agree, or change only one, then sync again.</t>
  </si>
  <si>
    <t>If the body tab and Roster disagree</t>
  </si>
  <si>
    <t>Same idea, one layer earlier: whichever of the two changed since the last sync wins, but if BOTH changed - differently - since then, that body is left alone everywhere and named in the console. Make the two tabs agree, or change only one, then sync again.</t>
  </si>
  <si>
    <t>Regenerating without syncing</t>
  </si>
  <si>
    <t>Tools &gt; Enemies &gt; Refresh Sheet From Unity discards any sheet edit that has not been synced yet - only for when the sheet is known to be wrong.</t>
  </si>
  <si>
    <t>The other roster workbook</t>
  </si>
  <si>
    <t>Enemies, the ally and bosses are two separate workbooks driven by the same engine - Docs/EnemySheets.xlsx and Docs/BossDesign.xlsx - each with its own baseline and its own sync button. A prefab belongs to exactly one of them, decided by which folder it sits in under Assets/Prefabs.</t>
  </si>
  <si>
    <t>Term</t>
  </si>
  <si>
    <t>Value</t>
  </si>
  <si>
    <t>What this counts</t>
  </si>
  <si>
    <t>pw_Damage</t>
  </si>
  <si>
    <t>The numeraire. One point of damage to a hero = 1 power.</t>
  </si>
  <si>
    <t>pw_Poison</t>
  </si>
  <si>
    <t>Per point of lifetime damage-over-time (the triangular total of the stacks applied, not the stack count itself).</t>
  </si>
  <si>
    <t>pw_Shield</t>
  </si>
  <si>
    <t>Per point. ShieldStatus is wiped at OnTurnStart, so it only ever blocks one round.</t>
  </si>
  <si>
    <t>pw_Block</t>
  </si>
  <si>
    <t>Per point actually prevented (BlockStatus.AmountPerHit is a const 5, so a charge is worth 5 of these).</t>
  </si>
  <si>
    <t>pw_Teleport</t>
  </si>
  <si>
    <t>Reserved for a future teleport/swap effect - no enemy card uses this yet.</t>
  </si>
  <si>
    <t>pw_Move</t>
  </si>
  <si>
    <t>Per tile of forced repositioning (Move / Swap). "Move 2" is one Move card whose range reaches 2 tiles.</t>
  </si>
  <si>
    <t>pw_Health</t>
  </si>
  <si>
    <t>Per point of max health.</t>
  </si>
  <si>
    <t>pw_Divisor</t>
  </si>
  <si>
    <t>Everything above is summed and divided by this to land in the same range as Brandon's hand-authored numbers.</t>
  </si>
  <si>
    <t>pw_Heal</t>
  </si>
  <si>
    <t>Only useful once already damaged, so worth less than the same number as damage.</t>
  </si>
  <si>
    <t>pw_Strength</t>
  </si>
  <si>
    <t>Per stack per future attack this enemy is assumed to still make (see pw_Horizon).</t>
  </si>
  <si>
    <t>pw_DoubleNextAttack</t>
  </si>
  <si>
    <t>Per stack. Roughly one extra average hit.</t>
  </si>
  <si>
    <t>pw_PoisonBlade</t>
  </si>
  <si>
    <t>Per stack - the weapon-poison variant, scored the same as Poison stacks.</t>
  </si>
  <si>
    <t>pw_Parry</t>
  </si>
  <si>
    <t>Per charge. Negates a hit and reflects it - prevention plus a second attack.</t>
  </si>
  <si>
    <t>pw_Dodge</t>
  </si>
  <si>
    <t>Per charge. A fully avoided hit, but only ever one hit.</t>
  </si>
  <si>
    <t>pw_DoubleShield</t>
  </si>
  <si>
    <t>Per stack.</t>
  </si>
  <si>
    <t>pw_Frozen</t>
  </si>
  <si>
    <t>Per turn. Denies a whole hero turn - the single strongest thing an enemy card can do to a player.</t>
  </si>
  <si>
    <t>pw_Rooted</t>
  </si>
  <si>
    <t>Per turn. Denies movement only, so worth less than Frozen.</t>
  </si>
  <si>
    <t>pw_Weaken</t>
  </si>
  <si>
    <t>Per stack per future hero attack this is assumed to still reduce (see pw_Horizon).</t>
  </si>
  <si>
    <t>pw_Vulnerable</t>
  </si>
  <si>
    <t>Per stack per future hit this enemy is assumed to still amplify (see pw_Horizon). Symmetric with Weaken.</t>
  </si>
  <si>
    <t>pw_Taunt</t>
  </si>
  <si>
    <t>Per turn forced onto the party.</t>
  </si>
  <si>
    <t>pw_Stealth</t>
  </si>
  <si>
    <t>Per turn this enemy cannot be targeted.</t>
  </si>
  <si>
    <t>pw_Summon</t>
  </si>
  <si>
    <t>Multiplier on the summoned body's own Estimated Power Level (Totems use their Totem Power instead) - see the Roster tab.</t>
  </si>
  <si>
    <t>pw_SummonHorizon</t>
  </si>
  <si>
    <t>Turns a limited-lifetime summon is assumed worth. A permanent summon (lifetimeTurns 0) always scores in full; a summon lasting fewer turns than this is scaled down by lifetime/this.</t>
  </si>
  <si>
    <t>pw_TotemActivations</t>
  </si>
  <si>
    <t>How many times a totem's auras/reactions are assumed to pay out over its life - the same 3 Export-CardSheet.ps1 hardcodes for the card workbook, now tunable here.</t>
  </si>
  <si>
    <t>pw_Area</t>
  </si>
  <si>
    <t>Per extra tile an area-effect card's footprint covers, beyond the one tile it aims at.</t>
  </si>
  <si>
    <t>pw_Horizon</t>
  </si>
  <si>
    <t>How many future attacks a Strength/Weaken/Vulnerable stack is assumed to affect. Also gates how long a Poison Blade weapon-buff is assumed to keep landing.</t>
  </si>
  <si>
    <t>pw_Draw</t>
  </si>
  <si>
    <t>Per card. Enemies rarely draw, but a few summon/ritual cards do.</t>
  </si>
  <si>
    <t>pw_Energy</t>
  </si>
  <si>
    <t>Reserved - no enemy card currently grants energy.</t>
  </si>
  <si>
    <t>pw_TileEffect</t>
  </si>
  <si>
    <t>Per point of an unblockable tile-hazard's total payout (Wall of Flames magnitude * turns).</t>
  </si>
  <si>
    <t>pw_SelfDamage</t>
  </si>
  <si>
    <t>Per point. Negative - a card that hurts its own owner is a cost, not a benefit.</t>
  </si>
  <si>
    <t>pw_ActionScale</t>
  </si>
  <si>
    <t>Multiplies Average Card Power * Actions Per Turn before it is added to Health. 1 assumes every action in a turn is, on average, as strong as the deck's average card.</t>
  </si>
  <si>
    <t>pw_Tolerance</t>
  </si>
  <si>
    <t>How far Estimated Power Level may sit from Brandon's before the Roster tab flags it OVER/UNDER.</t>
  </si>
  <si>
    <t>Edit the Value column - every body tab and the Roster tab recalculate. Nothing here is baked into the export script.</t>
  </si>
  <si>
    <t>Range Power</t>
  </si>
  <si>
    <t>Range</t>
  </si>
  <si>
    <t>Power</t>
  </si>
  <si>
    <t>Looked up by nearest Range at or below a card's own Range Max - add a row for a new value; anything past the last row scores the same as it.</t>
  </si>
  <si>
    <t>Name</t>
  </si>
  <si>
    <t>GUID</t>
  </si>
  <si>
    <t>Boss</t>
  </si>
  <si>
    <t>Display Name</t>
  </si>
  <si>
    <t>Health</t>
  </si>
  <si>
    <t>Actions</t>
  </si>
  <si>
    <t>Brain</t>
  </si>
  <si>
    <t>Targeting</t>
  </si>
  <si>
    <t>Loot Table</t>
  </si>
  <si>
    <t>Deck Size</t>
  </si>
  <si>
    <t>Avg Damage</t>
  </si>
  <si>
    <t>Avg Status</t>
  </si>
  <si>
    <t>Avg Summon</t>
  </si>
  <si>
    <t>Avg Card Power</t>
  </si>
  <si>
    <t>Estimated</t>
  </si>
  <si>
    <t>Brandon's</t>
  </si>
  <si>
    <t>Effective Power</t>
  </si>
  <si>
    <t>Delta</t>
  </si>
  <si>
    <t>Flag</t>
  </si>
  <si>
    <t>Bat</t>
  </si>
  <si>
    <t>51cc0c0b40e7b264ebdf1dc4594559a6</t>
  </si>
  <si>
    <t>No</t>
  </si>
  <si>
    <t>Warrior</t>
  </si>
  <si>
    <t>TotemClosest</t>
  </si>
  <si>
    <t>EarlyGame</t>
  </si>
  <si>
    <t>Frontline</t>
  </si>
  <si>
    <t>BrittleSkeleton</t>
  </si>
  <si>
    <t>4cb5e72728f8d3143a2397b50dff133f</t>
  </si>
  <si>
    <t>Brittle Skeleton</t>
  </si>
  <si>
    <t>Closest</t>
  </si>
  <si>
    <t>Crab</t>
  </si>
  <si>
    <t>f80d9dc6173669245bd4782952cd1667</t>
  </si>
  <si>
    <t>EnemyRanger</t>
  </si>
  <si>
    <t>e40f592bea6dbd64693626dad514798b</t>
  </si>
  <si>
    <t>Ranger</t>
  </si>
  <si>
    <t>Totem15Closest</t>
  </si>
  <si>
    <t>Backline</t>
  </si>
  <si>
    <t>FlyingEye</t>
  </si>
  <si>
    <t>158567c6103052b45a79feac134a4c3b</t>
  </si>
  <si>
    <t>Flying Eye</t>
  </si>
  <si>
    <t>Goblin</t>
  </si>
  <si>
    <t>fe7fe8169a3ae3f4ab1463af48263a1a</t>
  </si>
  <si>
    <t>Weakest</t>
  </si>
  <si>
    <t>Golem</t>
  </si>
  <si>
    <t>5bdb828176c88144986e3b367ffda1b4</t>
  </si>
  <si>
    <t>Summoner</t>
  </si>
  <si>
    <t>HeavyBandit</t>
  </si>
  <si>
    <t>abb6f217c283d344999e3f27fa36640f</t>
  </si>
  <si>
    <t>Heavy Bandit</t>
  </si>
  <si>
    <t>Strongest</t>
  </si>
  <si>
    <t>LightBandit</t>
  </si>
  <si>
    <t>df52b2ab92f38fd4eb6d6064e8197a56</t>
  </si>
  <si>
    <t>Light Bandit</t>
  </si>
  <si>
    <t>Mimic</t>
  </si>
  <si>
    <t>022c86b9aa20aaf44806e866dd6d8971</t>
  </si>
  <si>
    <t>ClosestIgnoreTotem</t>
  </si>
  <si>
    <t>Mushroom</t>
  </si>
  <si>
    <t>f04aa7787f30bab4a96433807a0f06a5</t>
  </si>
  <si>
    <t>Pebble</t>
  </si>
  <si>
    <t>cffb630e9ce4c0f4798ae3e294d1d8e8</t>
  </si>
  <si>
    <t>None</t>
  </si>
  <si>
    <t>PlagueRat</t>
  </si>
  <si>
    <t>37960ead296e23e4ca189530884917c3</t>
  </si>
  <si>
    <t>Plague Rat</t>
  </si>
  <si>
    <t>Rat</t>
  </si>
  <si>
    <t>b9a57d66ac78e19468a62c235ce3e746</t>
  </si>
  <si>
    <t>Skeleton</t>
  </si>
  <si>
    <t>909b3cba860296d47997ee7846ec93f8</t>
  </si>
  <si>
    <t>SkeletonAlly</t>
  </si>
  <si>
    <t>eaade4b777fd45447af03588cf3692e5</t>
  </si>
  <si>
    <t>SkeletonWarrior</t>
  </si>
  <si>
    <t>d1b7793de9d268945bdf70cf0af39a94</t>
  </si>
  <si>
    <t>Skeleton Warrior</t>
  </si>
  <si>
    <t>Skull</t>
  </si>
  <si>
    <t>40cab8c86b3615741ac4bc8db8156b37</t>
  </si>
  <si>
    <t>Totem30Closest</t>
  </si>
  <si>
    <t>Slime</t>
  </si>
  <si>
    <t>7902e6bd6fe8b444eab36cf00a8771be</t>
  </si>
  <si>
    <t>SpikedSlime</t>
  </si>
  <si>
    <t>a759c0567adbde54f8e686c473b037cd</t>
  </si>
  <si>
    <t>Spiked Slime</t>
  </si>
  <si>
    <t>VampireBat</t>
  </si>
  <si>
    <t>e2566430033deb14c9d648e67fdf80e4</t>
  </si>
  <si>
    <t>Vampire Bat</t>
  </si>
  <si>
    <t>Enemy Name</t>
  </si>
  <si>
    <t>Sync</t>
  </si>
  <si>
    <t>Stats (synced to Unity)</t>
  </si>
  <si>
    <t>20</t>
  </si>
  <si>
    <t>Actions Per Turn</t>
  </si>
  <si>
    <t>1</t>
  </si>
  <si>
    <t>Delta (Estimated - Brandon's)</t>
  </si>
  <si>
    <t>Average Card Power</t>
  </si>
  <si>
    <t>Average Damage</t>
  </si>
  <si>
    <t>Average Status Power</t>
  </si>
  <si>
    <t>Average Summon Power</t>
  </si>
  <si>
    <t>Bite</t>
  </si>
  <si>
    <t>MoveInnate2</t>
  </si>
  <si>
    <t>Actions from Card</t>
  </si>
  <si>
    <t>5 damage</t>
  </si>
  <si>
    <t>Move 2</t>
  </si>
  <si>
    <t>Yes</t>
  </si>
  <si>
    <t>Card Facts</t>
  </si>
  <si>
    <t>Cost</t>
  </si>
  <si>
    <t>Range Max</t>
  </si>
  <si>
    <t>Tiles Hit</t>
  </si>
  <si>
    <t>Damage</t>
  </si>
  <si>
    <t>Poison Total</t>
  </si>
  <si>
    <t>Heal</t>
  </si>
  <si>
    <t>Shield</t>
  </si>
  <si>
    <t>Block Total</t>
  </si>
  <si>
    <t>Parry</t>
  </si>
  <si>
    <t>Dodge</t>
  </si>
  <si>
    <t>Strength</t>
  </si>
  <si>
    <t>Weaken</t>
  </si>
  <si>
    <t>Vulnerable</t>
  </si>
  <si>
    <t>Frozen</t>
  </si>
  <si>
    <t>Rooted</t>
  </si>
  <si>
    <t>Taunt</t>
  </si>
  <si>
    <t>Stealth</t>
  </si>
  <si>
    <t>Poison Blade</t>
  </si>
  <si>
    <t>Double Next Attack</t>
  </si>
  <si>
    <t>Double Shield</t>
  </si>
  <si>
    <t>Draw</t>
  </si>
  <si>
    <t>Move Tiles</t>
  </si>
  <si>
    <t>Cooldown</t>
  </si>
  <si>
    <t>Card Power</t>
  </si>
  <si>
    <t>Status Power</t>
  </si>
  <si>
    <t>BoneBulwark</t>
  </si>
  <si>
    <t>MoveInnate</t>
  </si>
  <si>
    <t>3 damage, Shield 5</t>
  </si>
  <si>
    <t>Move 1</t>
  </si>
  <si>
    <t>40</t>
  </si>
  <si>
    <t>2</t>
  </si>
  <si>
    <t>ClawAttack</t>
  </si>
  <si>
    <t>4 damage, Shield 4</t>
  </si>
  <si>
    <t>25</t>
  </si>
  <si>
    <t>EnemyArrow</t>
  </si>
  <si>
    <t>5 damage, Vulnerable 1</t>
  </si>
  <si>
    <t>15</t>
  </si>
  <si>
    <t>1.5</t>
  </si>
  <si>
    <t>WitheringGaze</t>
  </si>
  <si>
    <t>3 damage</t>
  </si>
  <si>
    <t>Backstab</t>
  </si>
  <si>
    <t>60</t>
  </si>
  <si>
    <t>2.5</t>
  </si>
  <si>
    <t>BoulderSmash</t>
  </si>
  <si>
    <t>SummonPebble</t>
  </si>
  <si>
    <t>Summon</t>
  </si>
  <si>
    <t>50</t>
  </si>
  <si>
    <t>HeavySwing</t>
  </si>
  <si>
    <t>6 damage, Shield 5, Block x2</t>
  </si>
  <si>
    <t>30</t>
  </si>
  <si>
    <t>QuickCut</t>
  </si>
  <si>
    <t>VenomCut</t>
  </si>
  <si>
    <t>1 damage, Weaken 1</t>
  </si>
  <si>
    <t>1 damage, Poison 3</t>
  </si>
  <si>
    <t>35</t>
  </si>
  <si>
    <t>Chomp</t>
  </si>
  <si>
    <t>7 damage, Root 1t</t>
  </si>
  <si>
    <t>SporeCloud</t>
  </si>
  <si>
    <t>Poison 3</t>
  </si>
  <si>
    <t>5</t>
  </si>
  <si>
    <t>0.5</t>
  </si>
  <si>
    <t>Roll</t>
  </si>
  <si>
    <t>2 damage</t>
  </si>
  <si>
    <t>EnemySlash</t>
  </si>
  <si>
    <t>8 damage</t>
  </si>
  <si>
    <t>3</t>
  </si>
  <si>
    <t>BoneChill</t>
  </si>
  <si>
    <t>3 damage, Vulnerable 1</t>
  </si>
  <si>
    <t>Engulf</t>
  </si>
  <si>
    <t>3 damage, Weaken 1</t>
  </si>
  <si>
    <t>SpikeBurst</t>
  </si>
  <si>
    <t>LifeLeech</t>
  </si>
  <si>
    <t>3 damage, Heal 3</t>
  </si>
  <si>
    <t>Loot</t>
  </si>
  <si>
    <t>Bool</t>
  </si>
  <si>
    <t>EnemyCard</t>
  </si>
  <si>
    <t>Drives the dropdowns on every body tab. Regenerated on every export.</t>
  </si>
  <si>
    <t>ArcaneLance</t>
  </si>
  <si>
    <t>BlackKnightDrop</t>
  </si>
  <si>
    <t>Furthest</t>
  </si>
  <si>
    <t>EarlyLevelReward</t>
  </si>
  <si>
    <t>Both</t>
  </si>
  <si>
    <t>BlackGuard</t>
  </si>
  <si>
    <t>Random</t>
  </si>
  <si>
    <t>EvilKingDrop</t>
  </si>
  <si>
    <t>RangerTargeting</t>
  </si>
  <si>
    <t>EvilKnightDrop</t>
  </si>
  <si>
    <t>EvilWizard2Drop</t>
  </si>
  <si>
    <t>EvilWizard3Drop</t>
  </si>
  <si>
    <t>CallReinforcements</t>
  </si>
  <si>
    <t>EvilWizardDrop</t>
  </si>
  <si>
    <t>CallTheDamned</t>
  </si>
  <si>
    <t>PoisonSkeleton</t>
  </si>
  <si>
    <t>CallTheSwarm</t>
  </si>
  <si>
    <t>TotemFurthest</t>
  </si>
  <si>
    <t>ReaperDrop</t>
  </si>
  <si>
    <t>TotemWeakest</t>
  </si>
  <si>
    <t>ReinforcedGolemDrop</t>
  </si>
  <si>
    <t>WarriorTargeting</t>
  </si>
  <si>
    <t>TutorialSapDrop</t>
  </si>
  <si>
    <t>ConjureOoze</t>
  </si>
  <si>
    <t>DarkBolt</t>
  </si>
  <si>
    <t>DeathsToll</t>
  </si>
  <si>
    <t>DreadCleave</t>
  </si>
  <si>
    <t>EmberShroud</t>
  </si>
  <si>
    <t>ExecutionersBlow</t>
  </si>
  <si>
    <t>Gnaw</t>
  </si>
  <si>
    <t>MeteorFall</t>
  </si>
  <si>
    <t>Overflow</t>
  </si>
  <si>
    <t>PlagueBite</t>
  </si>
  <si>
    <t>RaiseDead</t>
  </si>
  <si>
    <t>Rally</t>
  </si>
  <si>
    <t>Riposte</t>
  </si>
  <si>
    <t>RoyalCommand</t>
  </si>
  <si>
    <t>RoyalGuard</t>
  </si>
  <si>
    <t>SeismicSlam</t>
  </si>
  <si>
    <t>ShadowWard</t>
  </si>
  <si>
    <t>ShieldBash</t>
  </si>
  <si>
    <t>Slash+</t>
  </si>
  <si>
    <t>SoulReap</t>
  </si>
  <si>
    <t>SplinterOff</t>
  </si>
  <si>
    <t>StoneSkin</t>
  </si>
  <si>
    <t>SummonImp</t>
  </si>
  <si>
    <t>SummonSkeletonWarrior</t>
  </si>
  <si>
    <t>TeleportInnate</t>
  </si>
  <si>
    <t>VoidBarrier</t>
  </si>
  <si>
    <t>2 damage, Poison 3</t>
  </si>
  <si>
    <t>4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</si>
</sst>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2" fontId="0" fillId="0" borderId="0" xfId="0" applyNumberFormat="1"/>
    <xf numFmtId="0" fontId="0" fillId="0" borderId="0" xfId="0" applyAlignment="1">
      <alignment wrapText="1"/>
    </xf>
    <xf numFmtId="0" fontId="1" fillId="0" borderId="0" xfId="0" applyFont="1" applyAlignment="1">
      <alignment wrapText="1"/>
    </xf>
    <xf numFmtId="0" fontId="2" fillId="0" borderId="0" xfId="0" applyFont="1"/>
    <xf numFmtId="2" fontId="1" fillId="0" borderId="0" xfId="0" applyNumberFormat="1" applyFont="1"/>
    <xf numFmtId="1" fontId="0" fillId="0" borderId="0" xfId="0" applyNumberFormat="1"/>
    <xf numFmtId="0" fontId="3" fillId="0" borderId="0" xfId="0" applyFont="1"/>
    <xf numFmtId="0" fontId="4" fillId="0" borderId="0" xfId="0" applyFont="1"/>
  </cellXfs>
  <cellStyles count="1">
    <cellStyle name="Normal" xfId="0" builtinId="0"/>
  </cellStyles>
  <dxfs count="3">
    <dxf>
      <font>
        <color rgb="FF006100"/>
      </font>
      <fill>
        <patternFill>
          <bgColor rgb="FFC6EFCE"/>
        </patternFill>
      </fill>
    </dxf>
    <dxf>
      <font>
        <color rgb="FF9C65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9"/>
  <sheetViews>
    <sheetView workbookViewId="0"/>
  </sheetViews>
  <sheetFormatPr defaultRowHeight="14.4" x14ac:dyDescent="0.3"/>
  <cols>
    <col min="1" max="1" width="28" customWidth="1"/>
    <col min="2" max="2" width="110" style="3" customWidth="1"/>
  </cols>
  <sheetData>
    <row r="1" spans="1:2" ht="21" x14ac:dyDescent="0.4">
      <c r="A1" s="8" t="s">
        <v>0</v>
      </c>
    </row>
    <row r="2" spans="1:2" x14ac:dyDescent="0.3">
      <c r="A2" t="s">
        <v>1</v>
      </c>
    </row>
    <row r="3" spans="1:2" x14ac:dyDescent="0.3">
      <c r="A3" t="s">
        <v>2</v>
      </c>
    </row>
    <row r="4" spans="1:2" x14ac:dyDescent="0.3">
      <c r="A4" t="s">
        <v>1</v>
      </c>
    </row>
    <row r="5" spans="1:2" ht="15.6" x14ac:dyDescent="0.3">
      <c r="A5" s="9" t="s">
        <v>3</v>
      </c>
    </row>
    <row r="6" spans="1:2" ht="28.8" x14ac:dyDescent="0.3">
      <c r="A6" s="1" t="s">
        <v>4</v>
      </c>
      <c r="B6" s="3" t="s">
        <v>5</v>
      </c>
    </row>
    <row r="7" spans="1:2" ht="43.2" x14ac:dyDescent="0.3">
      <c r="A7" s="1" t="s">
        <v>6</v>
      </c>
      <c r="B7" s="3" t="s">
        <v>7</v>
      </c>
    </row>
    <row r="8" spans="1:2" x14ac:dyDescent="0.3">
      <c r="A8" s="1" t="s">
        <v>8</v>
      </c>
      <c r="B8" s="3" t="s">
        <v>9</v>
      </c>
    </row>
    <row r="9" spans="1:2" ht="72" x14ac:dyDescent="0.3">
      <c r="A9" s="1" t="s">
        <v>10</v>
      </c>
      <c r="B9" s="3" t="s">
        <v>11</v>
      </c>
    </row>
    <row r="10" spans="1:2" x14ac:dyDescent="0.3">
      <c r="A10" s="1" t="s">
        <v>12</v>
      </c>
      <c r="B10" s="3" t="s">
        <v>13</v>
      </c>
    </row>
    <row r="11" spans="1:2" x14ac:dyDescent="0.3">
      <c r="A11" t="s">
        <v>1</v>
      </c>
    </row>
    <row r="12" spans="1:2" ht="15.6" x14ac:dyDescent="0.3">
      <c r="A12" s="9" t="s">
        <v>14</v>
      </c>
    </row>
    <row r="13" spans="1:2" x14ac:dyDescent="0.3">
      <c r="A13" s="1" t="s">
        <v>15</v>
      </c>
      <c r="B13" s="3" t="s">
        <v>16</v>
      </c>
    </row>
    <row r="14" spans="1:2" ht="28.8" x14ac:dyDescent="0.3">
      <c r="A14" s="1" t="s">
        <v>17</v>
      </c>
      <c r="B14" s="3" t="s">
        <v>18</v>
      </c>
    </row>
    <row r="15" spans="1:2" ht="28.8" x14ac:dyDescent="0.3">
      <c r="A15" s="1" t="s">
        <v>19</v>
      </c>
      <c r="B15" s="3" t="s">
        <v>20</v>
      </c>
    </row>
    <row r="16" spans="1:2" x14ac:dyDescent="0.3">
      <c r="A16" s="1" t="s">
        <v>21</v>
      </c>
      <c r="B16" s="3" t="s">
        <v>22</v>
      </c>
    </row>
    <row r="17" spans="1:2" ht="28.8" x14ac:dyDescent="0.3">
      <c r="A17" s="1" t="s">
        <v>23</v>
      </c>
      <c r="B17" s="3" t="s">
        <v>24</v>
      </c>
    </row>
    <row r="18" spans="1:2" x14ac:dyDescent="0.3">
      <c r="A18" t="s">
        <v>1</v>
      </c>
    </row>
    <row r="19" spans="1:2" ht="15.6" x14ac:dyDescent="0.3">
      <c r="A19" s="9" t="s">
        <v>25</v>
      </c>
    </row>
    <row r="20" spans="1:2" ht="57.6" x14ac:dyDescent="0.3">
      <c r="A20" s="1" t="s">
        <v>26</v>
      </c>
      <c r="B20" s="3" t="s">
        <v>27</v>
      </c>
    </row>
    <row r="21" spans="1:2" ht="43.2" x14ac:dyDescent="0.3">
      <c r="A21" s="1" t="s">
        <v>28</v>
      </c>
      <c r="B21" s="3" t="s">
        <v>29</v>
      </c>
    </row>
    <row r="22" spans="1:2" x14ac:dyDescent="0.3">
      <c r="A22" s="1" t="s">
        <v>30</v>
      </c>
      <c r="B22" s="3" t="s">
        <v>31</v>
      </c>
    </row>
    <row r="23" spans="1:2" ht="28.8" x14ac:dyDescent="0.3">
      <c r="A23" s="1" t="s">
        <v>15</v>
      </c>
      <c r="B23" s="3" t="s">
        <v>32</v>
      </c>
    </row>
    <row r="24" spans="1:2" ht="28.8" x14ac:dyDescent="0.3">
      <c r="A24" s="1" t="s">
        <v>33</v>
      </c>
      <c r="B24" s="3" t="s">
        <v>34</v>
      </c>
    </row>
    <row r="25" spans="1:2" ht="43.2" x14ac:dyDescent="0.3">
      <c r="A25" s="1" t="s">
        <v>35</v>
      </c>
      <c r="B25" s="3" t="s">
        <v>36</v>
      </c>
    </row>
    <row r="26" spans="1:2" ht="28.8" x14ac:dyDescent="0.3">
      <c r="A26" s="1" t="s">
        <v>37</v>
      </c>
      <c r="B26" s="3" t="s">
        <v>38</v>
      </c>
    </row>
    <row r="27" spans="1:2" ht="28.8" x14ac:dyDescent="0.3">
      <c r="A27" s="1" t="s">
        <v>39</v>
      </c>
      <c r="B27" s="3" t="s">
        <v>40</v>
      </c>
    </row>
    <row r="28" spans="1:2" ht="28.8" x14ac:dyDescent="0.3">
      <c r="A28" s="1" t="s">
        <v>41</v>
      </c>
      <c r="B28" s="3" t="s">
        <v>42</v>
      </c>
    </row>
    <row r="29" spans="1:2" ht="43.2" x14ac:dyDescent="0.3">
      <c r="A29" s="1" t="s">
        <v>43</v>
      </c>
      <c r="B29"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0"/>
  <sheetViews>
    <sheetView workbookViewId="0">
      <pane ySplit="1" topLeftCell="A4" activePane="bottomLeft" state="frozen"/>
      <selection pane="bottomLeft" activeCell="B2" sqref="B2"/>
    </sheetView>
  </sheetViews>
  <sheetFormatPr defaultRowHeight="14.4" x14ac:dyDescent="0.3"/>
  <cols>
    <col min="1" max="1" width="20" customWidth="1"/>
    <col min="2" max="2" width="11" customWidth="1"/>
    <col min="3" max="3" width="90" style="3" customWidth="1"/>
  </cols>
  <sheetData>
    <row r="1" spans="1:3" x14ac:dyDescent="0.3">
      <c r="A1" s="1" t="s">
        <v>45</v>
      </c>
      <c r="B1" s="1" t="s">
        <v>46</v>
      </c>
      <c r="C1" s="4" t="s">
        <v>47</v>
      </c>
    </row>
    <row r="2" spans="1:3" x14ac:dyDescent="0.3">
      <c r="A2" t="s">
        <v>48</v>
      </c>
      <c r="B2" s="2">
        <v>1.5</v>
      </c>
      <c r="C2" s="3" t="s">
        <v>49</v>
      </c>
    </row>
    <row r="3" spans="1:3" ht="28.8" x14ac:dyDescent="0.3">
      <c r="A3" t="s">
        <v>50</v>
      </c>
      <c r="B3" s="2">
        <v>0.9</v>
      </c>
      <c r="C3" s="3" t="s">
        <v>51</v>
      </c>
    </row>
    <row r="4" spans="1:3" x14ac:dyDescent="0.3">
      <c r="A4" t="s">
        <v>52</v>
      </c>
      <c r="B4" s="2">
        <v>0.5</v>
      </c>
      <c r="C4" s="3" t="s">
        <v>53</v>
      </c>
    </row>
    <row r="5" spans="1:3" x14ac:dyDescent="0.3">
      <c r="A5" t="s">
        <v>54</v>
      </c>
      <c r="B5" s="2">
        <v>0.5</v>
      </c>
      <c r="C5" s="3" t="s">
        <v>55</v>
      </c>
    </row>
    <row r="6" spans="1:3" x14ac:dyDescent="0.3">
      <c r="A6" t="s">
        <v>56</v>
      </c>
      <c r="B6" s="2">
        <v>4</v>
      </c>
      <c r="C6" s="3" t="s">
        <v>57</v>
      </c>
    </row>
    <row r="7" spans="1:3" x14ac:dyDescent="0.3">
      <c r="A7" t="s">
        <v>58</v>
      </c>
      <c r="B7" s="2">
        <v>1</v>
      </c>
      <c r="C7" s="3" t="s">
        <v>59</v>
      </c>
    </row>
    <row r="8" spans="1:3" x14ac:dyDescent="0.3">
      <c r="A8" t="s">
        <v>60</v>
      </c>
      <c r="B8" s="2">
        <v>0.5</v>
      </c>
      <c r="C8" s="3" t="s">
        <v>61</v>
      </c>
    </row>
    <row r="9" spans="1:3" ht="28.8" x14ac:dyDescent="0.3">
      <c r="A9" t="s">
        <v>62</v>
      </c>
      <c r="B9" s="2">
        <v>17</v>
      </c>
      <c r="C9" s="3" t="s">
        <v>63</v>
      </c>
    </row>
    <row r="10" spans="1:3" x14ac:dyDescent="0.3">
      <c r="A10" t="s">
        <v>64</v>
      </c>
      <c r="B10" s="2">
        <v>0.8</v>
      </c>
      <c r="C10" s="3" t="s">
        <v>65</v>
      </c>
    </row>
    <row r="11" spans="1:3" x14ac:dyDescent="0.3">
      <c r="A11" t="s">
        <v>66</v>
      </c>
      <c r="B11" s="2">
        <v>0.9</v>
      </c>
      <c r="C11" s="3" t="s">
        <v>67</v>
      </c>
    </row>
    <row r="12" spans="1:3" x14ac:dyDescent="0.3">
      <c r="A12" t="s">
        <v>68</v>
      </c>
      <c r="B12" s="2">
        <v>3</v>
      </c>
      <c r="C12" s="3" t="s">
        <v>69</v>
      </c>
    </row>
    <row r="13" spans="1:3" x14ac:dyDescent="0.3">
      <c r="A13" t="s">
        <v>70</v>
      </c>
      <c r="B13" s="2">
        <v>1</v>
      </c>
      <c r="C13" s="3" t="s">
        <v>71</v>
      </c>
    </row>
    <row r="14" spans="1:3" x14ac:dyDescent="0.3">
      <c r="A14" t="s">
        <v>72</v>
      </c>
      <c r="B14" s="2">
        <v>1.5</v>
      </c>
      <c r="C14" s="3" t="s">
        <v>73</v>
      </c>
    </row>
    <row r="15" spans="1:3" x14ac:dyDescent="0.3">
      <c r="A15" t="s">
        <v>74</v>
      </c>
      <c r="B15" s="2">
        <v>1.5</v>
      </c>
      <c r="C15" s="3" t="s">
        <v>75</v>
      </c>
    </row>
    <row r="16" spans="1:3" x14ac:dyDescent="0.3">
      <c r="A16" t="s">
        <v>76</v>
      </c>
      <c r="B16" s="2">
        <v>2</v>
      </c>
      <c r="C16" s="3" t="s">
        <v>77</v>
      </c>
    </row>
    <row r="17" spans="1:3" x14ac:dyDescent="0.3">
      <c r="A17" t="s">
        <v>78</v>
      </c>
      <c r="B17" s="2">
        <v>3</v>
      </c>
      <c r="C17" s="3" t="s">
        <v>79</v>
      </c>
    </row>
    <row r="18" spans="1:3" x14ac:dyDescent="0.3">
      <c r="A18" t="s">
        <v>80</v>
      </c>
      <c r="B18" s="2">
        <v>1.5</v>
      </c>
      <c r="C18" s="3" t="s">
        <v>81</v>
      </c>
    </row>
    <row r="19" spans="1:3" x14ac:dyDescent="0.3">
      <c r="A19" t="s">
        <v>82</v>
      </c>
      <c r="B19" s="2">
        <v>0.9</v>
      </c>
      <c r="C19" s="3" t="s">
        <v>83</v>
      </c>
    </row>
    <row r="20" spans="1:3" x14ac:dyDescent="0.3">
      <c r="A20" t="s">
        <v>84</v>
      </c>
      <c r="B20" s="2">
        <v>0.9</v>
      </c>
      <c r="C20" s="3" t="s">
        <v>85</v>
      </c>
    </row>
    <row r="21" spans="1:3" x14ac:dyDescent="0.3">
      <c r="A21" t="s">
        <v>86</v>
      </c>
      <c r="B21" s="2">
        <v>1.5</v>
      </c>
      <c r="C21" s="3" t="s">
        <v>87</v>
      </c>
    </row>
    <row r="22" spans="1:3" x14ac:dyDescent="0.3">
      <c r="A22" t="s">
        <v>88</v>
      </c>
      <c r="B22" s="2">
        <v>1</v>
      </c>
      <c r="C22" s="3" t="s">
        <v>89</v>
      </c>
    </row>
    <row r="23" spans="1:3" ht="28.8" x14ac:dyDescent="0.3">
      <c r="A23" t="s">
        <v>90</v>
      </c>
      <c r="B23" s="2">
        <v>1</v>
      </c>
      <c r="C23" s="3" t="s">
        <v>91</v>
      </c>
    </row>
    <row r="24" spans="1:3" ht="28.8" x14ac:dyDescent="0.3">
      <c r="A24" t="s">
        <v>92</v>
      </c>
      <c r="B24" s="2">
        <v>5</v>
      </c>
      <c r="C24" s="3" t="s">
        <v>93</v>
      </c>
    </row>
    <row r="25" spans="1:3" ht="28.8" x14ac:dyDescent="0.3">
      <c r="A25" t="s">
        <v>94</v>
      </c>
      <c r="B25" s="2">
        <v>3</v>
      </c>
      <c r="C25" s="3" t="s">
        <v>95</v>
      </c>
    </row>
    <row r="26" spans="1:3" x14ac:dyDescent="0.3">
      <c r="A26" t="s">
        <v>96</v>
      </c>
      <c r="B26" s="2">
        <v>0.3</v>
      </c>
      <c r="C26" s="3" t="s">
        <v>97</v>
      </c>
    </row>
    <row r="27" spans="1:3" ht="28.8" x14ac:dyDescent="0.3">
      <c r="A27" t="s">
        <v>98</v>
      </c>
      <c r="B27" s="2">
        <v>3</v>
      </c>
      <c r="C27" s="3" t="s">
        <v>99</v>
      </c>
    </row>
    <row r="28" spans="1:3" x14ac:dyDescent="0.3">
      <c r="A28" t="s">
        <v>100</v>
      </c>
      <c r="B28" s="2">
        <v>1</v>
      </c>
      <c r="C28" s="3" t="s">
        <v>101</v>
      </c>
    </row>
    <row r="29" spans="1:3" x14ac:dyDescent="0.3">
      <c r="A29" t="s">
        <v>102</v>
      </c>
      <c r="B29" s="2">
        <v>1</v>
      </c>
      <c r="C29" s="3" t="s">
        <v>103</v>
      </c>
    </row>
    <row r="30" spans="1:3" x14ac:dyDescent="0.3">
      <c r="A30" t="s">
        <v>104</v>
      </c>
      <c r="B30" s="2">
        <v>0.5</v>
      </c>
      <c r="C30" s="3" t="s">
        <v>105</v>
      </c>
    </row>
    <row r="31" spans="1:3" x14ac:dyDescent="0.3">
      <c r="A31" t="s">
        <v>106</v>
      </c>
      <c r="B31" s="2">
        <v>-1</v>
      </c>
      <c r="C31" s="3" t="s">
        <v>107</v>
      </c>
    </row>
    <row r="32" spans="1:3" ht="28.8" x14ac:dyDescent="0.3">
      <c r="A32" t="s">
        <v>108</v>
      </c>
      <c r="B32" s="2">
        <v>2</v>
      </c>
      <c r="C32" s="3" t="s">
        <v>109</v>
      </c>
    </row>
    <row r="33" spans="1:3" x14ac:dyDescent="0.3">
      <c r="A33" t="s">
        <v>110</v>
      </c>
      <c r="B33" s="2">
        <v>0.25</v>
      </c>
      <c r="C33" s="3" t="s">
        <v>111</v>
      </c>
    </row>
    <row r="34" spans="1:3" x14ac:dyDescent="0.3">
      <c r="B34" s="2"/>
    </row>
    <row r="35" spans="1:3" x14ac:dyDescent="0.3">
      <c r="A35" s="5" t="s">
        <v>112</v>
      </c>
      <c r="B35" s="2"/>
    </row>
    <row r="36" spans="1:3" x14ac:dyDescent="0.3">
      <c r="A36" s="1" t="s">
        <v>113</v>
      </c>
      <c r="B36" s="2"/>
    </row>
    <row r="37" spans="1:3" x14ac:dyDescent="0.3">
      <c r="A37" s="1" t="s">
        <v>114</v>
      </c>
      <c r="B37" s="6" t="s">
        <v>115</v>
      </c>
    </row>
    <row r="38" spans="1:3" x14ac:dyDescent="0.3">
      <c r="A38">
        <v>1</v>
      </c>
      <c r="B38" s="2">
        <v>0</v>
      </c>
    </row>
    <row r="39" spans="1:3" x14ac:dyDescent="0.3">
      <c r="A39">
        <v>2</v>
      </c>
      <c r="B39" s="2">
        <v>1.5</v>
      </c>
    </row>
    <row r="40" spans="1:3" x14ac:dyDescent="0.3">
      <c r="A40">
        <v>3</v>
      </c>
      <c r="B40" s="2">
        <v>5</v>
      </c>
    </row>
    <row r="41" spans="1:3" x14ac:dyDescent="0.3">
      <c r="A41">
        <v>4</v>
      </c>
      <c r="B41" s="2">
        <v>6</v>
      </c>
    </row>
    <row r="42" spans="1:3" x14ac:dyDescent="0.3">
      <c r="A42">
        <v>5</v>
      </c>
      <c r="B42" s="2">
        <v>7</v>
      </c>
    </row>
    <row r="43" spans="1:3" x14ac:dyDescent="0.3">
      <c r="A43">
        <v>6</v>
      </c>
      <c r="B43" s="2">
        <v>8</v>
      </c>
    </row>
    <row r="44" spans="1:3" x14ac:dyDescent="0.3">
      <c r="A44" s="5" t="s">
        <v>116</v>
      </c>
      <c r="B44" s="2"/>
    </row>
    <row r="45" spans="1:3" x14ac:dyDescent="0.3">
      <c r="B45" s="2"/>
    </row>
    <row r="46" spans="1:3" x14ac:dyDescent="0.3">
      <c r="B46" s="2"/>
    </row>
    <row r="47" spans="1:3" x14ac:dyDescent="0.3">
      <c r="B47" s="2"/>
    </row>
    <row r="48" spans="1:3" x14ac:dyDescent="0.3">
      <c r="B48" s="2"/>
    </row>
    <row r="49" spans="2:2" x14ac:dyDescent="0.3">
      <c r="B49" s="2"/>
    </row>
    <row r="50" spans="2:2" x14ac:dyDescent="0.3">
      <c r="B50" s="2"/>
    </row>
    <row r="51" spans="2:2" x14ac:dyDescent="0.3">
      <c r="B51" s="2"/>
    </row>
    <row r="52" spans="2:2" x14ac:dyDescent="0.3">
      <c r="B52" s="2"/>
    </row>
    <row r="53" spans="2:2" x14ac:dyDescent="0.3">
      <c r="B53" s="2"/>
    </row>
    <row r="54" spans="2:2" x14ac:dyDescent="0.3">
      <c r="B54" s="2"/>
    </row>
    <row r="55" spans="2:2" x14ac:dyDescent="0.3">
      <c r="B55" s="2"/>
    </row>
    <row r="56" spans="2:2" x14ac:dyDescent="0.3">
      <c r="B56" s="2"/>
    </row>
    <row r="57" spans="2:2" x14ac:dyDescent="0.3">
      <c r="B57" s="2"/>
    </row>
    <row r="58" spans="2:2" x14ac:dyDescent="0.3">
      <c r="B58" s="2"/>
    </row>
    <row r="59" spans="2:2" x14ac:dyDescent="0.3">
      <c r="B59" s="2"/>
    </row>
    <row r="60" spans="2:2" x14ac:dyDescent="0.3">
      <c r="B60" s="2"/>
    </row>
    <row r="61" spans="2:2" x14ac:dyDescent="0.3">
      <c r="B61" s="2"/>
    </row>
    <row r="62" spans="2:2" x14ac:dyDescent="0.3">
      <c r="B62" s="2"/>
    </row>
    <row r="63" spans="2:2" x14ac:dyDescent="0.3">
      <c r="B63" s="2"/>
    </row>
    <row r="64" spans="2:2" x14ac:dyDescent="0.3">
      <c r="B64" s="2"/>
    </row>
    <row r="65" spans="2:2" x14ac:dyDescent="0.3">
      <c r="B65" s="2"/>
    </row>
    <row r="66" spans="2:2" x14ac:dyDescent="0.3">
      <c r="B66" s="2"/>
    </row>
    <row r="67" spans="2:2" x14ac:dyDescent="0.3">
      <c r="B67" s="2"/>
    </row>
    <row r="68" spans="2:2" x14ac:dyDescent="0.3">
      <c r="B68" s="2"/>
    </row>
    <row r="69" spans="2:2" x14ac:dyDescent="0.3">
      <c r="B69" s="2"/>
    </row>
    <row r="70" spans="2:2" x14ac:dyDescent="0.3">
      <c r="B70" s="2"/>
    </row>
    <row r="71" spans="2:2" x14ac:dyDescent="0.3">
      <c r="B71" s="2"/>
    </row>
    <row r="72" spans="2:2" x14ac:dyDescent="0.3">
      <c r="B72" s="2"/>
    </row>
    <row r="73" spans="2:2" x14ac:dyDescent="0.3">
      <c r="B73" s="2"/>
    </row>
    <row r="74" spans="2:2" x14ac:dyDescent="0.3">
      <c r="B74" s="2"/>
    </row>
    <row r="75" spans="2:2" x14ac:dyDescent="0.3">
      <c r="B75" s="2"/>
    </row>
    <row r="76" spans="2:2" x14ac:dyDescent="0.3">
      <c r="B76" s="2"/>
    </row>
    <row r="77" spans="2:2" x14ac:dyDescent="0.3">
      <c r="B77" s="2"/>
    </row>
    <row r="78" spans="2:2" x14ac:dyDescent="0.3">
      <c r="B78" s="2"/>
    </row>
    <row r="79" spans="2:2" x14ac:dyDescent="0.3">
      <c r="B79" s="2"/>
    </row>
    <row r="80" spans="2:2" x14ac:dyDescent="0.3">
      <c r="B80" s="2"/>
    </row>
    <row r="81" spans="2:2" x14ac:dyDescent="0.3">
      <c r="B81" s="2"/>
    </row>
    <row r="82" spans="2:2" x14ac:dyDescent="0.3">
      <c r="B82" s="2"/>
    </row>
    <row r="83" spans="2:2" x14ac:dyDescent="0.3">
      <c r="B83" s="2"/>
    </row>
    <row r="84" spans="2:2" x14ac:dyDescent="0.3">
      <c r="B84" s="2"/>
    </row>
    <row r="85" spans="2:2" x14ac:dyDescent="0.3">
      <c r="B85" s="2"/>
    </row>
    <row r="86" spans="2:2" x14ac:dyDescent="0.3">
      <c r="B86" s="2"/>
    </row>
    <row r="87" spans="2:2" x14ac:dyDescent="0.3">
      <c r="B87" s="2"/>
    </row>
    <row r="88" spans="2:2" x14ac:dyDescent="0.3">
      <c r="B88" s="2"/>
    </row>
    <row r="89" spans="2:2" x14ac:dyDescent="0.3">
      <c r="B89" s="2"/>
    </row>
    <row r="90" spans="2:2" x14ac:dyDescent="0.3">
      <c r="B90" s="2"/>
    </row>
    <row r="91" spans="2:2" x14ac:dyDescent="0.3">
      <c r="B91" s="2"/>
    </row>
    <row r="92" spans="2:2" x14ac:dyDescent="0.3">
      <c r="B92" s="2"/>
    </row>
    <row r="93" spans="2:2" x14ac:dyDescent="0.3">
      <c r="B93" s="2"/>
    </row>
    <row r="94" spans="2:2" x14ac:dyDescent="0.3">
      <c r="B94" s="2"/>
    </row>
    <row r="95" spans="2:2" x14ac:dyDescent="0.3">
      <c r="B95" s="2"/>
    </row>
    <row r="96" spans="2:2" x14ac:dyDescent="0.3">
      <c r="B96" s="2"/>
    </row>
    <row r="97" spans="2:2" x14ac:dyDescent="0.3">
      <c r="B97" s="2"/>
    </row>
    <row r="98" spans="2:2" x14ac:dyDescent="0.3">
      <c r="B98" s="2"/>
    </row>
    <row r="99" spans="2:2" x14ac:dyDescent="0.3">
      <c r="B99" s="2"/>
    </row>
    <row r="100" spans="2:2" x14ac:dyDescent="0.3">
      <c r="B100" s="2"/>
    </row>
    <row r="101" spans="2:2" x14ac:dyDescent="0.3">
      <c r="B101" s="2"/>
    </row>
    <row r="102" spans="2:2" x14ac:dyDescent="0.3">
      <c r="B102" s="2"/>
    </row>
    <row r="103" spans="2:2" x14ac:dyDescent="0.3">
      <c r="B103" s="2"/>
    </row>
    <row r="104" spans="2:2" x14ac:dyDescent="0.3">
      <c r="B104" s="2"/>
    </row>
    <row r="105" spans="2:2" x14ac:dyDescent="0.3">
      <c r="B105" s="2"/>
    </row>
    <row r="106" spans="2:2" x14ac:dyDescent="0.3">
      <c r="B106" s="2"/>
    </row>
    <row r="107" spans="2:2" x14ac:dyDescent="0.3">
      <c r="B107" s="2"/>
    </row>
    <row r="108" spans="2:2" x14ac:dyDescent="0.3">
      <c r="B108" s="2"/>
    </row>
    <row r="109" spans="2:2" x14ac:dyDescent="0.3">
      <c r="B109" s="2"/>
    </row>
    <row r="110" spans="2:2" x14ac:dyDescent="0.3">
      <c r="B110" s="2"/>
    </row>
    <row r="111" spans="2:2" x14ac:dyDescent="0.3">
      <c r="B111" s="2"/>
    </row>
    <row r="112" spans="2:2" x14ac:dyDescent="0.3">
      <c r="B112" s="2"/>
    </row>
    <row r="113" spans="2:2" x14ac:dyDescent="0.3">
      <c r="B113" s="2"/>
    </row>
    <row r="114" spans="2:2" x14ac:dyDescent="0.3">
      <c r="B114" s="2"/>
    </row>
    <row r="115" spans="2:2" x14ac:dyDescent="0.3">
      <c r="B115" s="2"/>
    </row>
    <row r="116" spans="2:2" x14ac:dyDescent="0.3">
      <c r="B116" s="2"/>
    </row>
    <row r="117" spans="2:2" x14ac:dyDescent="0.3">
      <c r="B117" s="2"/>
    </row>
    <row r="118" spans="2:2" x14ac:dyDescent="0.3">
      <c r="B118" s="2"/>
    </row>
    <row r="119" spans="2:2" x14ac:dyDescent="0.3">
      <c r="B119" s="2"/>
    </row>
    <row r="120" spans="2:2" x14ac:dyDescent="0.3">
      <c r="B120" s="2"/>
    </row>
    <row r="121" spans="2:2" x14ac:dyDescent="0.3">
      <c r="B121" s="2"/>
    </row>
    <row r="122" spans="2:2" x14ac:dyDescent="0.3">
      <c r="B122" s="2"/>
    </row>
    <row r="123" spans="2:2" x14ac:dyDescent="0.3">
      <c r="B123" s="2"/>
    </row>
    <row r="124" spans="2:2" x14ac:dyDescent="0.3">
      <c r="B124" s="2"/>
    </row>
    <row r="125" spans="2:2" x14ac:dyDescent="0.3">
      <c r="B125" s="2"/>
    </row>
    <row r="126" spans="2:2" x14ac:dyDescent="0.3">
      <c r="B126" s="2"/>
    </row>
    <row r="127" spans="2:2" x14ac:dyDescent="0.3">
      <c r="B127" s="2"/>
    </row>
    <row r="128" spans="2:2" x14ac:dyDescent="0.3">
      <c r="B128" s="2"/>
    </row>
    <row r="129" spans="2:2" x14ac:dyDescent="0.3">
      <c r="B129" s="2"/>
    </row>
    <row r="130" spans="2:2" x14ac:dyDescent="0.3">
      <c r="B130" s="2"/>
    </row>
    <row r="131" spans="2:2" x14ac:dyDescent="0.3">
      <c r="B131" s="2"/>
    </row>
    <row r="132" spans="2:2" x14ac:dyDescent="0.3">
      <c r="B132" s="2"/>
    </row>
    <row r="133" spans="2:2" x14ac:dyDescent="0.3">
      <c r="B133" s="2"/>
    </row>
    <row r="134" spans="2:2" x14ac:dyDescent="0.3">
      <c r="B134" s="2"/>
    </row>
    <row r="135" spans="2:2" x14ac:dyDescent="0.3">
      <c r="B135" s="2"/>
    </row>
    <row r="136" spans="2:2" x14ac:dyDescent="0.3">
      <c r="B136" s="2"/>
    </row>
    <row r="137" spans="2:2" x14ac:dyDescent="0.3">
      <c r="B137" s="2"/>
    </row>
    <row r="138" spans="2:2" x14ac:dyDescent="0.3">
      <c r="B138" s="2"/>
    </row>
    <row r="139" spans="2:2" x14ac:dyDescent="0.3">
      <c r="B139" s="2"/>
    </row>
    <row r="140" spans="2:2" x14ac:dyDescent="0.3">
      <c r="B140" s="2"/>
    </row>
    <row r="141" spans="2:2" x14ac:dyDescent="0.3">
      <c r="B141" s="2"/>
    </row>
    <row r="142" spans="2:2" x14ac:dyDescent="0.3">
      <c r="B142" s="2"/>
    </row>
    <row r="143" spans="2:2" x14ac:dyDescent="0.3">
      <c r="B143" s="2"/>
    </row>
    <row r="144" spans="2:2" x14ac:dyDescent="0.3">
      <c r="B144" s="2"/>
    </row>
    <row r="145" spans="2:2" x14ac:dyDescent="0.3">
      <c r="B145" s="2"/>
    </row>
    <row r="146" spans="2:2" x14ac:dyDescent="0.3">
      <c r="B146" s="2"/>
    </row>
    <row r="147" spans="2:2" x14ac:dyDescent="0.3">
      <c r="B147" s="2"/>
    </row>
    <row r="148" spans="2:2" x14ac:dyDescent="0.3">
      <c r="B148" s="2"/>
    </row>
    <row r="149" spans="2:2" x14ac:dyDescent="0.3">
      <c r="B149" s="2"/>
    </row>
    <row r="150" spans="2:2" x14ac:dyDescent="0.3">
      <c r="B150" s="2"/>
    </row>
    <row r="151" spans="2:2" x14ac:dyDescent="0.3">
      <c r="B151" s="2"/>
    </row>
    <row r="152" spans="2:2" x14ac:dyDescent="0.3">
      <c r="B152" s="2"/>
    </row>
    <row r="153" spans="2:2" x14ac:dyDescent="0.3">
      <c r="B153" s="2"/>
    </row>
    <row r="154" spans="2:2" x14ac:dyDescent="0.3">
      <c r="B154" s="2"/>
    </row>
    <row r="155" spans="2:2" x14ac:dyDescent="0.3">
      <c r="B155" s="2"/>
    </row>
    <row r="156" spans="2:2" x14ac:dyDescent="0.3">
      <c r="B156" s="2"/>
    </row>
    <row r="157" spans="2:2" x14ac:dyDescent="0.3">
      <c r="B157" s="2"/>
    </row>
    <row r="158" spans="2:2" x14ac:dyDescent="0.3">
      <c r="B158" s="2"/>
    </row>
    <row r="159" spans="2:2" x14ac:dyDescent="0.3">
      <c r="B159" s="2"/>
    </row>
    <row r="160" spans="2:2" x14ac:dyDescent="0.3">
      <c r="B160" s="2"/>
    </row>
    <row r="161" spans="2:2" x14ac:dyDescent="0.3">
      <c r="B161" s="2"/>
    </row>
    <row r="162" spans="2:2" x14ac:dyDescent="0.3">
      <c r="B162" s="2"/>
    </row>
    <row r="163" spans="2:2" x14ac:dyDescent="0.3">
      <c r="B163" s="2"/>
    </row>
    <row r="164" spans="2:2" x14ac:dyDescent="0.3">
      <c r="B164" s="2"/>
    </row>
    <row r="165" spans="2:2" x14ac:dyDescent="0.3">
      <c r="B165" s="2"/>
    </row>
    <row r="166" spans="2:2" x14ac:dyDescent="0.3">
      <c r="B166" s="2"/>
    </row>
    <row r="167" spans="2:2" x14ac:dyDescent="0.3">
      <c r="B167" s="2"/>
    </row>
    <row r="168" spans="2:2" x14ac:dyDescent="0.3">
      <c r="B168" s="2"/>
    </row>
    <row r="169" spans="2:2" x14ac:dyDescent="0.3">
      <c r="B169" s="2"/>
    </row>
    <row r="170" spans="2:2" x14ac:dyDescent="0.3">
      <c r="B170" s="2"/>
    </row>
    <row r="171" spans="2:2" x14ac:dyDescent="0.3">
      <c r="B171" s="2"/>
    </row>
    <row r="172" spans="2:2" x14ac:dyDescent="0.3">
      <c r="B172" s="2"/>
    </row>
    <row r="173" spans="2:2" x14ac:dyDescent="0.3">
      <c r="B173" s="2"/>
    </row>
    <row r="174" spans="2:2" x14ac:dyDescent="0.3">
      <c r="B174" s="2"/>
    </row>
    <row r="175" spans="2:2" x14ac:dyDescent="0.3">
      <c r="B175" s="2"/>
    </row>
    <row r="176" spans="2:2" x14ac:dyDescent="0.3">
      <c r="B176" s="2"/>
    </row>
    <row r="177" spans="2:2" x14ac:dyDescent="0.3">
      <c r="B177" s="2"/>
    </row>
    <row r="178" spans="2:2" x14ac:dyDescent="0.3">
      <c r="B178" s="2"/>
    </row>
    <row r="179" spans="2:2" x14ac:dyDescent="0.3">
      <c r="B179" s="2"/>
    </row>
    <row r="180" spans="2:2" x14ac:dyDescent="0.3">
      <c r="B180" s="2"/>
    </row>
    <row r="181" spans="2:2" x14ac:dyDescent="0.3">
      <c r="B181" s="2"/>
    </row>
    <row r="182" spans="2:2" x14ac:dyDescent="0.3">
      <c r="B182" s="2"/>
    </row>
    <row r="183" spans="2:2" x14ac:dyDescent="0.3">
      <c r="B183" s="2"/>
    </row>
    <row r="184" spans="2:2" x14ac:dyDescent="0.3">
      <c r="B184" s="2"/>
    </row>
    <row r="185" spans="2:2" x14ac:dyDescent="0.3">
      <c r="B185" s="2"/>
    </row>
    <row r="186" spans="2:2" x14ac:dyDescent="0.3">
      <c r="B186" s="2"/>
    </row>
    <row r="187" spans="2:2" x14ac:dyDescent="0.3">
      <c r="B187" s="2"/>
    </row>
    <row r="188" spans="2:2" x14ac:dyDescent="0.3">
      <c r="B188" s="2"/>
    </row>
    <row r="189" spans="2:2" x14ac:dyDescent="0.3">
      <c r="B189" s="2"/>
    </row>
    <row r="190" spans="2:2" x14ac:dyDescent="0.3">
      <c r="B190" s="2"/>
    </row>
    <row r="191" spans="2:2" x14ac:dyDescent="0.3">
      <c r="B191" s="2"/>
    </row>
    <row r="192" spans="2:2" x14ac:dyDescent="0.3">
      <c r="B192" s="2"/>
    </row>
    <row r="193" spans="2:2" x14ac:dyDescent="0.3">
      <c r="B193" s="2"/>
    </row>
    <row r="194" spans="2:2" x14ac:dyDescent="0.3">
      <c r="B194" s="2"/>
    </row>
    <row r="195" spans="2:2" x14ac:dyDescent="0.3">
      <c r="B195" s="2"/>
    </row>
    <row r="196" spans="2:2" x14ac:dyDescent="0.3">
      <c r="B196" s="2"/>
    </row>
    <row r="197" spans="2:2" x14ac:dyDescent="0.3">
      <c r="B197" s="2"/>
    </row>
    <row r="198" spans="2:2" x14ac:dyDescent="0.3">
      <c r="B198" s="2"/>
    </row>
    <row r="199" spans="2:2" x14ac:dyDescent="0.3">
      <c r="B199" s="2"/>
    </row>
    <row r="200" spans="2:2" x14ac:dyDescent="0.3">
      <c r="B20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2"/>
  <sheetViews>
    <sheetView tabSelected="1" workbookViewId="0">
      <pane xSplit="3" ySplit="1" topLeftCell="D2" activePane="bottomRight" state="frozen"/>
      <selection pane="topRight" activeCell="D1" sqref="D1"/>
      <selection pane="bottomLeft" activeCell="A2" sqref="A2"/>
      <selection pane="bottomRight" activeCell="J17" sqref="J17"/>
    </sheetView>
  </sheetViews>
  <sheetFormatPr defaultRowHeight="14.4" x14ac:dyDescent="0.3"/>
  <cols>
    <col min="1" max="1" width="22" customWidth="1"/>
    <col min="2" max="2" width="10" customWidth="1"/>
    <col min="4" max="4" width="16" customWidth="1"/>
    <col min="8" max="8" width="18" customWidth="1"/>
  </cols>
  <sheetData>
    <row r="1" spans="1:20" x14ac:dyDescent="0.3">
      <c r="A1" s="1" t="s">
        <v>117</v>
      </c>
      <c r="B1" s="1" t="s">
        <v>118</v>
      </c>
      <c r="C1" s="1" t="s">
        <v>119</v>
      </c>
      <c r="D1" s="1" t="s">
        <v>120</v>
      </c>
      <c r="E1" s="1" t="s">
        <v>121</v>
      </c>
      <c r="F1" s="1" t="s">
        <v>122</v>
      </c>
      <c r="G1" s="1" t="s">
        <v>123</v>
      </c>
      <c r="H1" s="1" t="s">
        <v>124</v>
      </c>
      <c r="I1" s="1" t="s">
        <v>125</v>
      </c>
      <c r="J1" s="1" t="s">
        <v>19</v>
      </c>
      <c r="K1" s="1" t="s">
        <v>126</v>
      </c>
      <c r="L1" s="1" t="s">
        <v>127</v>
      </c>
      <c r="M1" s="1" t="s">
        <v>128</v>
      </c>
      <c r="N1" s="1" t="s">
        <v>129</v>
      </c>
      <c r="O1" s="1" t="s">
        <v>130</v>
      </c>
      <c r="P1" s="1" t="s">
        <v>131</v>
      </c>
      <c r="Q1" s="1" t="s">
        <v>132</v>
      </c>
      <c r="R1" s="1" t="s">
        <v>133</v>
      </c>
      <c r="S1" s="1" t="s">
        <v>134</v>
      </c>
      <c r="T1" s="1" t="s">
        <v>135</v>
      </c>
    </row>
    <row r="2" spans="1:20" x14ac:dyDescent="0.3">
      <c r="A2" t="s">
        <v>136</v>
      </c>
      <c r="B2" t="s">
        <v>137</v>
      </c>
      <c r="C2" t="s">
        <v>138</v>
      </c>
      <c r="D2" t="s">
        <v>136</v>
      </c>
      <c r="E2">
        <v>20</v>
      </c>
      <c r="F2">
        <v>1</v>
      </c>
      <c r="G2" t="s">
        <v>139</v>
      </c>
      <c r="H2" t="s">
        <v>140</v>
      </c>
      <c r="I2" t="s">
        <v>141</v>
      </c>
      <c r="J2" t="s">
        <v>142</v>
      </c>
      <c r="K2">
        <v>5</v>
      </c>
      <c r="L2" s="2">
        <f>Bat!B20</f>
        <v>5</v>
      </c>
      <c r="M2" s="2">
        <f>Bat!B21</f>
        <v>0</v>
      </c>
      <c r="N2" s="2">
        <f>Bat!B22</f>
        <v>0</v>
      </c>
      <c r="O2" s="2">
        <f>Bat!B19</f>
        <v>7.5</v>
      </c>
      <c r="P2" s="2">
        <f t="shared" ref="P2:P22" si="0">IF(E2="","",ROUND((O2*F2*pw_ActionScale+E2*pw_Health)/pw_Divisor,3))</f>
        <v>1.4710000000000001</v>
      </c>
      <c r="Q2" s="2">
        <v>1.47</v>
      </c>
      <c r="R2" s="2">
        <f t="shared" ref="R2:R22" si="1">IF(Q2="",P2,Q2)</f>
        <v>1.47</v>
      </c>
      <c r="S2" s="2">
        <f t="shared" ref="S2:S22" si="2">IF(Q2="","",ROUND(P2-Q2,3))</f>
        <v>1E-3</v>
      </c>
      <c r="T2" t="str">
        <f t="shared" ref="T2:T22" si="3">IF(S2="","",IF(ABS(S2)&lt;=P2*pw_Tolerance,"OK",IF(S2&gt;0,"OVER","UNDER")))</f>
        <v>OK</v>
      </c>
    </row>
    <row r="3" spans="1:20" x14ac:dyDescent="0.3">
      <c r="A3" t="s">
        <v>143</v>
      </c>
      <c r="B3" t="s">
        <v>144</v>
      </c>
      <c r="C3" t="s">
        <v>138</v>
      </c>
      <c r="D3" t="s">
        <v>145</v>
      </c>
      <c r="E3">
        <v>1</v>
      </c>
      <c r="F3">
        <v>1</v>
      </c>
      <c r="G3" t="s">
        <v>139</v>
      </c>
      <c r="H3" t="s">
        <v>146</v>
      </c>
      <c r="I3" t="s">
        <v>141</v>
      </c>
      <c r="J3" t="s">
        <v>142</v>
      </c>
      <c r="K3">
        <v>5</v>
      </c>
      <c r="L3" s="2">
        <f>BrittleSkeleton!B20</f>
        <v>3</v>
      </c>
      <c r="M3" s="2">
        <f>BrittleSkeleton!B21</f>
        <v>2.5</v>
      </c>
      <c r="N3" s="2">
        <f>BrittleSkeleton!B22</f>
        <v>0</v>
      </c>
      <c r="O3" s="2">
        <f>BrittleSkeleton!B19</f>
        <v>7</v>
      </c>
      <c r="P3" s="2">
        <f t="shared" si="0"/>
        <v>0.85299999999999998</v>
      </c>
      <c r="Q3" s="2"/>
      <c r="R3" s="2">
        <f t="shared" si="1"/>
        <v>0.85299999999999998</v>
      </c>
      <c r="S3" s="2" t="str">
        <f t="shared" si="2"/>
        <v/>
      </c>
      <c r="T3" t="str">
        <f t="shared" si="3"/>
        <v/>
      </c>
    </row>
    <row r="4" spans="1:20" x14ac:dyDescent="0.3">
      <c r="A4" t="s">
        <v>147</v>
      </c>
      <c r="B4" t="s">
        <v>148</v>
      </c>
      <c r="C4" t="s">
        <v>138</v>
      </c>
      <c r="D4" t="s">
        <v>147</v>
      </c>
      <c r="E4">
        <v>40</v>
      </c>
      <c r="F4">
        <v>1</v>
      </c>
      <c r="G4" t="s">
        <v>139</v>
      </c>
      <c r="H4" t="s">
        <v>146</v>
      </c>
      <c r="I4" t="s">
        <v>141</v>
      </c>
      <c r="J4" t="s">
        <v>142</v>
      </c>
      <c r="K4">
        <v>5</v>
      </c>
      <c r="L4" s="2">
        <f>Crab!B20</f>
        <v>4</v>
      </c>
      <c r="M4" s="2">
        <f>Crab!B21</f>
        <v>2</v>
      </c>
      <c r="N4" s="2">
        <f>Crab!B22</f>
        <v>0</v>
      </c>
      <c r="O4" s="2">
        <f>Crab!B19</f>
        <v>8</v>
      </c>
      <c r="P4" s="2">
        <f t="shared" si="0"/>
        <v>2.1179999999999999</v>
      </c>
      <c r="Q4" s="2">
        <v>2</v>
      </c>
      <c r="R4" s="2">
        <f t="shared" si="1"/>
        <v>2</v>
      </c>
      <c r="S4" s="2">
        <f t="shared" si="2"/>
        <v>0.11799999999999999</v>
      </c>
      <c r="T4" t="str">
        <f t="shared" si="3"/>
        <v>OK</v>
      </c>
    </row>
    <row r="5" spans="1:20" x14ac:dyDescent="0.3">
      <c r="A5" t="s">
        <v>149</v>
      </c>
      <c r="B5" t="s">
        <v>150</v>
      </c>
      <c r="C5" t="s">
        <v>138</v>
      </c>
      <c r="D5" t="s">
        <v>151</v>
      </c>
      <c r="E5">
        <v>25</v>
      </c>
      <c r="F5">
        <v>1</v>
      </c>
      <c r="G5" t="s">
        <v>151</v>
      </c>
      <c r="H5" t="s">
        <v>152</v>
      </c>
      <c r="I5" t="s">
        <v>141</v>
      </c>
      <c r="J5" t="s">
        <v>153</v>
      </c>
      <c r="K5">
        <v>5</v>
      </c>
      <c r="L5" s="2">
        <f>EnemyRanger!B20</f>
        <v>5</v>
      </c>
      <c r="M5" s="2">
        <f>EnemyRanger!B21</f>
        <v>2.6999999999999993</v>
      </c>
      <c r="N5" s="2">
        <f>EnemyRanger!B22</f>
        <v>0</v>
      </c>
      <c r="O5" s="2">
        <f>EnemyRanger!B19</f>
        <v>18.2</v>
      </c>
      <c r="P5" s="2">
        <f t="shared" si="0"/>
        <v>2.8759999999999999</v>
      </c>
      <c r="Q5" s="2">
        <v>2.88</v>
      </c>
      <c r="R5" s="2">
        <f t="shared" si="1"/>
        <v>2.88</v>
      </c>
      <c r="S5" s="2">
        <f t="shared" si="2"/>
        <v>-4.0000000000000001E-3</v>
      </c>
      <c r="T5" t="str">
        <f t="shared" si="3"/>
        <v>OK</v>
      </c>
    </row>
    <row r="6" spans="1:20" x14ac:dyDescent="0.3">
      <c r="A6" t="s">
        <v>154</v>
      </c>
      <c r="B6" t="s">
        <v>155</v>
      </c>
      <c r="C6" t="s">
        <v>138</v>
      </c>
      <c r="D6" t="s">
        <v>156</v>
      </c>
      <c r="E6">
        <v>15</v>
      </c>
      <c r="F6">
        <v>1</v>
      </c>
      <c r="G6" t="s">
        <v>151</v>
      </c>
      <c r="H6" t="s">
        <v>152</v>
      </c>
      <c r="I6" t="s">
        <v>141</v>
      </c>
      <c r="J6" t="s">
        <v>153</v>
      </c>
      <c r="K6">
        <v>5</v>
      </c>
      <c r="L6" s="2">
        <f>FlyingEye!B20</f>
        <v>3</v>
      </c>
      <c r="M6" s="2">
        <f>FlyingEye!B21</f>
        <v>0</v>
      </c>
      <c r="N6" s="2">
        <f>FlyingEye!B22</f>
        <v>0</v>
      </c>
      <c r="O6" s="2">
        <f>FlyingEye!B19</f>
        <v>10.5</v>
      </c>
      <c r="P6" s="2">
        <f t="shared" si="0"/>
        <v>1.6759999999999999</v>
      </c>
      <c r="Q6" s="2">
        <v>1.68</v>
      </c>
      <c r="R6" s="2">
        <f t="shared" si="1"/>
        <v>1.68</v>
      </c>
      <c r="S6" s="2">
        <f t="shared" si="2"/>
        <v>-4.0000000000000001E-3</v>
      </c>
      <c r="T6" t="str">
        <f t="shared" si="3"/>
        <v>OK</v>
      </c>
    </row>
    <row r="7" spans="1:20" x14ac:dyDescent="0.3">
      <c r="A7" t="s">
        <v>157</v>
      </c>
      <c r="B7" t="s">
        <v>158</v>
      </c>
      <c r="C7" t="s">
        <v>138</v>
      </c>
      <c r="D7" t="s">
        <v>157</v>
      </c>
      <c r="E7">
        <v>20</v>
      </c>
      <c r="F7">
        <v>1</v>
      </c>
      <c r="G7" t="s">
        <v>139</v>
      </c>
      <c r="H7" t="s">
        <v>159</v>
      </c>
      <c r="I7" t="s">
        <v>141</v>
      </c>
      <c r="J7" t="s">
        <v>142</v>
      </c>
      <c r="K7">
        <v>5</v>
      </c>
      <c r="L7" s="2">
        <f>Goblin!B20</f>
        <v>5</v>
      </c>
      <c r="M7" s="2">
        <f>Goblin!B21</f>
        <v>0</v>
      </c>
      <c r="N7" s="2">
        <f>Goblin!B22</f>
        <v>0</v>
      </c>
      <c r="O7" s="2">
        <f>Goblin!B19</f>
        <v>7.5</v>
      </c>
      <c r="P7" s="2">
        <f t="shared" si="0"/>
        <v>1.4710000000000001</v>
      </c>
      <c r="Q7" s="2">
        <v>1.5</v>
      </c>
      <c r="R7" s="2">
        <f t="shared" si="1"/>
        <v>1.5</v>
      </c>
      <c r="S7" s="2">
        <f t="shared" si="2"/>
        <v>-2.9000000000000001E-2</v>
      </c>
      <c r="T7" t="str">
        <f t="shared" si="3"/>
        <v>OK</v>
      </c>
    </row>
    <row r="8" spans="1:20" x14ac:dyDescent="0.3">
      <c r="A8" t="s">
        <v>160</v>
      </c>
      <c r="B8" t="s">
        <v>161</v>
      </c>
      <c r="C8" t="s">
        <v>138</v>
      </c>
      <c r="D8" t="s">
        <v>160</v>
      </c>
      <c r="E8">
        <v>60</v>
      </c>
      <c r="F8">
        <v>1</v>
      </c>
      <c r="G8" t="s">
        <v>162</v>
      </c>
      <c r="H8" t="s">
        <v>146</v>
      </c>
      <c r="I8" t="s">
        <v>141</v>
      </c>
      <c r="J8" t="s">
        <v>142</v>
      </c>
      <c r="K8">
        <v>5</v>
      </c>
      <c r="L8" s="2">
        <f>Golem!B20</f>
        <v>5</v>
      </c>
      <c r="M8" s="2">
        <f>Golem!B21</f>
        <v>0</v>
      </c>
      <c r="N8" s="2">
        <f>Golem!B22</f>
        <v>0</v>
      </c>
      <c r="O8" s="2">
        <f>Golem!B19</f>
        <v>7.5</v>
      </c>
      <c r="P8" s="2">
        <f t="shared" si="0"/>
        <v>2.6469999999999998</v>
      </c>
      <c r="Q8" s="2">
        <v>2.65</v>
      </c>
      <c r="R8" s="2">
        <f t="shared" si="1"/>
        <v>2.65</v>
      </c>
      <c r="S8" s="2">
        <f t="shared" si="2"/>
        <v>-3.0000000000000001E-3</v>
      </c>
      <c r="T8" t="str">
        <f t="shared" si="3"/>
        <v>OK</v>
      </c>
    </row>
    <row r="9" spans="1:20" x14ac:dyDescent="0.3">
      <c r="A9" t="s">
        <v>163</v>
      </c>
      <c r="B9" t="s">
        <v>164</v>
      </c>
      <c r="C9" t="s">
        <v>138</v>
      </c>
      <c r="D9" t="s">
        <v>165</v>
      </c>
      <c r="E9">
        <v>50</v>
      </c>
      <c r="F9">
        <v>1</v>
      </c>
      <c r="G9" t="s">
        <v>139</v>
      </c>
      <c r="H9" t="s">
        <v>166</v>
      </c>
      <c r="I9" t="s">
        <v>141</v>
      </c>
      <c r="J9" t="s">
        <v>142</v>
      </c>
      <c r="K9">
        <v>5</v>
      </c>
      <c r="L9" s="2">
        <f>HeavyBandit!B20</f>
        <v>6</v>
      </c>
      <c r="M9" s="2">
        <f>HeavyBandit!B21</f>
        <v>7.5</v>
      </c>
      <c r="N9" s="2">
        <f>HeavyBandit!B22</f>
        <v>0</v>
      </c>
      <c r="O9" s="2">
        <f>HeavyBandit!B19</f>
        <v>16.5</v>
      </c>
      <c r="P9" s="2">
        <f t="shared" si="0"/>
        <v>3.4119999999999999</v>
      </c>
      <c r="Q9" s="2">
        <v>3.5</v>
      </c>
      <c r="R9" s="2">
        <f t="shared" si="1"/>
        <v>3.5</v>
      </c>
      <c r="S9" s="2">
        <f t="shared" si="2"/>
        <v>-8.7999999999999995E-2</v>
      </c>
      <c r="T9" t="str">
        <f t="shared" si="3"/>
        <v>OK</v>
      </c>
    </row>
    <row r="10" spans="1:20" x14ac:dyDescent="0.3">
      <c r="A10" t="s">
        <v>167</v>
      </c>
      <c r="B10" t="s">
        <v>168</v>
      </c>
      <c r="C10" t="s">
        <v>138</v>
      </c>
      <c r="D10" t="s">
        <v>169</v>
      </c>
      <c r="E10">
        <v>30</v>
      </c>
      <c r="F10">
        <v>1</v>
      </c>
      <c r="G10" t="s">
        <v>139</v>
      </c>
      <c r="H10" t="s">
        <v>159</v>
      </c>
      <c r="I10" t="s">
        <v>141</v>
      </c>
      <c r="J10" t="s">
        <v>153</v>
      </c>
      <c r="K10">
        <v>5</v>
      </c>
      <c r="L10" s="2">
        <f>LightBandit!B20</f>
        <v>1</v>
      </c>
      <c r="M10" s="2">
        <f>LightBandit!B21</f>
        <v>6.45</v>
      </c>
      <c r="N10" s="2">
        <f>LightBandit!B22</f>
        <v>0</v>
      </c>
      <c r="O10" s="2">
        <f>LightBandit!B19</f>
        <v>13.95</v>
      </c>
      <c r="P10" s="2">
        <f t="shared" si="0"/>
        <v>2.524</v>
      </c>
      <c r="Q10" s="2">
        <v>2.5</v>
      </c>
      <c r="R10" s="2">
        <f t="shared" si="1"/>
        <v>2.5</v>
      </c>
      <c r="S10" s="2">
        <f t="shared" si="2"/>
        <v>2.4E-2</v>
      </c>
      <c r="T10" t="str">
        <f t="shared" si="3"/>
        <v>OK</v>
      </c>
    </row>
    <row r="11" spans="1:20" x14ac:dyDescent="0.3">
      <c r="A11" t="s">
        <v>170</v>
      </c>
      <c r="B11" t="s">
        <v>171</v>
      </c>
      <c r="C11" t="s">
        <v>138</v>
      </c>
      <c r="D11" t="s">
        <v>170</v>
      </c>
      <c r="E11">
        <v>35</v>
      </c>
      <c r="F11">
        <v>1</v>
      </c>
      <c r="G11" t="s">
        <v>139</v>
      </c>
      <c r="H11" t="s">
        <v>172</v>
      </c>
      <c r="I11" t="s">
        <v>141</v>
      </c>
      <c r="J11" t="s">
        <v>142</v>
      </c>
      <c r="K11">
        <v>5</v>
      </c>
      <c r="L11" s="2">
        <f>Mimic!B20</f>
        <v>7</v>
      </c>
      <c r="M11" s="2">
        <f>Mimic!B21</f>
        <v>1.5</v>
      </c>
      <c r="N11" s="2">
        <f>Mimic!B22</f>
        <v>0</v>
      </c>
      <c r="O11" s="2">
        <f>Mimic!B19</f>
        <v>12</v>
      </c>
      <c r="P11" s="2">
        <f t="shared" si="0"/>
        <v>2.4409999999999998</v>
      </c>
      <c r="Q11" s="2">
        <v>2</v>
      </c>
      <c r="R11" s="2">
        <f t="shared" si="1"/>
        <v>2</v>
      </c>
      <c r="S11" s="2">
        <f t="shared" si="2"/>
        <v>0.441</v>
      </c>
      <c r="T11" t="str">
        <f t="shared" si="3"/>
        <v>OK</v>
      </c>
    </row>
    <row r="12" spans="1:20" x14ac:dyDescent="0.3">
      <c r="A12" t="s">
        <v>173</v>
      </c>
      <c r="B12" t="s">
        <v>174</v>
      </c>
      <c r="C12" t="s">
        <v>138</v>
      </c>
      <c r="D12" t="s">
        <v>173</v>
      </c>
      <c r="E12">
        <v>30</v>
      </c>
      <c r="F12">
        <v>1</v>
      </c>
      <c r="G12" t="s">
        <v>151</v>
      </c>
      <c r="H12" t="s">
        <v>146</v>
      </c>
      <c r="I12" t="s">
        <v>141</v>
      </c>
      <c r="J12" t="s">
        <v>142</v>
      </c>
      <c r="K12">
        <v>5</v>
      </c>
      <c r="L12" s="2">
        <f>Mushroom!B20</f>
        <v>0</v>
      </c>
      <c r="M12" s="2">
        <f>Mushroom!B21</f>
        <v>7.8000000000000007</v>
      </c>
      <c r="N12" s="2">
        <f>Mushroom!B22</f>
        <v>0</v>
      </c>
      <c r="O12" s="2">
        <f>Mushroom!B19</f>
        <v>12.8</v>
      </c>
      <c r="P12" s="2">
        <f t="shared" si="0"/>
        <v>2.3879999999999999</v>
      </c>
      <c r="Q12" s="2">
        <v>2</v>
      </c>
      <c r="R12" s="2">
        <f t="shared" si="1"/>
        <v>2</v>
      </c>
      <c r="S12" s="2">
        <f t="shared" si="2"/>
        <v>0.38800000000000001</v>
      </c>
      <c r="T12" t="str">
        <f t="shared" si="3"/>
        <v>OK</v>
      </c>
    </row>
    <row r="13" spans="1:20" x14ac:dyDescent="0.3">
      <c r="A13" t="s">
        <v>175</v>
      </c>
      <c r="B13" t="s">
        <v>176</v>
      </c>
      <c r="C13" t="s">
        <v>138</v>
      </c>
      <c r="D13" t="s">
        <v>175</v>
      </c>
      <c r="E13">
        <v>5</v>
      </c>
      <c r="F13">
        <v>1</v>
      </c>
      <c r="G13" t="s">
        <v>139</v>
      </c>
      <c r="H13" t="s">
        <v>140</v>
      </c>
      <c r="I13" t="s">
        <v>1</v>
      </c>
      <c r="J13" t="s">
        <v>177</v>
      </c>
      <c r="K13">
        <v>5</v>
      </c>
      <c r="L13" s="2">
        <f>Pebble!B20</f>
        <v>2</v>
      </c>
      <c r="M13" s="2">
        <f>Pebble!B21</f>
        <v>0</v>
      </c>
      <c r="N13" s="2">
        <f>Pebble!B22</f>
        <v>0</v>
      </c>
      <c r="O13" s="2">
        <f>Pebble!B19</f>
        <v>3</v>
      </c>
      <c r="P13" s="2">
        <f t="shared" si="0"/>
        <v>0.5</v>
      </c>
      <c r="Q13" s="2">
        <v>0.5</v>
      </c>
      <c r="R13" s="2">
        <f t="shared" si="1"/>
        <v>0.5</v>
      </c>
      <c r="S13" s="2">
        <f t="shared" si="2"/>
        <v>0</v>
      </c>
      <c r="T13" t="str">
        <f t="shared" si="3"/>
        <v>OK</v>
      </c>
    </row>
    <row r="14" spans="1:20" x14ac:dyDescent="0.3">
      <c r="A14" t="s">
        <v>178</v>
      </c>
      <c r="B14" t="s">
        <v>179</v>
      </c>
      <c r="C14" t="s">
        <v>138</v>
      </c>
      <c r="D14" t="s">
        <v>180</v>
      </c>
      <c r="E14">
        <v>30</v>
      </c>
      <c r="F14">
        <v>1</v>
      </c>
      <c r="G14" t="s">
        <v>139</v>
      </c>
      <c r="H14" t="s">
        <v>146</v>
      </c>
      <c r="I14" t="s">
        <v>141</v>
      </c>
      <c r="J14" t="s">
        <v>142</v>
      </c>
      <c r="K14">
        <v>5</v>
      </c>
      <c r="L14" s="2">
        <f>PlagueRat!B20</f>
        <v>2</v>
      </c>
      <c r="M14" s="2">
        <f>PlagueRat!B21</f>
        <v>5.4</v>
      </c>
      <c r="N14" s="2">
        <f>PlagueRat!B22</f>
        <v>0</v>
      </c>
      <c r="O14" s="2">
        <f>PlagueRat!B19</f>
        <v>8.4</v>
      </c>
      <c r="P14" s="2">
        <f t="shared" si="0"/>
        <v>1.871</v>
      </c>
      <c r="Q14" s="2">
        <v>2</v>
      </c>
      <c r="R14" s="2">
        <f t="shared" si="1"/>
        <v>2</v>
      </c>
      <c r="S14" s="2">
        <f t="shared" si="2"/>
        <v>-0.129</v>
      </c>
      <c r="T14" t="str">
        <f t="shared" si="3"/>
        <v>OK</v>
      </c>
    </row>
    <row r="15" spans="1:20" x14ac:dyDescent="0.3">
      <c r="A15" t="s">
        <v>181</v>
      </c>
      <c r="B15" t="s">
        <v>182</v>
      </c>
      <c r="C15" t="s">
        <v>138</v>
      </c>
      <c r="D15" t="s">
        <v>181</v>
      </c>
      <c r="E15">
        <v>25</v>
      </c>
      <c r="F15">
        <v>1</v>
      </c>
      <c r="G15" t="s">
        <v>139</v>
      </c>
      <c r="H15" t="s">
        <v>159</v>
      </c>
      <c r="I15" t="s">
        <v>141</v>
      </c>
      <c r="J15" t="s">
        <v>142</v>
      </c>
      <c r="K15">
        <v>5</v>
      </c>
      <c r="L15" s="2">
        <f>Rat!B20</f>
        <v>4</v>
      </c>
      <c r="M15" s="2">
        <f>Rat!B21</f>
        <v>0</v>
      </c>
      <c r="N15" s="2">
        <f>Rat!B22</f>
        <v>0</v>
      </c>
      <c r="O15" s="2">
        <f>Rat!B19</f>
        <v>6</v>
      </c>
      <c r="P15" s="2">
        <f t="shared" si="0"/>
        <v>1.4410000000000001</v>
      </c>
      <c r="Q15" s="2">
        <v>1.5</v>
      </c>
      <c r="R15" s="2">
        <f t="shared" si="1"/>
        <v>1.5</v>
      </c>
      <c r="S15" s="2">
        <f t="shared" si="2"/>
        <v>-5.8999999999999997E-2</v>
      </c>
      <c r="T15" t="str">
        <f t="shared" si="3"/>
        <v>OK</v>
      </c>
    </row>
    <row r="16" spans="1:20" x14ac:dyDescent="0.3">
      <c r="A16" t="s">
        <v>183</v>
      </c>
      <c r="B16" t="s">
        <v>184</v>
      </c>
      <c r="C16" t="s">
        <v>138</v>
      </c>
      <c r="D16" t="s">
        <v>183</v>
      </c>
      <c r="E16">
        <v>30</v>
      </c>
      <c r="F16">
        <v>1</v>
      </c>
      <c r="G16" t="s">
        <v>139</v>
      </c>
      <c r="H16" t="s">
        <v>146</v>
      </c>
      <c r="I16" t="s">
        <v>141</v>
      </c>
      <c r="J16" t="s">
        <v>142</v>
      </c>
      <c r="K16">
        <v>5</v>
      </c>
      <c r="L16" s="2">
        <f>Skeleton!B20</f>
        <v>3</v>
      </c>
      <c r="M16" s="2">
        <f>Skeleton!B21</f>
        <v>2.5</v>
      </c>
      <c r="N16" s="2">
        <f>Skeleton!B22</f>
        <v>0</v>
      </c>
      <c r="O16" s="2">
        <f>Skeleton!B19</f>
        <v>7</v>
      </c>
      <c r="P16" s="2">
        <f t="shared" si="0"/>
        <v>1.706</v>
      </c>
      <c r="Q16" s="2">
        <v>1.5</v>
      </c>
      <c r="R16" s="2">
        <f t="shared" si="1"/>
        <v>1.5</v>
      </c>
      <c r="S16" s="2">
        <f t="shared" si="2"/>
        <v>0.20599999999999999</v>
      </c>
      <c r="T16" t="str">
        <f t="shared" si="3"/>
        <v>OK</v>
      </c>
    </row>
    <row r="17" spans="1:20" x14ac:dyDescent="0.3">
      <c r="A17" t="s">
        <v>185</v>
      </c>
      <c r="B17" t="s">
        <v>186</v>
      </c>
      <c r="C17" t="s">
        <v>138</v>
      </c>
      <c r="D17" t="s">
        <v>183</v>
      </c>
      <c r="E17">
        <v>15</v>
      </c>
      <c r="F17">
        <v>1</v>
      </c>
      <c r="G17" t="s">
        <v>139</v>
      </c>
      <c r="H17" t="s">
        <v>1</v>
      </c>
      <c r="I17" t="s">
        <v>1</v>
      </c>
      <c r="J17" t="s">
        <v>177</v>
      </c>
      <c r="K17">
        <v>4</v>
      </c>
      <c r="L17" s="2">
        <f>SkeletonAlly!B20</f>
        <v>8</v>
      </c>
      <c r="M17" s="2">
        <f>SkeletonAlly!B21</f>
        <v>0</v>
      </c>
      <c r="N17" s="2">
        <f>SkeletonAlly!B22</f>
        <v>0</v>
      </c>
      <c r="O17" s="2">
        <f>SkeletonAlly!B19</f>
        <v>12</v>
      </c>
      <c r="P17" s="2">
        <f t="shared" si="0"/>
        <v>1.853</v>
      </c>
      <c r="Q17" s="2"/>
      <c r="R17" s="2">
        <f t="shared" si="1"/>
        <v>1.853</v>
      </c>
      <c r="S17" s="2" t="str">
        <f t="shared" si="2"/>
        <v/>
      </c>
      <c r="T17" t="str">
        <f t="shared" si="3"/>
        <v/>
      </c>
    </row>
    <row r="18" spans="1:20" x14ac:dyDescent="0.3">
      <c r="A18" t="s">
        <v>187</v>
      </c>
      <c r="B18" t="s">
        <v>188</v>
      </c>
      <c r="C18" t="s">
        <v>138</v>
      </c>
      <c r="D18" t="s">
        <v>189</v>
      </c>
      <c r="E18">
        <v>40</v>
      </c>
      <c r="F18">
        <v>1</v>
      </c>
      <c r="G18" t="s">
        <v>139</v>
      </c>
      <c r="H18" t="s">
        <v>146</v>
      </c>
      <c r="I18" t="s">
        <v>141</v>
      </c>
      <c r="J18" t="s">
        <v>142</v>
      </c>
      <c r="K18">
        <v>5</v>
      </c>
      <c r="L18" s="2">
        <f>SkeletonWarrior!B20</f>
        <v>8</v>
      </c>
      <c r="M18" s="2">
        <f>SkeletonWarrior!B21</f>
        <v>0</v>
      </c>
      <c r="N18" s="2">
        <f>SkeletonWarrior!B22</f>
        <v>0</v>
      </c>
      <c r="O18" s="2">
        <f>SkeletonWarrior!B19</f>
        <v>12</v>
      </c>
      <c r="P18" s="2">
        <f t="shared" si="0"/>
        <v>2.5880000000000001</v>
      </c>
      <c r="Q18" s="2">
        <v>2.59</v>
      </c>
      <c r="R18" s="2">
        <f t="shared" si="1"/>
        <v>2.59</v>
      </c>
      <c r="S18" s="2">
        <f t="shared" si="2"/>
        <v>-2E-3</v>
      </c>
      <c r="T18" t="str">
        <f t="shared" si="3"/>
        <v>OK</v>
      </c>
    </row>
    <row r="19" spans="1:20" x14ac:dyDescent="0.3">
      <c r="A19" t="s">
        <v>190</v>
      </c>
      <c r="B19" t="s">
        <v>191</v>
      </c>
      <c r="C19" t="s">
        <v>138</v>
      </c>
      <c r="D19" t="s">
        <v>190</v>
      </c>
      <c r="E19">
        <v>15</v>
      </c>
      <c r="F19">
        <v>1</v>
      </c>
      <c r="G19" t="s">
        <v>151</v>
      </c>
      <c r="H19" t="s">
        <v>192</v>
      </c>
      <c r="I19" t="s">
        <v>141</v>
      </c>
      <c r="J19" t="s">
        <v>153</v>
      </c>
      <c r="K19">
        <v>5</v>
      </c>
      <c r="L19" s="2">
        <f>Skull!B20</f>
        <v>3</v>
      </c>
      <c r="M19" s="2">
        <f>Skull!B21</f>
        <v>2.6999999999999993</v>
      </c>
      <c r="N19" s="2">
        <f>Skull!B22</f>
        <v>0</v>
      </c>
      <c r="O19" s="2">
        <f>Skull!B19</f>
        <v>12.2</v>
      </c>
      <c r="P19" s="2">
        <f t="shared" si="0"/>
        <v>1.8759999999999999</v>
      </c>
      <c r="Q19" s="2">
        <v>1.88</v>
      </c>
      <c r="R19" s="2">
        <f t="shared" si="1"/>
        <v>1.88</v>
      </c>
      <c r="S19" s="2">
        <f t="shared" si="2"/>
        <v>-4.0000000000000001E-3</v>
      </c>
      <c r="T19" t="str">
        <f t="shared" si="3"/>
        <v>OK</v>
      </c>
    </row>
    <row r="20" spans="1:20" x14ac:dyDescent="0.3">
      <c r="A20" t="s">
        <v>193</v>
      </c>
      <c r="B20" t="s">
        <v>194</v>
      </c>
      <c r="C20" t="s">
        <v>138</v>
      </c>
      <c r="D20" t="s">
        <v>193</v>
      </c>
      <c r="E20">
        <v>20</v>
      </c>
      <c r="F20">
        <v>1</v>
      </c>
      <c r="G20" t="s">
        <v>139</v>
      </c>
      <c r="H20" t="s">
        <v>146</v>
      </c>
      <c r="I20" t="s">
        <v>141</v>
      </c>
      <c r="J20" t="s">
        <v>142</v>
      </c>
      <c r="K20">
        <v>5</v>
      </c>
      <c r="L20" s="2">
        <f>Slime!B20</f>
        <v>3</v>
      </c>
      <c r="M20" s="2">
        <f>Slime!B21</f>
        <v>2.7</v>
      </c>
      <c r="N20" s="2">
        <f>Slime!B22</f>
        <v>0</v>
      </c>
      <c r="O20" s="2">
        <f>Slime!B19</f>
        <v>7.2</v>
      </c>
      <c r="P20" s="2">
        <f t="shared" si="0"/>
        <v>1.4350000000000001</v>
      </c>
      <c r="Q20" s="2">
        <v>1.5</v>
      </c>
      <c r="R20" s="2">
        <f t="shared" si="1"/>
        <v>1.5</v>
      </c>
      <c r="S20" s="2">
        <f t="shared" si="2"/>
        <v>-6.5000000000000002E-2</v>
      </c>
      <c r="T20" t="str">
        <f t="shared" si="3"/>
        <v>OK</v>
      </c>
    </row>
    <row r="21" spans="1:20" x14ac:dyDescent="0.3">
      <c r="A21" t="s">
        <v>195</v>
      </c>
      <c r="B21" t="s">
        <v>196</v>
      </c>
      <c r="C21" t="s">
        <v>138</v>
      </c>
      <c r="D21" t="s">
        <v>197</v>
      </c>
      <c r="E21">
        <v>25</v>
      </c>
      <c r="F21">
        <v>1</v>
      </c>
      <c r="G21" t="s">
        <v>139</v>
      </c>
      <c r="H21" t="s">
        <v>146</v>
      </c>
      <c r="I21" t="s">
        <v>141</v>
      </c>
      <c r="J21" t="s">
        <v>142</v>
      </c>
      <c r="K21">
        <v>5</v>
      </c>
      <c r="L21" s="2">
        <f>SpikedSlime!B20</f>
        <v>3</v>
      </c>
      <c r="M21" s="2">
        <f>SpikedSlime!B21</f>
        <v>5.0999999999999996</v>
      </c>
      <c r="N21" s="2">
        <f>SpikedSlime!B22</f>
        <v>0</v>
      </c>
      <c r="O21" s="2">
        <f>SpikedSlime!B19</f>
        <v>9.6</v>
      </c>
      <c r="P21" s="2">
        <f t="shared" si="0"/>
        <v>1.865</v>
      </c>
      <c r="Q21" s="2">
        <v>2</v>
      </c>
      <c r="R21" s="2">
        <f t="shared" si="1"/>
        <v>2</v>
      </c>
      <c r="S21" s="2">
        <f t="shared" si="2"/>
        <v>-0.13500000000000001</v>
      </c>
      <c r="T21" t="str">
        <f t="shared" si="3"/>
        <v>OK</v>
      </c>
    </row>
    <row r="22" spans="1:20" x14ac:dyDescent="0.3">
      <c r="A22" t="s">
        <v>198</v>
      </c>
      <c r="B22" t="s">
        <v>199</v>
      </c>
      <c r="C22" t="s">
        <v>138</v>
      </c>
      <c r="D22" t="s">
        <v>200</v>
      </c>
      <c r="E22">
        <v>20</v>
      </c>
      <c r="F22">
        <v>1</v>
      </c>
      <c r="G22" t="s">
        <v>139</v>
      </c>
      <c r="H22" t="s">
        <v>140</v>
      </c>
      <c r="I22" t="s">
        <v>141</v>
      </c>
      <c r="J22" t="s">
        <v>153</v>
      </c>
      <c r="K22">
        <v>5</v>
      </c>
      <c r="L22" s="2">
        <f>VampireBat!B20</f>
        <v>3</v>
      </c>
      <c r="M22" s="2">
        <f>VampireBat!B21</f>
        <v>2.4000000000000004</v>
      </c>
      <c r="N22" s="2">
        <f>VampireBat!B22</f>
        <v>0</v>
      </c>
      <c r="O22" s="2">
        <f>VampireBat!B19</f>
        <v>6.9</v>
      </c>
      <c r="P22" s="2">
        <f t="shared" si="0"/>
        <v>1.4</v>
      </c>
      <c r="Q22" s="2">
        <v>1.5</v>
      </c>
      <c r="R22" s="2">
        <f t="shared" si="1"/>
        <v>1.5</v>
      </c>
      <c r="S22" s="2">
        <f t="shared" si="2"/>
        <v>-0.1</v>
      </c>
      <c r="T22" t="str">
        <f t="shared" si="3"/>
        <v>OK</v>
      </c>
    </row>
  </sheetData>
  <autoFilter ref="A1:T22" xr:uid="{00000000-0009-0000-0000-000002000000}"/>
  <conditionalFormatting sqref="T2:T22">
    <cfRule type="cellIs" dxfId="2" priority="1" operator="equal">
      <formula>"OVER"</formula>
    </cfRule>
    <cfRule type="cellIs" dxfId="1" priority="2" operator="equal">
      <formula>"UNDER"</formula>
    </cfRule>
    <cfRule type="cellIs" dxfId="0" priority="3" operator="equal">
      <formula>"OK"</formula>
    </cfRule>
  </conditionalFormatting>
  <dataValidations count="4">
    <dataValidation type="list" allowBlank="1" sqref="G2:G22" xr:uid="{00000000-0002-0000-0200-000000000000}">
      <formula1>list_Brain</formula1>
    </dataValidation>
    <dataValidation type="list" allowBlank="1" sqref="H2:H22" xr:uid="{00000000-0002-0000-0200-000001000000}">
      <formula1>list_Targeting</formula1>
    </dataValidation>
    <dataValidation type="list" allowBlank="1" sqref="I2:I22" xr:uid="{00000000-0002-0000-0200-000002000000}">
      <formula1>list_Loot</formula1>
    </dataValidation>
    <dataValidation type="list" allowBlank="1" sqref="J2:J22" xr:uid="{00000000-0002-0000-0200-000003000000}">
      <formula1>list_Role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7"/>
  <sheetViews>
    <sheetView topLeftCell="A4"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136</v>
      </c>
    </row>
    <row r="2" spans="1:2" x14ac:dyDescent="0.3">
      <c r="A2" s="1" t="s">
        <v>119</v>
      </c>
      <c r="B2" t="s">
        <v>138</v>
      </c>
    </row>
    <row r="3" spans="1:2" x14ac:dyDescent="0.3">
      <c r="A3" s="1" t="s">
        <v>118</v>
      </c>
      <c r="B3" t="s">
        <v>137</v>
      </c>
    </row>
    <row r="4" spans="1:2" x14ac:dyDescent="0.3">
      <c r="A4" s="1" t="s">
        <v>202</v>
      </c>
      <c r="B4" t="str">
        <f>IF($B$3="","NEW","Live")</f>
        <v>Live</v>
      </c>
    </row>
    <row r="6" spans="1:2" x14ac:dyDescent="0.3">
      <c r="A6" s="1" t="s">
        <v>203</v>
      </c>
    </row>
    <row r="7" spans="1:2" x14ac:dyDescent="0.3">
      <c r="A7" s="5" t="s">
        <v>120</v>
      </c>
      <c r="B7" t="s">
        <v>136</v>
      </c>
    </row>
    <row r="8" spans="1:2" x14ac:dyDescent="0.3">
      <c r="A8" s="5" t="s">
        <v>121</v>
      </c>
      <c r="B8" t="s">
        <v>204</v>
      </c>
    </row>
    <row r="9" spans="1:2" x14ac:dyDescent="0.3">
      <c r="A9" s="5" t="s">
        <v>205</v>
      </c>
      <c r="B9" t="s">
        <v>206</v>
      </c>
    </row>
    <row r="10" spans="1:2" x14ac:dyDescent="0.3">
      <c r="A10" s="5" t="s">
        <v>123</v>
      </c>
      <c r="B10" t="s">
        <v>139</v>
      </c>
    </row>
    <row r="11" spans="1:2" x14ac:dyDescent="0.3">
      <c r="A11" s="5" t="s">
        <v>124</v>
      </c>
      <c r="B11" t="s">
        <v>140</v>
      </c>
    </row>
    <row r="12" spans="1:2" x14ac:dyDescent="0.3">
      <c r="A12" s="5" t="s">
        <v>125</v>
      </c>
      <c r="B12" t="s">
        <v>1</v>
      </c>
    </row>
    <row r="13" spans="1:2" x14ac:dyDescent="0.3">
      <c r="A13" s="5" t="s">
        <v>19</v>
      </c>
      <c r="B13" t="s">
        <v>142</v>
      </c>
    </row>
    <row r="15" spans="1:2" x14ac:dyDescent="0.3">
      <c r="A15" s="1" t="s">
        <v>15</v>
      </c>
      <c r="B15" t="s">
        <v>206</v>
      </c>
    </row>
    <row r="16" spans="1:2" x14ac:dyDescent="0.3">
      <c r="A16" s="1" t="s">
        <v>17</v>
      </c>
      <c r="B16" s="2">
        <f>IF($B$8="","",ROUND(($B$19*$B$9*pw_ActionScale+$B$8*pw_Health)/pw_Divisor,3))</f>
        <v>1.4710000000000001</v>
      </c>
    </row>
    <row r="17" spans="1:6" x14ac:dyDescent="0.3">
      <c r="A17" t="s">
        <v>207</v>
      </c>
      <c r="B17" s="2">
        <f>IF($B$15="","",ROUND($B$16-$B$15,3))</f>
        <v>0.47099999999999997</v>
      </c>
    </row>
    <row r="18" spans="1:6" x14ac:dyDescent="0.3">
      <c r="B18" s="2"/>
    </row>
    <row r="19" spans="1:6" x14ac:dyDescent="0.3">
      <c r="A19" t="s">
        <v>208</v>
      </c>
      <c r="B19" s="2">
        <f>IFERROR(AVERAGEIF(B$26:F$26,"Yes",B$54:F$54),0)</f>
        <v>7.5</v>
      </c>
    </row>
    <row r="20" spans="1:6" x14ac:dyDescent="0.3">
      <c r="A20" t="s">
        <v>209</v>
      </c>
      <c r="B20" s="2">
        <f>IFERROR(AVERAGEIF(B$26:F$26,"Yes",B$32:F$32),0)</f>
        <v>5</v>
      </c>
    </row>
    <row r="21" spans="1:6" x14ac:dyDescent="0.3">
      <c r="A21" t="s">
        <v>210</v>
      </c>
      <c r="B21" s="2">
        <f>IFERROR(AVERAGEIF(B$26:F$26,"Yes",B$55:F$55),0)</f>
        <v>0</v>
      </c>
    </row>
    <row r="22" spans="1:6" x14ac:dyDescent="0.3">
      <c r="A22" t="s">
        <v>211</v>
      </c>
      <c r="B22" s="2">
        <f>IFERROR(AVERAGEIF(B$26:F$26,"Yes",B$52:F$52),0)</f>
        <v>0</v>
      </c>
    </row>
    <row r="24" spans="1:6" x14ac:dyDescent="0.3">
      <c r="A24" s="1" t="s">
        <v>28</v>
      </c>
      <c r="B24" t="s">
        <v>212</v>
      </c>
      <c r="C24" t="s">
        <v>212</v>
      </c>
      <c r="D24" t="s">
        <v>212</v>
      </c>
      <c r="E24" t="s">
        <v>212</v>
      </c>
      <c r="F24" t="s">
        <v>213</v>
      </c>
    </row>
    <row r="25" spans="1:6" x14ac:dyDescent="0.3">
      <c r="A25" t="s">
        <v>214</v>
      </c>
      <c r="B25" t="s">
        <v>215</v>
      </c>
      <c r="C25" t="s">
        <v>215</v>
      </c>
      <c r="D25" t="s">
        <v>215</v>
      </c>
      <c r="E25" t="s">
        <v>215</v>
      </c>
      <c r="F25" t="s">
        <v>216</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2</v>
      </c>
    </row>
    <row r="31" spans="1:6" x14ac:dyDescent="0.3">
      <c r="A31" t="s">
        <v>221</v>
      </c>
      <c r="B31" s="7">
        <v>1</v>
      </c>
      <c r="C31" s="7">
        <v>1</v>
      </c>
      <c r="D31" s="7">
        <v>1</v>
      </c>
      <c r="E31" s="7">
        <v>1</v>
      </c>
      <c r="F31" s="7">
        <v>1</v>
      </c>
    </row>
    <row r="32" spans="1:6" x14ac:dyDescent="0.3">
      <c r="A32" t="s">
        <v>222</v>
      </c>
      <c r="B32" s="2">
        <v>5</v>
      </c>
      <c r="C32" s="2">
        <v>5</v>
      </c>
      <c r="D32" s="2">
        <v>5</v>
      </c>
      <c r="E32" s="2">
        <v>5</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1.5</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2</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7.5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7.5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7.5</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7.5</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3.5</v>
      </c>
    </row>
    <row r="55" spans="1:6" x14ac:dyDescent="0.3">
      <c r="A55" t="s">
        <v>243</v>
      </c>
      <c r="B55" s="2">
        <f>B$54-B$32*pw_Damage-B$33-B$52*pw_Summon</f>
        <v>0</v>
      </c>
      <c r="C55" s="2">
        <f>C$54-C$32*pw_Damage-C$33-C$52*pw_Summon</f>
        <v>0</v>
      </c>
      <c r="D55" s="2">
        <f>D$54-D$32*pw_Damage-D$33-D$52*pw_Summon</f>
        <v>0</v>
      </c>
      <c r="E55" s="2">
        <f>E$54-E$32*pw_Damage-E$33-E$52*pw_Summon</f>
        <v>0</v>
      </c>
      <c r="F55" s="2">
        <f>F$54-F$32*pw_Damage-F$33-F$52*pw_Summon</f>
        <v>2</v>
      </c>
    </row>
    <row r="57" spans="1:6" x14ac:dyDescent="0.3">
      <c r="A57" s="1" t="s">
        <v>30</v>
      </c>
      <c r="B57" s="3" t="s">
        <v>1</v>
      </c>
    </row>
  </sheetData>
  <dataValidations count="5">
    <dataValidation type="list" allowBlank="1" sqref="B10" xr:uid="{00000000-0002-0000-0300-000000000000}">
      <formula1>list_Brain</formula1>
    </dataValidation>
    <dataValidation type="list" allowBlank="1" sqref="B11" xr:uid="{00000000-0002-0000-0300-000001000000}">
      <formula1>list_Targeting</formula1>
    </dataValidation>
    <dataValidation type="list" allowBlank="1" sqref="B12" xr:uid="{00000000-0002-0000-0300-000002000000}">
      <formula1>list_Loot</formula1>
    </dataValidation>
    <dataValidation type="list" allowBlank="1" sqref="B13" xr:uid="{00000000-0002-0000-0300-000003000000}">
      <formula1>list_Role</formula1>
    </dataValidation>
    <dataValidation type="list" allowBlank="1" sqref="B24:F24" xr:uid="{00000000-0002-0000-0300-000004000000}">
      <formula1>list_EnemyCard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143</v>
      </c>
    </row>
    <row r="2" spans="1:2" x14ac:dyDescent="0.3">
      <c r="A2" s="1" t="s">
        <v>119</v>
      </c>
      <c r="B2" t="s">
        <v>138</v>
      </c>
    </row>
    <row r="3" spans="1:2" x14ac:dyDescent="0.3">
      <c r="A3" s="1" t="s">
        <v>118</v>
      </c>
      <c r="B3" t="s">
        <v>144</v>
      </c>
    </row>
    <row r="4" spans="1:2" x14ac:dyDescent="0.3">
      <c r="A4" s="1" t="s">
        <v>202</v>
      </c>
      <c r="B4" t="str">
        <f>IF($B$3="","NEW","Live")</f>
        <v>Live</v>
      </c>
    </row>
    <row r="6" spans="1:2" x14ac:dyDescent="0.3">
      <c r="A6" s="1" t="s">
        <v>203</v>
      </c>
    </row>
    <row r="7" spans="1:2" x14ac:dyDescent="0.3">
      <c r="A7" s="5" t="s">
        <v>120</v>
      </c>
      <c r="B7" t="s">
        <v>145</v>
      </c>
    </row>
    <row r="8" spans="1:2" x14ac:dyDescent="0.3">
      <c r="A8" s="5" t="s">
        <v>121</v>
      </c>
      <c r="B8" t="s">
        <v>206</v>
      </c>
    </row>
    <row r="9" spans="1:2" x14ac:dyDescent="0.3">
      <c r="A9" s="5" t="s">
        <v>205</v>
      </c>
      <c r="B9" t="s">
        <v>206</v>
      </c>
    </row>
    <row r="10" spans="1:2" x14ac:dyDescent="0.3">
      <c r="A10" s="5" t="s">
        <v>123</v>
      </c>
      <c r="B10" t="s">
        <v>139</v>
      </c>
    </row>
    <row r="11" spans="1:2" x14ac:dyDescent="0.3">
      <c r="A11" s="5" t="s">
        <v>124</v>
      </c>
      <c r="B11" t="s">
        <v>146</v>
      </c>
    </row>
    <row r="12" spans="1:2" x14ac:dyDescent="0.3">
      <c r="A12" s="5" t="s">
        <v>125</v>
      </c>
      <c r="B12" t="s">
        <v>1</v>
      </c>
    </row>
    <row r="13" spans="1:2" x14ac:dyDescent="0.3">
      <c r="A13" s="5" t="s">
        <v>19</v>
      </c>
      <c r="B13" t="s">
        <v>142</v>
      </c>
    </row>
    <row r="15" spans="1:2" x14ac:dyDescent="0.3">
      <c r="A15" s="1" t="s">
        <v>15</v>
      </c>
      <c r="B15" t="s">
        <v>1</v>
      </c>
    </row>
    <row r="16" spans="1:2" x14ac:dyDescent="0.3">
      <c r="A16" s="1" t="s">
        <v>17</v>
      </c>
      <c r="B16" s="2">
        <f>IF($B$8="","",ROUND(($B$19*$B$9*pw_ActionScale+$B$8*pw_Health)/pw_Divisor,3))</f>
        <v>0.85299999999999998</v>
      </c>
    </row>
    <row r="17" spans="1:6" x14ac:dyDescent="0.3">
      <c r="A17" t="s">
        <v>207</v>
      </c>
      <c r="B17" s="2" t="str">
        <f>IF($B$15="","",ROUND($B$16-$B$15,3))</f>
        <v/>
      </c>
    </row>
    <row r="18" spans="1:6" x14ac:dyDescent="0.3">
      <c r="B18" s="2"/>
    </row>
    <row r="19" spans="1:6" x14ac:dyDescent="0.3">
      <c r="A19" t="s">
        <v>208</v>
      </c>
      <c r="B19" s="2">
        <f>IFERROR(AVERAGEIF(B$26:F$26,"Yes",B$54:F$54),0)</f>
        <v>7</v>
      </c>
    </row>
    <row r="20" spans="1:6" x14ac:dyDescent="0.3">
      <c r="A20" t="s">
        <v>209</v>
      </c>
      <c r="B20" s="2">
        <f>IFERROR(AVERAGEIF(B$26:F$26,"Yes",B$32:F$32),0)</f>
        <v>3</v>
      </c>
    </row>
    <row r="21" spans="1:6" x14ac:dyDescent="0.3">
      <c r="A21" t="s">
        <v>210</v>
      </c>
      <c r="B21" s="2">
        <f>IFERROR(AVERAGEIF(B$26:F$26,"Yes",B$55:F$55),0)</f>
        <v>2.5</v>
      </c>
    </row>
    <row r="22" spans="1:6" x14ac:dyDescent="0.3">
      <c r="A22" t="s">
        <v>211</v>
      </c>
      <c r="B22" s="2">
        <f>IFERROR(AVERAGEIF(B$26:F$26,"Yes",B$52:F$52),0)</f>
        <v>0</v>
      </c>
    </row>
    <row r="24" spans="1:6" x14ac:dyDescent="0.3">
      <c r="A24" s="1" t="s">
        <v>28</v>
      </c>
      <c r="B24" t="s">
        <v>244</v>
      </c>
      <c r="C24" t="s">
        <v>244</v>
      </c>
      <c r="D24" t="s">
        <v>244</v>
      </c>
      <c r="E24" t="s">
        <v>245</v>
      </c>
      <c r="F24" t="s">
        <v>245</v>
      </c>
    </row>
    <row r="25" spans="1:6" x14ac:dyDescent="0.3">
      <c r="A25" t="s">
        <v>214</v>
      </c>
      <c r="B25" t="s">
        <v>246</v>
      </c>
      <c r="C25" t="s">
        <v>246</v>
      </c>
      <c r="D25" t="s">
        <v>246</v>
      </c>
      <c r="E25" t="s">
        <v>247</v>
      </c>
      <c r="F25" t="s">
        <v>247</v>
      </c>
    </row>
    <row r="26" spans="1:6" x14ac:dyDescent="0.3">
      <c r="A26" t="s">
        <v>21</v>
      </c>
      <c r="B26" t="s">
        <v>217</v>
      </c>
      <c r="C26" t="s">
        <v>217</v>
      </c>
      <c r="D26" t="s">
        <v>217</v>
      </c>
      <c r="E26" t="s">
        <v>138</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1</v>
      </c>
      <c r="C31" s="7">
        <v>1</v>
      </c>
      <c r="D31" s="7">
        <v>1</v>
      </c>
      <c r="E31" s="7">
        <v>1</v>
      </c>
      <c r="F31" s="7">
        <v>1</v>
      </c>
    </row>
    <row r="32" spans="1:6" x14ac:dyDescent="0.3">
      <c r="A32" t="s">
        <v>222</v>
      </c>
      <c r="B32" s="2">
        <v>3</v>
      </c>
      <c r="C32" s="2">
        <v>3</v>
      </c>
      <c r="D32" s="2">
        <v>3</v>
      </c>
      <c r="E32" s="2">
        <v>0</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5</v>
      </c>
      <c r="C36" s="2">
        <v>5</v>
      </c>
      <c r="D36" s="2">
        <v>5</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1</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7</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7</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7</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2.5</v>
      </c>
      <c r="C55" s="2">
        <f>C$54-C$32*pw_Damage-C$33-C$52*pw_Summon</f>
        <v>2.5</v>
      </c>
      <c r="D55" s="2">
        <f>D$54-D$32*pw_Damage-D$33-D$52*pw_Summon</f>
        <v>2.5</v>
      </c>
      <c r="E55" s="2">
        <f>E$54-E$32*pw_Damage-E$33-E$52*pw_Summon</f>
        <v>1</v>
      </c>
      <c r="F55" s="2">
        <f>F$54-F$32*pw_Damage-F$33-F$52*pw_Summon</f>
        <v>1</v>
      </c>
    </row>
    <row r="57" spans="1:6" x14ac:dyDescent="0.3">
      <c r="A57" s="1" t="s">
        <v>30</v>
      </c>
      <c r="B57" s="3" t="s">
        <v>1</v>
      </c>
    </row>
  </sheetData>
  <dataValidations count="5">
    <dataValidation type="list" allowBlank="1" sqref="B10" xr:uid="{00000000-0002-0000-0400-000000000000}">
      <formula1>list_Brain</formula1>
    </dataValidation>
    <dataValidation type="list" allowBlank="1" sqref="B11" xr:uid="{00000000-0002-0000-0400-000001000000}">
      <formula1>list_Targeting</formula1>
    </dataValidation>
    <dataValidation type="list" allowBlank="1" sqref="B12" xr:uid="{00000000-0002-0000-0400-000002000000}">
      <formula1>list_Loot</formula1>
    </dataValidation>
    <dataValidation type="list" allowBlank="1" sqref="B13" xr:uid="{00000000-0002-0000-0400-000003000000}">
      <formula1>list_Role</formula1>
    </dataValidation>
    <dataValidation type="list" allowBlank="1" sqref="B24:F24" xr:uid="{00000000-0002-0000-0400-000004000000}">
      <formula1>list_EnemyCard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147</v>
      </c>
    </row>
    <row r="2" spans="1:2" x14ac:dyDescent="0.3">
      <c r="A2" s="1" t="s">
        <v>119</v>
      </c>
      <c r="B2" t="s">
        <v>138</v>
      </c>
    </row>
    <row r="3" spans="1:2" x14ac:dyDescent="0.3">
      <c r="A3" s="1" t="s">
        <v>118</v>
      </c>
      <c r="B3" t="s">
        <v>148</v>
      </c>
    </row>
    <row r="4" spans="1:2" x14ac:dyDescent="0.3">
      <c r="A4" s="1" t="s">
        <v>202</v>
      </c>
      <c r="B4" t="str">
        <f>IF($B$3="","NEW","Live")</f>
        <v>Live</v>
      </c>
    </row>
    <row r="6" spans="1:2" x14ac:dyDescent="0.3">
      <c r="A6" s="1" t="s">
        <v>203</v>
      </c>
    </row>
    <row r="7" spans="1:2" x14ac:dyDescent="0.3">
      <c r="A7" s="5" t="s">
        <v>120</v>
      </c>
      <c r="B7" t="s">
        <v>147</v>
      </c>
    </row>
    <row r="8" spans="1:2" x14ac:dyDescent="0.3">
      <c r="A8" s="5" t="s">
        <v>121</v>
      </c>
      <c r="B8" t="s">
        <v>248</v>
      </c>
    </row>
    <row r="9" spans="1:2" x14ac:dyDescent="0.3">
      <c r="A9" s="5" t="s">
        <v>205</v>
      </c>
      <c r="B9" t="s">
        <v>206</v>
      </c>
    </row>
    <row r="10" spans="1:2" x14ac:dyDescent="0.3">
      <c r="A10" s="5" t="s">
        <v>123</v>
      </c>
      <c r="B10" t="s">
        <v>139</v>
      </c>
    </row>
    <row r="11" spans="1:2" x14ac:dyDescent="0.3">
      <c r="A11" s="5" t="s">
        <v>124</v>
      </c>
      <c r="B11" t="s">
        <v>146</v>
      </c>
    </row>
    <row r="12" spans="1:2" x14ac:dyDescent="0.3">
      <c r="A12" s="5" t="s">
        <v>125</v>
      </c>
      <c r="B12" t="s">
        <v>1</v>
      </c>
    </row>
    <row r="13" spans="1:2" x14ac:dyDescent="0.3">
      <c r="A13" s="5" t="s">
        <v>19</v>
      </c>
      <c r="B13" t="s">
        <v>142</v>
      </c>
    </row>
    <row r="15" spans="1:2" x14ac:dyDescent="0.3">
      <c r="A15" s="1" t="s">
        <v>15</v>
      </c>
      <c r="B15" t="s">
        <v>249</v>
      </c>
    </row>
    <row r="16" spans="1:2" x14ac:dyDescent="0.3">
      <c r="A16" s="1" t="s">
        <v>17</v>
      </c>
      <c r="B16" s="2">
        <f>IF($B$8="","",ROUND(($B$19*$B$9*pw_ActionScale+$B$8*pw_Health)/pw_Divisor,3))</f>
        <v>2.1179999999999999</v>
      </c>
    </row>
    <row r="17" spans="1:6" x14ac:dyDescent="0.3">
      <c r="A17" t="s">
        <v>207</v>
      </c>
      <c r="B17" s="2">
        <f>IF($B$15="","",ROUND($B$16-$B$15,3))</f>
        <v>0.11799999999999999</v>
      </c>
    </row>
    <row r="18" spans="1:6" x14ac:dyDescent="0.3">
      <c r="B18" s="2"/>
    </row>
    <row r="19" spans="1:6" x14ac:dyDescent="0.3">
      <c r="A19" t="s">
        <v>208</v>
      </c>
      <c r="B19" s="2">
        <f>IFERROR(AVERAGEIF(B$26:F$26,"Yes",B$54:F$54),0)</f>
        <v>8</v>
      </c>
    </row>
    <row r="20" spans="1:6" x14ac:dyDescent="0.3">
      <c r="A20" t="s">
        <v>209</v>
      </c>
      <c r="B20" s="2">
        <f>IFERROR(AVERAGEIF(B$26:F$26,"Yes",B$32:F$32),0)</f>
        <v>4</v>
      </c>
    </row>
    <row r="21" spans="1:6" x14ac:dyDescent="0.3">
      <c r="A21" t="s">
        <v>210</v>
      </c>
      <c r="B21" s="2">
        <f>IFERROR(AVERAGEIF(B$26:F$26,"Yes",B$55:F$55),0)</f>
        <v>2</v>
      </c>
    </row>
    <row r="22" spans="1:6" x14ac:dyDescent="0.3">
      <c r="A22" t="s">
        <v>211</v>
      </c>
      <c r="B22" s="2">
        <f>IFERROR(AVERAGEIF(B$26:F$26,"Yes",B$52:F$52),0)</f>
        <v>0</v>
      </c>
    </row>
    <row r="24" spans="1:6" x14ac:dyDescent="0.3">
      <c r="A24" s="1" t="s">
        <v>28</v>
      </c>
      <c r="B24" t="s">
        <v>250</v>
      </c>
      <c r="C24" t="s">
        <v>250</v>
      </c>
      <c r="D24" t="s">
        <v>250</v>
      </c>
      <c r="E24" t="s">
        <v>250</v>
      </c>
      <c r="F24" t="s">
        <v>245</v>
      </c>
    </row>
    <row r="25" spans="1:6" x14ac:dyDescent="0.3">
      <c r="A25" t="s">
        <v>214</v>
      </c>
      <c r="B25" t="s">
        <v>251</v>
      </c>
      <c r="C25" t="s">
        <v>251</v>
      </c>
      <c r="D25" t="s">
        <v>251</v>
      </c>
      <c r="E25" t="s">
        <v>251</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1</v>
      </c>
      <c r="C31" s="7">
        <v>1</v>
      </c>
      <c r="D31" s="7">
        <v>1</v>
      </c>
      <c r="E31" s="7">
        <v>1</v>
      </c>
      <c r="F31" s="7">
        <v>1</v>
      </c>
    </row>
    <row r="32" spans="1:6" x14ac:dyDescent="0.3">
      <c r="A32" t="s">
        <v>222</v>
      </c>
      <c r="B32" s="2">
        <v>4</v>
      </c>
      <c r="C32" s="2">
        <v>4</v>
      </c>
      <c r="D32" s="2">
        <v>4</v>
      </c>
      <c r="E32" s="2">
        <v>4</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4</v>
      </c>
      <c r="C36" s="2">
        <v>4</v>
      </c>
      <c r="D36" s="2">
        <v>4</v>
      </c>
      <c r="E36" s="2">
        <v>4</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8</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8</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8</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8</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2</v>
      </c>
      <c r="C55" s="2">
        <f>C$54-C$32*pw_Damage-C$33-C$52*pw_Summon</f>
        <v>2</v>
      </c>
      <c r="D55" s="2">
        <f>D$54-D$32*pw_Damage-D$33-D$52*pw_Summon</f>
        <v>2</v>
      </c>
      <c r="E55" s="2">
        <f>E$54-E$32*pw_Damage-E$33-E$52*pw_Summon</f>
        <v>2</v>
      </c>
      <c r="F55" s="2">
        <f>F$54-F$32*pw_Damage-F$33-F$52*pw_Summon</f>
        <v>1</v>
      </c>
    </row>
    <row r="57" spans="1:6" x14ac:dyDescent="0.3">
      <c r="A57" s="1" t="s">
        <v>30</v>
      </c>
      <c r="B57" s="3" t="s">
        <v>1</v>
      </c>
    </row>
  </sheetData>
  <dataValidations count="5">
    <dataValidation type="list" allowBlank="1" sqref="B10" xr:uid="{00000000-0002-0000-0500-000000000000}">
      <formula1>list_Brain</formula1>
    </dataValidation>
    <dataValidation type="list" allowBlank="1" sqref="B11" xr:uid="{00000000-0002-0000-0500-000001000000}">
      <formula1>list_Targeting</formula1>
    </dataValidation>
    <dataValidation type="list" allowBlank="1" sqref="B12" xr:uid="{00000000-0002-0000-0500-000002000000}">
      <formula1>list_Loot</formula1>
    </dataValidation>
    <dataValidation type="list" allowBlank="1" sqref="B13" xr:uid="{00000000-0002-0000-0500-000003000000}">
      <formula1>list_Role</formula1>
    </dataValidation>
    <dataValidation type="list" allowBlank="1" sqref="B24:F24" xr:uid="{00000000-0002-0000-0500-000004000000}">
      <formula1>list_EnemyCard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149</v>
      </c>
    </row>
    <row r="2" spans="1:2" x14ac:dyDescent="0.3">
      <c r="A2" s="1" t="s">
        <v>119</v>
      </c>
      <c r="B2" t="s">
        <v>138</v>
      </c>
    </row>
    <row r="3" spans="1:2" x14ac:dyDescent="0.3">
      <c r="A3" s="1" t="s">
        <v>118</v>
      </c>
      <c r="B3" t="s">
        <v>150</v>
      </c>
    </row>
    <row r="4" spans="1:2" x14ac:dyDescent="0.3">
      <c r="A4" s="1" t="s">
        <v>202</v>
      </c>
      <c r="B4" t="str">
        <f>IF($B$3="","NEW","Live")</f>
        <v>Live</v>
      </c>
    </row>
    <row r="6" spans="1:2" x14ac:dyDescent="0.3">
      <c r="A6" s="1" t="s">
        <v>203</v>
      </c>
    </row>
    <row r="7" spans="1:2" x14ac:dyDescent="0.3">
      <c r="A7" s="5" t="s">
        <v>120</v>
      </c>
      <c r="B7" t="s">
        <v>151</v>
      </c>
    </row>
    <row r="8" spans="1:2" x14ac:dyDescent="0.3">
      <c r="A8" s="5" t="s">
        <v>121</v>
      </c>
      <c r="B8" t="s">
        <v>252</v>
      </c>
    </row>
    <row r="9" spans="1:2" x14ac:dyDescent="0.3">
      <c r="A9" s="5" t="s">
        <v>205</v>
      </c>
      <c r="B9" t="s">
        <v>206</v>
      </c>
    </row>
    <row r="10" spans="1:2" x14ac:dyDescent="0.3">
      <c r="A10" s="5" t="s">
        <v>123</v>
      </c>
      <c r="B10" t="s">
        <v>151</v>
      </c>
    </row>
    <row r="11" spans="1:2" x14ac:dyDescent="0.3">
      <c r="A11" s="5" t="s">
        <v>124</v>
      </c>
      <c r="B11" t="s">
        <v>152</v>
      </c>
    </row>
    <row r="12" spans="1:2" x14ac:dyDescent="0.3">
      <c r="A12" s="5" t="s">
        <v>125</v>
      </c>
      <c r="B12" t="s">
        <v>1</v>
      </c>
    </row>
    <row r="13" spans="1:2" x14ac:dyDescent="0.3">
      <c r="A13" s="5" t="s">
        <v>19</v>
      </c>
      <c r="B13" t="s">
        <v>153</v>
      </c>
    </row>
    <row r="15" spans="1:2" x14ac:dyDescent="0.3">
      <c r="A15" s="1" t="s">
        <v>15</v>
      </c>
      <c r="B15" t="s">
        <v>249</v>
      </c>
    </row>
    <row r="16" spans="1:2" x14ac:dyDescent="0.3">
      <c r="A16" s="1" t="s">
        <v>17</v>
      </c>
      <c r="B16" s="2">
        <f>IF($B$8="","",ROUND(($B$19*$B$9*pw_ActionScale+$B$8*pw_Health)/pw_Divisor,3))</f>
        <v>2.8759999999999999</v>
      </c>
    </row>
    <row r="17" spans="1:6" x14ac:dyDescent="0.3">
      <c r="A17" t="s">
        <v>207</v>
      </c>
      <c r="B17" s="2">
        <f>IF($B$15="","",ROUND($B$16-$B$15,3))</f>
        <v>0.876</v>
      </c>
    </row>
    <row r="18" spans="1:6" x14ac:dyDescent="0.3">
      <c r="B18" s="2"/>
    </row>
    <row r="19" spans="1:6" x14ac:dyDescent="0.3">
      <c r="A19" t="s">
        <v>208</v>
      </c>
      <c r="B19" s="2">
        <f>IFERROR(AVERAGEIF(B$26:F$26,"Yes",B$54:F$54),0)</f>
        <v>18.2</v>
      </c>
    </row>
    <row r="20" spans="1:6" x14ac:dyDescent="0.3">
      <c r="A20" t="s">
        <v>209</v>
      </c>
      <c r="B20" s="2">
        <f>IFERROR(AVERAGEIF(B$26:F$26,"Yes",B$32:F$32),0)</f>
        <v>5</v>
      </c>
    </row>
    <row r="21" spans="1:6" x14ac:dyDescent="0.3">
      <c r="A21" t="s">
        <v>210</v>
      </c>
      <c r="B21" s="2">
        <f>IFERROR(AVERAGEIF(B$26:F$26,"Yes",B$55:F$55),0)</f>
        <v>2.6999999999999993</v>
      </c>
    </row>
    <row r="22" spans="1:6" x14ac:dyDescent="0.3">
      <c r="A22" t="s">
        <v>211</v>
      </c>
      <c r="B22" s="2">
        <f>IFERROR(AVERAGEIF(B$26:F$26,"Yes",B$52:F$52),0)</f>
        <v>0</v>
      </c>
    </row>
    <row r="24" spans="1:6" x14ac:dyDescent="0.3">
      <c r="A24" s="1" t="s">
        <v>28</v>
      </c>
      <c r="B24" t="s">
        <v>253</v>
      </c>
      <c r="C24" t="s">
        <v>253</v>
      </c>
      <c r="D24" t="s">
        <v>253</v>
      </c>
      <c r="E24" t="s">
        <v>253</v>
      </c>
      <c r="F24" t="s">
        <v>213</v>
      </c>
    </row>
    <row r="25" spans="1:6" x14ac:dyDescent="0.3">
      <c r="A25" t="s">
        <v>214</v>
      </c>
      <c r="B25" t="s">
        <v>254</v>
      </c>
      <c r="C25" t="s">
        <v>254</v>
      </c>
      <c r="D25" t="s">
        <v>254</v>
      </c>
      <c r="E25" t="s">
        <v>254</v>
      </c>
      <c r="F25" t="s">
        <v>216</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6</v>
      </c>
      <c r="C30" s="7">
        <v>6</v>
      </c>
      <c r="D30" s="7">
        <v>6</v>
      </c>
      <c r="E30" s="7">
        <v>6</v>
      </c>
      <c r="F30" s="7">
        <v>2</v>
      </c>
    </row>
    <row r="31" spans="1:6" x14ac:dyDescent="0.3">
      <c r="A31" t="s">
        <v>221</v>
      </c>
      <c r="B31" s="7">
        <v>1</v>
      </c>
      <c r="C31" s="7">
        <v>1</v>
      </c>
      <c r="D31" s="7">
        <v>1</v>
      </c>
      <c r="E31" s="7">
        <v>1</v>
      </c>
      <c r="F31" s="7">
        <v>1</v>
      </c>
    </row>
    <row r="32" spans="1:6" x14ac:dyDescent="0.3">
      <c r="A32" t="s">
        <v>222</v>
      </c>
      <c r="B32" s="2">
        <v>5</v>
      </c>
      <c r="C32" s="2">
        <v>5</v>
      </c>
      <c r="D32" s="2">
        <v>5</v>
      </c>
      <c r="E32" s="2">
        <v>5</v>
      </c>
      <c r="F32" s="2">
        <v>0</v>
      </c>
    </row>
    <row r="33" spans="1:6" x14ac:dyDescent="0.3">
      <c r="A33" t="s">
        <v>114</v>
      </c>
      <c r="B33" s="2">
        <f>IFERROR(VLOOKUP(B$30,range_Power,2,TRUE),0)</f>
        <v>8</v>
      </c>
      <c r="C33" s="2">
        <f>IFERROR(VLOOKUP(C$30,range_Power,2,TRUE),0)</f>
        <v>8</v>
      </c>
      <c r="D33" s="2">
        <f>IFERROR(VLOOKUP(D$30,range_Power,2,TRUE),0)</f>
        <v>8</v>
      </c>
      <c r="E33" s="2">
        <f>IFERROR(VLOOKUP(E$30,range_Power,2,TRUE),0)</f>
        <v>8</v>
      </c>
      <c r="F33" s="2">
        <f>IFERROR(VLOOKUP(F$30,range_Power,2,TRUE),0)</f>
        <v>1.5</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1</v>
      </c>
      <c r="C42" s="2">
        <v>1</v>
      </c>
      <c r="D42" s="2">
        <v>1</v>
      </c>
      <c r="E42" s="2">
        <v>1</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2</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18.2</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18.2</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18.2</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18.2</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3.5</v>
      </c>
    </row>
    <row r="55" spans="1:6" x14ac:dyDescent="0.3">
      <c r="A55" t="s">
        <v>243</v>
      </c>
      <c r="B55" s="2">
        <f>B$54-B$32*pw_Damage-B$33-B$52*pw_Summon</f>
        <v>2.6999999999999993</v>
      </c>
      <c r="C55" s="2">
        <f>C$54-C$32*pw_Damage-C$33-C$52*pw_Summon</f>
        <v>2.6999999999999993</v>
      </c>
      <c r="D55" s="2">
        <f>D$54-D$32*pw_Damage-D$33-D$52*pw_Summon</f>
        <v>2.6999999999999993</v>
      </c>
      <c r="E55" s="2">
        <f>E$54-E$32*pw_Damage-E$33-E$52*pw_Summon</f>
        <v>2.6999999999999993</v>
      </c>
      <c r="F55" s="2">
        <f>F$54-F$32*pw_Damage-F$33-F$52*pw_Summon</f>
        <v>2</v>
      </c>
    </row>
    <row r="57" spans="1:6" x14ac:dyDescent="0.3">
      <c r="A57" s="1" t="s">
        <v>30</v>
      </c>
      <c r="B57" s="3" t="s">
        <v>1</v>
      </c>
    </row>
  </sheetData>
  <dataValidations count="5">
    <dataValidation type="list" allowBlank="1" sqref="B10" xr:uid="{00000000-0002-0000-0600-000000000000}">
      <formula1>list_Brain</formula1>
    </dataValidation>
    <dataValidation type="list" allowBlank="1" sqref="B11" xr:uid="{00000000-0002-0000-0600-000001000000}">
      <formula1>list_Targeting</formula1>
    </dataValidation>
    <dataValidation type="list" allowBlank="1" sqref="B12" xr:uid="{00000000-0002-0000-0600-000002000000}">
      <formula1>list_Loot</formula1>
    </dataValidation>
    <dataValidation type="list" allowBlank="1" sqref="B13" xr:uid="{00000000-0002-0000-0600-000003000000}">
      <formula1>list_Role</formula1>
    </dataValidation>
    <dataValidation type="list" allowBlank="1" sqref="B24:F24" xr:uid="{00000000-0002-0000-0600-000004000000}">
      <formula1>list_EnemyCard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154</v>
      </c>
    </row>
    <row r="2" spans="1:2" x14ac:dyDescent="0.3">
      <c r="A2" s="1" t="s">
        <v>119</v>
      </c>
      <c r="B2" t="s">
        <v>138</v>
      </c>
    </row>
    <row r="3" spans="1:2" x14ac:dyDescent="0.3">
      <c r="A3" s="1" t="s">
        <v>118</v>
      </c>
      <c r="B3" t="s">
        <v>155</v>
      </c>
    </row>
    <row r="4" spans="1:2" x14ac:dyDescent="0.3">
      <c r="A4" s="1" t="s">
        <v>202</v>
      </c>
      <c r="B4" t="str">
        <f>IF($B$3="","NEW","Live")</f>
        <v>Live</v>
      </c>
    </row>
    <row r="6" spans="1:2" x14ac:dyDescent="0.3">
      <c r="A6" s="1" t="s">
        <v>203</v>
      </c>
    </row>
    <row r="7" spans="1:2" x14ac:dyDescent="0.3">
      <c r="A7" s="5" t="s">
        <v>120</v>
      </c>
      <c r="B7" t="s">
        <v>156</v>
      </c>
    </row>
    <row r="8" spans="1:2" x14ac:dyDescent="0.3">
      <c r="A8" s="5" t="s">
        <v>121</v>
      </c>
      <c r="B8" t="s">
        <v>255</v>
      </c>
    </row>
    <row r="9" spans="1:2" x14ac:dyDescent="0.3">
      <c r="A9" s="5" t="s">
        <v>205</v>
      </c>
      <c r="B9" t="s">
        <v>206</v>
      </c>
    </row>
    <row r="10" spans="1:2" x14ac:dyDescent="0.3">
      <c r="A10" s="5" t="s">
        <v>123</v>
      </c>
      <c r="B10" t="s">
        <v>151</v>
      </c>
    </row>
    <row r="11" spans="1:2" x14ac:dyDescent="0.3">
      <c r="A11" s="5" t="s">
        <v>124</v>
      </c>
      <c r="B11" t="s">
        <v>152</v>
      </c>
    </row>
    <row r="12" spans="1:2" x14ac:dyDescent="0.3">
      <c r="A12" s="5" t="s">
        <v>125</v>
      </c>
      <c r="B12" t="s">
        <v>1</v>
      </c>
    </row>
    <row r="13" spans="1:2" x14ac:dyDescent="0.3">
      <c r="A13" s="5" t="s">
        <v>19</v>
      </c>
      <c r="B13" t="s">
        <v>153</v>
      </c>
    </row>
    <row r="15" spans="1:2" x14ac:dyDescent="0.3">
      <c r="A15" s="1" t="s">
        <v>15</v>
      </c>
      <c r="B15" t="s">
        <v>256</v>
      </c>
    </row>
    <row r="16" spans="1:2" x14ac:dyDescent="0.3">
      <c r="A16" s="1" t="s">
        <v>17</v>
      </c>
      <c r="B16" s="2">
        <f>IF($B$8="","",ROUND(($B$19*$B$9*pw_ActionScale+$B$8*pw_Health)/pw_Divisor,3))</f>
        <v>1.6759999999999999</v>
      </c>
    </row>
    <row r="17" spans="1:6" x14ac:dyDescent="0.3">
      <c r="A17" t="s">
        <v>207</v>
      </c>
      <c r="B17" s="2">
        <f>IF($B$15="","",ROUND($B$16-$B$15,3))</f>
        <v>0.17599999999999999</v>
      </c>
    </row>
    <row r="18" spans="1:6" x14ac:dyDescent="0.3">
      <c r="B18" s="2"/>
    </row>
    <row r="19" spans="1:6" x14ac:dyDescent="0.3">
      <c r="A19" t="s">
        <v>208</v>
      </c>
      <c r="B19" s="2">
        <f>IFERROR(AVERAGEIF(B$26:F$26,"Yes",B$54:F$54),0)</f>
        <v>10.5</v>
      </c>
    </row>
    <row r="20" spans="1:6" x14ac:dyDescent="0.3">
      <c r="A20" t="s">
        <v>209</v>
      </c>
      <c r="B20" s="2">
        <f>IFERROR(AVERAGEIF(B$26:F$26,"Yes",B$32:F$32),0)</f>
        <v>3</v>
      </c>
    </row>
    <row r="21" spans="1:6" x14ac:dyDescent="0.3">
      <c r="A21" t="s">
        <v>210</v>
      </c>
      <c r="B21" s="2">
        <f>IFERROR(AVERAGEIF(B$26:F$26,"Yes",B$55:F$55),0)</f>
        <v>0</v>
      </c>
    </row>
    <row r="22" spans="1:6" x14ac:dyDescent="0.3">
      <c r="A22" t="s">
        <v>211</v>
      </c>
      <c r="B22" s="2">
        <f>IFERROR(AVERAGEIF(B$26:F$26,"Yes",B$52:F$52),0)</f>
        <v>0</v>
      </c>
    </row>
    <row r="24" spans="1:6" x14ac:dyDescent="0.3">
      <c r="A24" s="1" t="s">
        <v>28</v>
      </c>
      <c r="B24" t="s">
        <v>257</v>
      </c>
      <c r="C24" t="s">
        <v>257</v>
      </c>
      <c r="D24" t="s">
        <v>257</v>
      </c>
      <c r="E24" t="s">
        <v>257</v>
      </c>
      <c r="F24" t="s">
        <v>245</v>
      </c>
    </row>
    <row r="25" spans="1:6" x14ac:dyDescent="0.3">
      <c r="A25" t="s">
        <v>214</v>
      </c>
      <c r="B25" t="s">
        <v>258</v>
      </c>
      <c r="C25" t="s">
        <v>258</v>
      </c>
      <c r="D25" t="s">
        <v>258</v>
      </c>
      <c r="E25" t="s">
        <v>258</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4</v>
      </c>
      <c r="C30" s="7">
        <v>4</v>
      </c>
      <c r="D30" s="7">
        <v>4</v>
      </c>
      <c r="E30" s="7">
        <v>4</v>
      </c>
      <c r="F30" s="7">
        <v>1</v>
      </c>
    </row>
    <row r="31" spans="1:6" x14ac:dyDescent="0.3">
      <c r="A31" t="s">
        <v>221</v>
      </c>
      <c r="B31" s="7">
        <v>1</v>
      </c>
      <c r="C31" s="7">
        <v>1</v>
      </c>
      <c r="D31" s="7">
        <v>1</v>
      </c>
      <c r="E31" s="7">
        <v>1</v>
      </c>
      <c r="F31" s="7">
        <v>1</v>
      </c>
    </row>
    <row r="32" spans="1:6" x14ac:dyDescent="0.3">
      <c r="A32" t="s">
        <v>222</v>
      </c>
      <c r="B32" s="2">
        <v>3</v>
      </c>
      <c r="C32" s="2">
        <v>3</v>
      </c>
      <c r="D32" s="2">
        <v>3</v>
      </c>
      <c r="E32" s="2">
        <v>3</v>
      </c>
      <c r="F32" s="2">
        <v>0</v>
      </c>
    </row>
    <row r="33" spans="1:6" x14ac:dyDescent="0.3">
      <c r="A33" t="s">
        <v>114</v>
      </c>
      <c r="B33" s="2">
        <f>IFERROR(VLOOKUP(B$30,range_Power,2,TRUE),0)</f>
        <v>6</v>
      </c>
      <c r="C33" s="2">
        <f>IFERROR(VLOOKUP(C$30,range_Power,2,TRUE),0)</f>
        <v>6</v>
      </c>
      <c r="D33" s="2">
        <f>IFERROR(VLOOKUP(D$30,range_Power,2,TRUE),0)</f>
        <v>6</v>
      </c>
      <c r="E33" s="2">
        <f>IFERROR(VLOOKUP(E$30,range_Power,2,TRUE),0)</f>
        <v>6</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10.5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10.5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10.5</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10.5</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0</v>
      </c>
      <c r="C55" s="2">
        <f>C$54-C$32*pw_Damage-C$33-C$52*pw_Summon</f>
        <v>0</v>
      </c>
      <c r="D55" s="2">
        <f>D$54-D$32*pw_Damage-D$33-D$52*pw_Summon</f>
        <v>0</v>
      </c>
      <c r="E55" s="2">
        <f>E$54-E$32*pw_Damage-E$33-E$52*pw_Summon</f>
        <v>0</v>
      </c>
      <c r="F55" s="2">
        <f>F$54-F$32*pw_Damage-F$33-F$52*pw_Summon</f>
        <v>1</v>
      </c>
    </row>
    <row r="57" spans="1:6" x14ac:dyDescent="0.3">
      <c r="A57" s="1" t="s">
        <v>30</v>
      </c>
      <c r="B57" s="3" t="s">
        <v>1</v>
      </c>
    </row>
  </sheetData>
  <dataValidations count="5">
    <dataValidation type="list" allowBlank="1" sqref="B10" xr:uid="{00000000-0002-0000-0700-000000000000}">
      <formula1>list_Brain</formula1>
    </dataValidation>
    <dataValidation type="list" allowBlank="1" sqref="B11" xr:uid="{00000000-0002-0000-0700-000001000000}">
      <formula1>list_Targeting</formula1>
    </dataValidation>
    <dataValidation type="list" allowBlank="1" sqref="B12" xr:uid="{00000000-0002-0000-0700-000002000000}">
      <formula1>list_Loot</formula1>
    </dataValidation>
    <dataValidation type="list" allowBlank="1" sqref="B13" xr:uid="{00000000-0002-0000-0700-000003000000}">
      <formula1>list_Role</formula1>
    </dataValidation>
    <dataValidation type="list" allowBlank="1" sqref="B24:F24" xr:uid="{00000000-0002-0000-0700-000004000000}">
      <formula1>list_EnemyCard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157</v>
      </c>
    </row>
    <row r="2" spans="1:2" x14ac:dyDescent="0.3">
      <c r="A2" s="1" t="s">
        <v>119</v>
      </c>
      <c r="B2" t="s">
        <v>138</v>
      </c>
    </row>
    <row r="3" spans="1:2" x14ac:dyDescent="0.3">
      <c r="A3" s="1" t="s">
        <v>118</v>
      </c>
      <c r="B3" t="s">
        <v>158</v>
      </c>
    </row>
    <row r="4" spans="1:2" x14ac:dyDescent="0.3">
      <c r="A4" s="1" t="s">
        <v>202</v>
      </c>
      <c r="B4" t="str">
        <f>IF($B$3="","NEW","Live")</f>
        <v>Live</v>
      </c>
    </row>
    <row r="6" spans="1:2" x14ac:dyDescent="0.3">
      <c r="A6" s="1" t="s">
        <v>203</v>
      </c>
    </row>
    <row r="7" spans="1:2" x14ac:dyDescent="0.3">
      <c r="A7" s="5" t="s">
        <v>120</v>
      </c>
      <c r="B7" t="s">
        <v>157</v>
      </c>
    </row>
    <row r="8" spans="1:2" x14ac:dyDescent="0.3">
      <c r="A8" s="5" t="s">
        <v>121</v>
      </c>
      <c r="B8" t="s">
        <v>204</v>
      </c>
    </row>
    <row r="9" spans="1:2" x14ac:dyDescent="0.3">
      <c r="A9" s="5" t="s">
        <v>205</v>
      </c>
      <c r="B9" t="s">
        <v>206</v>
      </c>
    </row>
    <row r="10" spans="1:2" x14ac:dyDescent="0.3">
      <c r="A10" s="5" t="s">
        <v>123</v>
      </c>
      <c r="B10" t="s">
        <v>139</v>
      </c>
    </row>
    <row r="11" spans="1:2" x14ac:dyDescent="0.3">
      <c r="A11" s="5" t="s">
        <v>124</v>
      </c>
      <c r="B11" t="s">
        <v>159</v>
      </c>
    </row>
    <row r="12" spans="1:2" x14ac:dyDescent="0.3">
      <c r="A12" s="5" t="s">
        <v>125</v>
      </c>
      <c r="B12" t="s">
        <v>1</v>
      </c>
    </row>
    <row r="13" spans="1:2" x14ac:dyDescent="0.3">
      <c r="A13" s="5" t="s">
        <v>19</v>
      </c>
      <c r="B13" t="s">
        <v>142</v>
      </c>
    </row>
    <row r="15" spans="1:2" x14ac:dyDescent="0.3">
      <c r="A15" s="1" t="s">
        <v>15</v>
      </c>
      <c r="B15" t="s">
        <v>206</v>
      </c>
    </row>
    <row r="16" spans="1:2" x14ac:dyDescent="0.3">
      <c r="A16" s="1" t="s">
        <v>17</v>
      </c>
      <c r="B16" s="2">
        <f>IF($B$8="","",ROUND(($B$19*$B$9*pw_ActionScale+$B$8*pw_Health)/pw_Divisor,3))</f>
        <v>1.4710000000000001</v>
      </c>
    </row>
    <row r="17" spans="1:6" x14ac:dyDescent="0.3">
      <c r="A17" t="s">
        <v>207</v>
      </c>
      <c r="B17" s="2">
        <f>IF($B$15="","",ROUND($B$16-$B$15,3))</f>
        <v>0.47099999999999997</v>
      </c>
    </row>
    <row r="18" spans="1:6" x14ac:dyDescent="0.3">
      <c r="B18" s="2"/>
    </row>
    <row r="19" spans="1:6" x14ac:dyDescent="0.3">
      <c r="A19" t="s">
        <v>208</v>
      </c>
      <c r="B19" s="2">
        <f>IFERROR(AVERAGEIF(B$26:F$26,"Yes",B$54:F$54),0)</f>
        <v>7.5</v>
      </c>
    </row>
    <row r="20" spans="1:6" x14ac:dyDescent="0.3">
      <c r="A20" t="s">
        <v>209</v>
      </c>
      <c r="B20" s="2">
        <f>IFERROR(AVERAGEIF(B$26:F$26,"Yes",B$32:F$32),0)</f>
        <v>5</v>
      </c>
    </row>
    <row r="21" spans="1:6" x14ac:dyDescent="0.3">
      <c r="A21" t="s">
        <v>210</v>
      </c>
      <c r="B21" s="2">
        <f>IFERROR(AVERAGEIF(B$26:F$26,"Yes",B$55:F$55),0)</f>
        <v>0</v>
      </c>
    </row>
    <row r="22" spans="1:6" x14ac:dyDescent="0.3">
      <c r="A22" t="s">
        <v>211</v>
      </c>
      <c r="B22" s="2">
        <f>IFERROR(AVERAGEIF(B$26:F$26,"Yes",B$52:F$52),0)</f>
        <v>0</v>
      </c>
    </row>
    <row r="24" spans="1:6" x14ac:dyDescent="0.3">
      <c r="A24" s="1" t="s">
        <v>28</v>
      </c>
      <c r="B24" t="s">
        <v>259</v>
      </c>
      <c r="C24" t="s">
        <v>259</v>
      </c>
      <c r="D24" t="s">
        <v>259</v>
      </c>
      <c r="E24" t="s">
        <v>259</v>
      </c>
      <c r="F24" t="s">
        <v>213</v>
      </c>
    </row>
    <row r="25" spans="1:6" x14ac:dyDescent="0.3">
      <c r="A25" t="s">
        <v>214</v>
      </c>
      <c r="B25" t="s">
        <v>215</v>
      </c>
      <c r="C25" t="s">
        <v>215</v>
      </c>
      <c r="D25" t="s">
        <v>215</v>
      </c>
      <c r="E25" t="s">
        <v>215</v>
      </c>
      <c r="F25" t="s">
        <v>216</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2</v>
      </c>
    </row>
    <row r="31" spans="1:6" x14ac:dyDescent="0.3">
      <c r="A31" t="s">
        <v>221</v>
      </c>
      <c r="B31" s="7">
        <v>1</v>
      </c>
      <c r="C31" s="7">
        <v>1</v>
      </c>
      <c r="D31" s="7">
        <v>1</v>
      </c>
      <c r="E31" s="7">
        <v>1</v>
      </c>
      <c r="F31" s="7">
        <v>1</v>
      </c>
    </row>
    <row r="32" spans="1:6" x14ac:dyDescent="0.3">
      <c r="A32" t="s">
        <v>222</v>
      </c>
      <c r="B32" s="2">
        <v>5</v>
      </c>
      <c r="C32" s="2">
        <v>5</v>
      </c>
      <c r="D32" s="2">
        <v>5</v>
      </c>
      <c r="E32" s="2">
        <v>5</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1.5</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2</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7.5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7.5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7.5</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7.5</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3.5</v>
      </c>
    </row>
    <row r="55" spans="1:6" x14ac:dyDescent="0.3">
      <c r="A55" t="s">
        <v>243</v>
      </c>
      <c r="B55" s="2">
        <f>B$54-B$32*pw_Damage-B$33-B$52*pw_Summon</f>
        <v>0</v>
      </c>
      <c r="C55" s="2">
        <f>C$54-C$32*pw_Damage-C$33-C$52*pw_Summon</f>
        <v>0</v>
      </c>
      <c r="D55" s="2">
        <f>D$54-D$32*pw_Damage-D$33-D$52*pw_Summon</f>
        <v>0</v>
      </c>
      <c r="E55" s="2">
        <f>E$54-E$32*pw_Damage-E$33-E$52*pw_Summon</f>
        <v>0</v>
      </c>
      <c r="F55" s="2">
        <f>F$54-F$32*pw_Damage-F$33-F$52*pw_Summon</f>
        <v>2</v>
      </c>
    </row>
    <row r="57" spans="1:6" x14ac:dyDescent="0.3">
      <c r="A57" s="1" t="s">
        <v>30</v>
      </c>
      <c r="B57" s="3" t="s">
        <v>1</v>
      </c>
    </row>
  </sheetData>
  <dataValidations count="5">
    <dataValidation type="list" allowBlank="1" sqref="B10" xr:uid="{00000000-0002-0000-0800-000000000000}">
      <formula1>list_Brain</formula1>
    </dataValidation>
    <dataValidation type="list" allowBlank="1" sqref="B11" xr:uid="{00000000-0002-0000-0800-000001000000}">
      <formula1>list_Targeting</formula1>
    </dataValidation>
    <dataValidation type="list" allowBlank="1" sqref="B12" xr:uid="{00000000-0002-0000-0800-000002000000}">
      <formula1>list_Loot</formula1>
    </dataValidation>
    <dataValidation type="list" allowBlank="1" sqref="B13" xr:uid="{00000000-0002-0000-0800-000003000000}">
      <formula1>list_Role</formula1>
    </dataValidation>
    <dataValidation type="list" allowBlank="1" sqref="B24:F24" xr:uid="{00000000-0002-0000-0800-000004000000}">
      <formula1>list_EnemyCard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160</v>
      </c>
    </row>
    <row r="2" spans="1:2" x14ac:dyDescent="0.3">
      <c r="A2" s="1" t="s">
        <v>119</v>
      </c>
      <c r="B2" t="s">
        <v>138</v>
      </c>
    </row>
    <row r="3" spans="1:2" x14ac:dyDescent="0.3">
      <c r="A3" s="1" t="s">
        <v>118</v>
      </c>
      <c r="B3" t="s">
        <v>161</v>
      </c>
    </row>
    <row r="4" spans="1:2" x14ac:dyDescent="0.3">
      <c r="A4" s="1" t="s">
        <v>202</v>
      </c>
      <c r="B4" t="str">
        <f>IF($B$3="","NEW","Live")</f>
        <v>Live</v>
      </c>
    </row>
    <row r="6" spans="1:2" x14ac:dyDescent="0.3">
      <c r="A6" s="1" t="s">
        <v>203</v>
      </c>
    </row>
    <row r="7" spans="1:2" x14ac:dyDescent="0.3">
      <c r="A7" s="5" t="s">
        <v>120</v>
      </c>
      <c r="B7" t="s">
        <v>160</v>
      </c>
    </row>
    <row r="8" spans="1:2" x14ac:dyDescent="0.3">
      <c r="A8" s="5" t="s">
        <v>121</v>
      </c>
      <c r="B8" t="s">
        <v>260</v>
      </c>
    </row>
    <row r="9" spans="1:2" x14ac:dyDescent="0.3">
      <c r="A9" s="5" t="s">
        <v>205</v>
      </c>
      <c r="B9" t="s">
        <v>206</v>
      </c>
    </row>
    <row r="10" spans="1:2" x14ac:dyDescent="0.3">
      <c r="A10" s="5" t="s">
        <v>123</v>
      </c>
      <c r="B10" t="s">
        <v>162</v>
      </c>
    </row>
    <row r="11" spans="1:2" x14ac:dyDescent="0.3">
      <c r="A11" s="5" t="s">
        <v>124</v>
      </c>
      <c r="B11" t="s">
        <v>146</v>
      </c>
    </row>
    <row r="12" spans="1:2" x14ac:dyDescent="0.3">
      <c r="A12" s="5" t="s">
        <v>125</v>
      </c>
      <c r="B12" t="s">
        <v>1</v>
      </c>
    </row>
    <row r="13" spans="1:2" x14ac:dyDescent="0.3">
      <c r="A13" s="5" t="s">
        <v>19</v>
      </c>
      <c r="B13" t="s">
        <v>142</v>
      </c>
    </row>
    <row r="15" spans="1:2" x14ac:dyDescent="0.3">
      <c r="A15" s="1" t="s">
        <v>15</v>
      </c>
      <c r="B15" t="s">
        <v>261</v>
      </c>
    </row>
    <row r="16" spans="1:2" x14ac:dyDescent="0.3">
      <c r="A16" s="1" t="s">
        <v>17</v>
      </c>
      <c r="B16" s="2">
        <f>IF($B$8="","",ROUND(($B$19*$B$9*pw_ActionScale+$B$8*pw_Health)/pw_Divisor,3))</f>
        <v>2.6469999999999998</v>
      </c>
    </row>
    <row r="17" spans="1:6" x14ac:dyDescent="0.3">
      <c r="A17" t="s">
        <v>207</v>
      </c>
      <c r="B17" s="2">
        <f>IF($B$15="","",ROUND($B$16-$B$15,3))</f>
        <v>0.14699999999999999</v>
      </c>
    </row>
    <row r="18" spans="1:6" x14ac:dyDescent="0.3">
      <c r="B18" s="2"/>
    </row>
    <row r="19" spans="1:6" x14ac:dyDescent="0.3">
      <c r="A19" t="s">
        <v>208</v>
      </c>
      <c r="B19" s="2">
        <f>IFERROR(AVERAGEIF(B$26:F$26,"Yes",B$54:F$54),0)</f>
        <v>7.5</v>
      </c>
    </row>
    <row r="20" spans="1:6" x14ac:dyDescent="0.3">
      <c r="A20" t="s">
        <v>209</v>
      </c>
      <c r="B20" s="2">
        <f>IFERROR(AVERAGEIF(B$26:F$26,"Yes",B$32:F$32),0)</f>
        <v>5</v>
      </c>
    </row>
    <row r="21" spans="1:6" x14ac:dyDescent="0.3">
      <c r="A21" t="s">
        <v>210</v>
      </c>
      <c r="B21" s="2">
        <f>IFERROR(AVERAGEIF(B$26:F$26,"Yes",B$55:F$55),0)</f>
        <v>0</v>
      </c>
    </row>
    <row r="22" spans="1:6" x14ac:dyDescent="0.3">
      <c r="A22" t="s">
        <v>211</v>
      </c>
      <c r="B22" s="2">
        <f>IFERROR(AVERAGEIF(B$26:F$26,"Yes",B$52:F$52),0)</f>
        <v>0</v>
      </c>
    </row>
    <row r="24" spans="1:6" x14ac:dyDescent="0.3">
      <c r="A24" s="1" t="s">
        <v>28</v>
      </c>
      <c r="B24" t="s">
        <v>262</v>
      </c>
      <c r="C24" t="s">
        <v>262</v>
      </c>
      <c r="D24" t="s">
        <v>262</v>
      </c>
      <c r="E24" t="s">
        <v>263</v>
      </c>
      <c r="F24" t="s">
        <v>245</v>
      </c>
    </row>
    <row r="25" spans="1:6" x14ac:dyDescent="0.3">
      <c r="A25" t="s">
        <v>214</v>
      </c>
      <c r="B25" t="s">
        <v>215</v>
      </c>
      <c r="C25" t="s">
        <v>215</v>
      </c>
      <c r="D25" t="s">
        <v>215</v>
      </c>
      <c r="E25" t="s">
        <v>264</v>
      </c>
      <c r="F25" t="s">
        <v>247</v>
      </c>
    </row>
    <row r="26" spans="1:6" x14ac:dyDescent="0.3">
      <c r="A26" t="s">
        <v>21</v>
      </c>
      <c r="B26" t="s">
        <v>217</v>
      </c>
      <c r="C26" t="s">
        <v>217</v>
      </c>
      <c r="D26" t="s">
        <v>217</v>
      </c>
      <c r="E26" t="s">
        <v>138</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1</v>
      </c>
      <c r="C31" s="7">
        <v>1</v>
      </c>
      <c r="D31" s="7">
        <v>1</v>
      </c>
      <c r="E31" s="7">
        <v>1</v>
      </c>
      <c r="F31" s="7">
        <v>1</v>
      </c>
    </row>
    <row r="32" spans="1:6" x14ac:dyDescent="0.3">
      <c r="A32" t="s">
        <v>222</v>
      </c>
      <c r="B32" s="2">
        <v>5</v>
      </c>
      <c r="C32" s="2">
        <v>5</v>
      </c>
      <c r="D32" s="2">
        <v>5</v>
      </c>
      <c r="E32" s="2">
        <v>0</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f>pow_Pebble</f>
        <v>0.5</v>
      </c>
      <c r="F52" s="2">
        <v>0</v>
      </c>
    </row>
    <row r="53" spans="1:6" x14ac:dyDescent="0.3">
      <c r="A53" t="s">
        <v>241</v>
      </c>
      <c r="B53" s="7">
        <v>0</v>
      </c>
      <c r="C53" s="7">
        <v>0</v>
      </c>
      <c r="D53" s="7">
        <v>0</v>
      </c>
      <c r="E53" s="7">
        <v>3</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7.5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7.5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7.5</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0.5</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0</v>
      </c>
      <c r="C55" s="2">
        <f>C$54-C$32*pw_Damage-C$33-C$52*pw_Summon</f>
        <v>0</v>
      </c>
      <c r="D55" s="2">
        <f>D$54-D$32*pw_Damage-D$33-D$52*pw_Summon</f>
        <v>0</v>
      </c>
      <c r="E55" s="2">
        <f>E$54-E$32*pw_Damage-E$33-E$52*pw_Summon</f>
        <v>0</v>
      </c>
      <c r="F55" s="2">
        <f>F$54-F$32*pw_Damage-F$33-F$52*pw_Summon</f>
        <v>1</v>
      </c>
    </row>
    <row r="57" spans="1:6" x14ac:dyDescent="0.3">
      <c r="A57" s="1" t="s">
        <v>30</v>
      </c>
      <c r="B57" s="3" t="s">
        <v>1</v>
      </c>
    </row>
  </sheetData>
  <dataValidations count="5">
    <dataValidation type="list" allowBlank="1" sqref="B10" xr:uid="{00000000-0002-0000-0900-000000000000}">
      <formula1>list_Brain</formula1>
    </dataValidation>
    <dataValidation type="list" allowBlank="1" sqref="B11" xr:uid="{00000000-0002-0000-0900-000001000000}">
      <formula1>list_Targeting</formula1>
    </dataValidation>
    <dataValidation type="list" allowBlank="1" sqref="B12" xr:uid="{00000000-0002-0000-0900-000002000000}">
      <formula1>list_Loot</formula1>
    </dataValidation>
    <dataValidation type="list" allowBlank="1" sqref="B13" xr:uid="{00000000-0002-0000-0900-000003000000}">
      <formula1>list_Role</formula1>
    </dataValidation>
    <dataValidation type="list" allowBlank="1" sqref="B24:F24" xr:uid="{00000000-0002-0000-0900-000004000000}">
      <formula1>list_EnemyCard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163</v>
      </c>
    </row>
    <row r="2" spans="1:2" x14ac:dyDescent="0.3">
      <c r="A2" s="1" t="s">
        <v>119</v>
      </c>
      <c r="B2" t="s">
        <v>138</v>
      </c>
    </row>
    <row r="3" spans="1:2" x14ac:dyDescent="0.3">
      <c r="A3" s="1" t="s">
        <v>118</v>
      </c>
      <c r="B3" t="s">
        <v>164</v>
      </c>
    </row>
    <row r="4" spans="1:2" x14ac:dyDescent="0.3">
      <c r="A4" s="1" t="s">
        <v>202</v>
      </c>
      <c r="B4" t="str">
        <f>IF($B$3="","NEW","Live")</f>
        <v>Live</v>
      </c>
    </row>
    <row r="6" spans="1:2" x14ac:dyDescent="0.3">
      <c r="A6" s="1" t="s">
        <v>203</v>
      </c>
    </row>
    <row r="7" spans="1:2" x14ac:dyDescent="0.3">
      <c r="A7" s="5" t="s">
        <v>120</v>
      </c>
      <c r="B7" t="s">
        <v>165</v>
      </c>
    </row>
    <row r="8" spans="1:2" x14ac:dyDescent="0.3">
      <c r="A8" s="5" t="s">
        <v>121</v>
      </c>
      <c r="B8" t="s">
        <v>265</v>
      </c>
    </row>
    <row r="9" spans="1:2" x14ac:dyDescent="0.3">
      <c r="A9" s="5" t="s">
        <v>205</v>
      </c>
      <c r="B9" t="s">
        <v>206</v>
      </c>
    </row>
    <row r="10" spans="1:2" x14ac:dyDescent="0.3">
      <c r="A10" s="5" t="s">
        <v>123</v>
      </c>
      <c r="B10" t="s">
        <v>139</v>
      </c>
    </row>
    <row r="11" spans="1:2" x14ac:dyDescent="0.3">
      <c r="A11" s="5" t="s">
        <v>124</v>
      </c>
      <c r="B11" t="s">
        <v>166</v>
      </c>
    </row>
    <row r="12" spans="1:2" x14ac:dyDescent="0.3">
      <c r="A12" s="5" t="s">
        <v>125</v>
      </c>
      <c r="B12" t="s">
        <v>1</v>
      </c>
    </row>
    <row r="13" spans="1:2" x14ac:dyDescent="0.3">
      <c r="A13" s="5" t="s">
        <v>19</v>
      </c>
      <c r="B13" t="s">
        <v>142</v>
      </c>
    </row>
    <row r="15" spans="1:2" x14ac:dyDescent="0.3">
      <c r="A15" s="1" t="s">
        <v>15</v>
      </c>
      <c r="B15" t="s">
        <v>261</v>
      </c>
    </row>
    <row r="16" spans="1:2" x14ac:dyDescent="0.3">
      <c r="A16" s="1" t="s">
        <v>17</v>
      </c>
      <c r="B16" s="2">
        <f>IF($B$8="","",ROUND(($B$19*$B$9*pw_ActionScale+$B$8*pw_Health)/pw_Divisor,3))</f>
        <v>3.4119999999999999</v>
      </c>
    </row>
    <row r="17" spans="1:6" x14ac:dyDescent="0.3">
      <c r="A17" t="s">
        <v>207</v>
      </c>
      <c r="B17" s="2">
        <f>IF($B$15="","",ROUND($B$16-$B$15,3))</f>
        <v>0.91200000000000003</v>
      </c>
    </row>
    <row r="18" spans="1:6" x14ac:dyDescent="0.3">
      <c r="B18" s="2"/>
    </row>
    <row r="19" spans="1:6" x14ac:dyDescent="0.3">
      <c r="A19" t="s">
        <v>208</v>
      </c>
      <c r="B19" s="2">
        <f>IFERROR(AVERAGEIF(B$26:F$26,"Yes",B$54:F$54),0)</f>
        <v>16.5</v>
      </c>
    </row>
    <row r="20" spans="1:6" x14ac:dyDescent="0.3">
      <c r="A20" t="s">
        <v>209</v>
      </c>
      <c r="B20" s="2">
        <f>IFERROR(AVERAGEIF(B$26:F$26,"Yes",B$32:F$32),0)</f>
        <v>6</v>
      </c>
    </row>
    <row r="21" spans="1:6" x14ac:dyDescent="0.3">
      <c r="A21" t="s">
        <v>210</v>
      </c>
      <c r="B21" s="2">
        <f>IFERROR(AVERAGEIF(B$26:F$26,"Yes",B$55:F$55),0)</f>
        <v>7.5</v>
      </c>
    </row>
    <row r="22" spans="1:6" x14ac:dyDescent="0.3">
      <c r="A22" t="s">
        <v>211</v>
      </c>
      <c r="B22" s="2">
        <f>IFERROR(AVERAGEIF(B$26:F$26,"Yes",B$52:F$52),0)</f>
        <v>0</v>
      </c>
    </row>
    <row r="24" spans="1:6" x14ac:dyDescent="0.3">
      <c r="A24" s="1" t="s">
        <v>28</v>
      </c>
      <c r="B24" t="s">
        <v>266</v>
      </c>
      <c r="C24" t="s">
        <v>266</v>
      </c>
      <c r="D24" t="s">
        <v>266</v>
      </c>
      <c r="E24" t="s">
        <v>266</v>
      </c>
      <c r="F24" t="s">
        <v>245</v>
      </c>
    </row>
    <row r="25" spans="1:6" x14ac:dyDescent="0.3">
      <c r="A25" t="s">
        <v>214</v>
      </c>
      <c r="B25" t="s">
        <v>267</v>
      </c>
      <c r="C25" t="s">
        <v>267</v>
      </c>
      <c r="D25" t="s">
        <v>267</v>
      </c>
      <c r="E25" t="s">
        <v>267</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1</v>
      </c>
      <c r="C31" s="7">
        <v>1</v>
      </c>
      <c r="D31" s="7">
        <v>1</v>
      </c>
      <c r="E31" s="7">
        <v>1</v>
      </c>
      <c r="F31" s="7">
        <v>1</v>
      </c>
    </row>
    <row r="32" spans="1:6" x14ac:dyDescent="0.3">
      <c r="A32" t="s">
        <v>222</v>
      </c>
      <c r="B32" s="2">
        <v>6</v>
      </c>
      <c r="C32" s="2">
        <v>6</v>
      </c>
      <c r="D32" s="2">
        <v>6</v>
      </c>
      <c r="E32" s="2">
        <v>6</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5</v>
      </c>
      <c r="C36" s="2">
        <v>5</v>
      </c>
      <c r="D36" s="2">
        <v>5</v>
      </c>
      <c r="E36" s="2">
        <v>5</v>
      </c>
      <c r="F36" s="2">
        <v>0</v>
      </c>
    </row>
    <row r="37" spans="1:6" x14ac:dyDescent="0.3">
      <c r="A37" t="s">
        <v>226</v>
      </c>
      <c r="B37" s="2">
        <v>10</v>
      </c>
      <c r="C37" s="2">
        <v>10</v>
      </c>
      <c r="D37" s="2">
        <v>10</v>
      </c>
      <c r="E37" s="2">
        <v>10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16.5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16.5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16.5</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16.5</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7.5</v>
      </c>
      <c r="C55" s="2">
        <f>C$54-C$32*pw_Damage-C$33-C$52*pw_Summon</f>
        <v>7.5</v>
      </c>
      <c r="D55" s="2">
        <f>D$54-D$32*pw_Damage-D$33-D$52*pw_Summon</f>
        <v>7.5</v>
      </c>
      <c r="E55" s="2">
        <f>E$54-E$32*pw_Damage-E$33-E$52*pw_Summon</f>
        <v>7.5</v>
      </c>
      <c r="F55" s="2">
        <f>F$54-F$32*pw_Damage-F$33-F$52*pw_Summon</f>
        <v>1</v>
      </c>
    </row>
    <row r="57" spans="1:6" x14ac:dyDescent="0.3">
      <c r="A57" s="1" t="s">
        <v>30</v>
      </c>
      <c r="B57" s="3" t="s">
        <v>1</v>
      </c>
    </row>
  </sheetData>
  <dataValidations count="5">
    <dataValidation type="list" allowBlank="1" sqref="B10" xr:uid="{00000000-0002-0000-0A00-000000000000}">
      <formula1>list_Brain</formula1>
    </dataValidation>
    <dataValidation type="list" allowBlank="1" sqref="B11" xr:uid="{00000000-0002-0000-0A00-000001000000}">
      <formula1>list_Targeting</formula1>
    </dataValidation>
    <dataValidation type="list" allowBlank="1" sqref="B12" xr:uid="{00000000-0002-0000-0A00-000002000000}">
      <formula1>list_Loot</formula1>
    </dataValidation>
    <dataValidation type="list" allowBlank="1" sqref="B13" xr:uid="{00000000-0002-0000-0A00-000003000000}">
      <formula1>list_Role</formula1>
    </dataValidation>
    <dataValidation type="list" allowBlank="1" sqref="B24:F24" xr:uid="{00000000-0002-0000-0A00-000004000000}">
      <formula1>list_EnemyCard</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167</v>
      </c>
    </row>
    <row r="2" spans="1:2" x14ac:dyDescent="0.3">
      <c r="A2" s="1" t="s">
        <v>119</v>
      </c>
      <c r="B2" t="s">
        <v>138</v>
      </c>
    </row>
    <row r="3" spans="1:2" x14ac:dyDescent="0.3">
      <c r="A3" s="1" t="s">
        <v>118</v>
      </c>
      <c r="B3" t="s">
        <v>168</v>
      </c>
    </row>
    <row r="4" spans="1:2" x14ac:dyDescent="0.3">
      <c r="A4" s="1" t="s">
        <v>202</v>
      </c>
      <c r="B4" t="str">
        <f>IF($B$3="","NEW","Live")</f>
        <v>Live</v>
      </c>
    </row>
    <row r="6" spans="1:2" x14ac:dyDescent="0.3">
      <c r="A6" s="1" t="s">
        <v>203</v>
      </c>
    </row>
    <row r="7" spans="1:2" x14ac:dyDescent="0.3">
      <c r="A7" s="5" t="s">
        <v>120</v>
      </c>
      <c r="B7" t="s">
        <v>169</v>
      </c>
    </row>
    <row r="8" spans="1:2" x14ac:dyDescent="0.3">
      <c r="A8" s="5" t="s">
        <v>121</v>
      </c>
      <c r="B8" t="s">
        <v>268</v>
      </c>
    </row>
    <row r="9" spans="1:2" x14ac:dyDescent="0.3">
      <c r="A9" s="5" t="s">
        <v>205</v>
      </c>
      <c r="B9" t="s">
        <v>206</v>
      </c>
    </row>
    <row r="10" spans="1:2" x14ac:dyDescent="0.3">
      <c r="A10" s="5" t="s">
        <v>123</v>
      </c>
      <c r="B10" t="s">
        <v>139</v>
      </c>
    </row>
    <row r="11" spans="1:2" x14ac:dyDescent="0.3">
      <c r="A11" s="5" t="s">
        <v>124</v>
      </c>
      <c r="B11" t="s">
        <v>159</v>
      </c>
    </row>
    <row r="12" spans="1:2" x14ac:dyDescent="0.3">
      <c r="A12" s="5" t="s">
        <v>125</v>
      </c>
      <c r="B12" t="s">
        <v>1</v>
      </c>
    </row>
    <row r="13" spans="1:2" x14ac:dyDescent="0.3">
      <c r="A13" s="5" t="s">
        <v>19</v>
      </c>
      <c r="B13" t="s">
        <v>153</v>
      </c>
    </row>
    <row r="15" spans="1:2" x14ac:dyDescent="0.3">
      <c r="A15" s="1" t="s">
        <v>15</v>
      </c>
      <c r="B15" t="s">
        <v>256</v>
      </c>
    </row>
    <row r="16" spans="1:2" x14ac:dyDescent="0.3">
      <c r="A16" s="1" t="s">
        <v>17</v>
      </c>
      <c r="B16" s="2">
        <f>IF($B$8="","",ROUND(($B$19*$B$9*pw_ActionScale+$B$8*pw_Health)/pw_Divisor,3))</f>
        <v>2.524</v>
      </c>
    </row>
    <row r="17" spans="1:6" x14ac:dyDescent="0.3">
      <c r="A17" t="s">
        <v>207</v>
      </c>
      <c r="B17" s="2">
        <f>IF($B$15="","",ROUND($B$16-$B$15,3))</f>
        <v>1.024</v>
      </c>
    </row>
    <row r="18" spans="1:6" x14ac:dyDescent="0.3">
      <c r="B18" s="2"/>
    </row>
    <row r="19" spans="1:6" x14ac:dyDescent="0.3">
      <c r="A19" t="s">
        <v>208</v>
      </c>
      <c r="B19" s="2">
        <f>IFERROR(AVERAGEIF(B$26:F$26,"Yes",B$54:F$54),0)</f>
        <v>13.95</v>
      </c>
    </row>
    <row r="20" spans="1:6" x14ac:dyDescent="0.3">
      <c r="A20" t="s">
        <v>209</v>
      </c>
      <c r="B20" s="2">
        <f>IFERROR(AVERAGEIF(B$26:F$26,"Yes",B$32:F$32),0)</f>
        <v>1</v>
      </c>
    </row>
    <row r="21" spans="1:6" x14ac:dyDescent="0.3">
      <c r="A21" t="s">
        <v>210</v>
      </c>
      <c r="B21" s="2">
        <f>IFERROR(AVERAGEIF(B$26:F$26,"Yes",B$55:F$55),0)</f>
        <v>6.45</v>
      </c>
    </row>
    <row r="22" spans="1:6" x14ac:dyDescent="0.3">
      <c r="A22" t="s">
        <v>211</v>
      </c>
      <c r="B22" s="2">
        <f>IFERROR(AVERAGEIF(B$26:F$26,"Yes",B$52:F$52),0)</f>
        <v>0</v>
      </c>
    </row>
    <row r="24" spans="1:6" x14ac:dyDescent="0.3">
      <c r="A24" s="1" t="s">
        <v>28</v>
      </c>
      <c r="B24" t="s">
        <v>269</v>
      </c>
      <c r="C24" t="s">
        <v>269</v>
      </c>
      <c r="D24" t="s">
        <v>270</v>
      </c>
      <c r="E24" t="s">
        <v>270</v>
      </c>
      <c r="F24" t="s">
        <v>213</v>
      </c>
    </row>
    <row r="25" spans="1:6" x14ac:dyDescent="0.3">
      <c r="A25" t="s">
        <v>214</v>
      </c>
      <c r="B25" t="s">
        <v>271</v>
      </c>
      <c r="C25" t="s">
        <v>271</v>
      </c>
      <c r="D25" t="s">
        <v>272</v>
      </c>
      <c r="E25" t="s">
        <v>272</v>
      </c>
      <c r="F25" t="s">
        <v>216</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4</v>
      </c>
      <c r="C30" s="7">
        <v>4</v>
      </c>
      <c r="D30" s="7">
        <v>4</v>
      </c>
      <c r="E30" s="7">
        <v>4</v>
      </c>
      <c r="F30" s="7">
        <v>2</v>
      </c>
    </row>
    <row r="31" spans="1:6" x14ac:dyDescent="0.3">
      <c r="A31" t="s">
        <v>221</v>
      </c>
      <c r="B31" s="7">
        <v>9</v>
      </c>
      <c r="C31" s="7">
        <v>9</v>
      </c>
      <c r="D31" s="7">
        <v>9</v>
      </c>
      <c r="E31" s="7">
        <v>9</v>
      </c>
      <c r="F31" s="7">
        <v>1</v>
      </c>
    </row>
    <row r="32" spans="1:6" x14ac:dyDescent="0.3">
      <c r="A32" t="s">
        <v>222</v>
      </c>
      <c r="B32" s="2">
        <v>1</v>
      </c>
      <c r="C32" s="2">
        <v>1</v>
      </c>
      <c r="D32" s="2">
        <v>1</v>
      </c>
      <c r="E32" s="2">
        <v>1</v>
      </c>
      <c r="F32" s="2">
        <v>0</v>
      </c>
    </row>
    <row r="33" spans="1:6" x14ac:dyDescent="0.3">
      <c r="A33" t="s">
        <v>114</v>
      </c>
      <c r="B33" s="2">
        <f>IFERROR(VLOOKUP(B$30,range_Power,2,TRUE),0)</f>
        <v>6</v>
      </c>
      <c r="C33" s="2">
        <f>IFERROR(VLOOKUP(C$30,range_Power,2,TRUE),0)</f>
        <v>6</v>
      </c>
      <c r="D33" s="2">
        <f>IFERROR(VLOOKUP(D$30,range_Power,2,TRUE),0)</f>
        <v>6</v>
      </c>
      <c r="E33" s="2">
        <f>IFERROR(VLOOKUP(E$30,range_Power,2,TRUE),0)</f>
        <v>6</v>
      </c>
      <c r="F33" s="2">
        <f>IFERROR(VLOOKUP(F$30,range_Power,2,TRUE),0)</f>
        <v>1.5</v>
      </c>
    </row>
    <row r="34" spans="1:6" x14ac:dyDescent="0.3">
      <c r="A34" t="s">
        <v>223</v>
      </c>
      <c r="B34" s="2">
        <v>0</v>
      </c>
      <c r="C34" s="2">
        <v>0</v>
      </c>
      <c r="D34" s="2">
        <v>6</v>
      </c>
      <c r="E34" s="2">
        <v>6</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1</v>
      </c>
      <c r="C41" s="2">
        <v>1</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2</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12.6</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12.6</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15.3</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15.3</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3.5</v>
      </c>
    </row>
    <row r="55" spans="1:6" x14ac:dyDescent="0.3">
      <c r="A55" t="s">
        <v>243</v>
      </c>
      <c r="B55" s="2">
        <f>B$54-B$32*pw_Damage-B$33-B$52*pw_Summon</f>
        <v>5.0999999999999996</v>
      </c>
      <c r="C55" s="2">
        <f>C$54-C$32*pw_Damage-C$33-C$52*pw_Summon</f>
        <v>5.0999999999999996</v>
      </c>
      <c r="D55" s="2">
        <f>D$54-D$32*pw_Damage-D$33-D$52*pw_Summon</f>
        <v>7.8000000000000007</v>
      </c>
      <c r="E55" s="2">
        <f>E$54-E$32*pw_Damage-E$33-E$52*pw_Summon</f>
        <v>7.8000000000000007</v>
      </c>
      <c r="F55" s="2">
        <f>F$54-F$32*pw_Damage-F$33-F$52*pw_Summon</f>
        <v>2</v>
      </c>
    </row>
    <row r="57" spans="1:6" x14ac:dyDescent="0.3">
      <c r="A57" s="1" t="s">
        <v>30</v>
      </c>
      <c r="B57" s="3" t="s">
        <v>1</v>
      </c>
    </row>
  </sheetData>
  <dataValidations count="5">
    <dataValidation type="list" allowBlank="1" sqref="B10" xr:uid="{00000000-0002-0000-0B00-000000000000}">
      <formula1>list_Brain</formula1>
    </dataValidation>
    <dataValidation type="list" allowBlank="1" sqref="B11" xr:uid="{00000000-0002-0000-0B00-000001000000}">
      <formula1>list_Targeting</formula1>
    </dataValidation>
    <dataValidation type="list" allowBlank="1" sqref="B12" xr:uid="{00000000-0002-0000-0B00-000002000000}">
      <formula1>list_Loot</formula1>
    </dataValidation>
    <dataValidation type="list" allowBlank="1" sqref="B13" xr:uid="{00000000-0002-0000-0B00-000003000000}">
      <formula1>list_Role</formula1>
    </dataValidation>
    <dataValidation type="list" allowBlank="1" sqref="B24:F24" xr:uid="{00000000-0002-0000-0B00-000004000000}">
      <formula1>list_EnemyCard</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170</v>
      </c>
    </row>
    <row r="2" spans="1:2" x14ac:dyDescent="0.3">
      <c r="A2" s="1" t="s">
        <v>119</v>
      </c>
      <c r="B2" t="s">
        <v>138</v>
      </c>
    </row>
    <row r="3" spans="1:2" x14ac:dyDescent="0.3">
      <c r="A3" s="1" t="s">
        <v>118</v>
      </c>
      <c r="B3" t="s">
        <v>171</v>
      </c>
    </row>
    <row r="4" spans="1:2" x14ac:dyDescent="0.3">
      <c r="A4" s="1" t="s">
        <v>202</v>
      </c>
      <c r="B4" t="str">
        <f>IF($B$3="","NEW","Live")</f>
        <v>Live</v>
      </c>
    </row>
    <row r="6" spans="1:2" x14ac:dyDescent="0.3">
      <c r="A6" s="1" t="s">
        <v>203</v>
      </c>
    </row>
    <row r="7" spans="1:2" x14ac:dyDescent="0.3">
      <c r="A7" s="5" t="s">
        <v>120</v>
      </c>
      <c r="B7" t="s">
        <v>170</v>
      </c>
    </row>
    <row r="8" spans="1:2" x14ac:dyDescent="0.3">
      <c r="A8" s="5" t="s">
        <v>121</v>
      </c>
      <c r="B8" t="s">
        <v>273</v>
      </c>
    </row>
    <row r="9" spans="1:2" x14ac:dyDescent="0.3">
      <c r="A9" s="5" t="s">
        <v>205</v>
      </c>
      <c r="B9" t="s">
        <v>206</v>
      </c>
    </row>
    <row r="10" spans="1:2" x14ac:dyDescent="0.3">
      <c r="A10" s="5" t="s">
        <v>123</v>
      </c>
      <c r="B10" t="s">
        <v>139</v>
      </c>
    </row>
    <row r="11" spans="1:2" x14ac:dyDescent="0.3">
      <c r="A11" s="5" t="s">
        <v>124</v>
      </c>
      <c r="B11" t="s">
        <v>172</v>
      </c>
    </row>
    <row r="12" spans="1:2" x14ac:dyDescent="0.3">
      <c r="A12" s="5" t="s">
        <v>125</v>
      </c>
      <c r="B12" t="s">
        <v>1</v>
      </c>
    </row>
    <row r="13" spans="1:2" x14ac:dyDescent="0.3">
      <c r="A13" s="5" t="s">
        <v>19</v>
      </c>
      <c r="B13" t="s">
        <v>142</v>
      </c>
    </row>
    <row r="15" spans="1:2" x14ac:dyDescent="0.3">
      <c r="A15" s="1" t="s">
        <v>15</v>
      </c>
      <c r="B15" t="s">
        <v>249</v>
      </c>
    </row>
    <row r="16" spans="1:2" x14ac:dyDescent="0.3">
      <c r="A16" s="1" t="s">
        <v>17</v>
      </c>
      <c r="B16" s="2">
        <f>IF($B$8="","",ROUND(($B$19*$B$9*pw_ActionScale+$B$8*pw_Health)/pw_Divisor,3))</f>
        <v>2.4409999999999998</v>
      </c>
    </row>
    <row r="17" spans="1:6" x14ac:dyDescent="0.3">
      <c r="A17" t="s">
        <v>207</v>
      </c>
      <c r="B17" s="2">
        <f>IF($B$15="","",ROUND($B$16-$B$15,3))</f>
        <v>0.441</v>
      </c>
    </row>
    <row r="18" spans="1:6" x14ac:dyDescent="0.3">
      <c r="B18" s="2"/>
    </row>
    <row r="19" spans="1:6" x14ac:dyDescent="0.3">
      <c r="A19" t="s">
        <v>208</v>
      </c>
      <c r="B19" s="2">
        <f>IFERROR(AVERAGEIF(B$26:F$26,"Yes",B$54:F$54),0)</f>
        <v>12</v>
      </c>
    </row>
    <row r="20" spans="1:6" x14ac:dyDescent="0.3">
      <c r="A20" t="s">
        <v>209</v>
      </c>
      <c r="B20" s="2">
        <f>IFERROR(AVERAGEIF(B$26:F$26,"Yes",B$32:F$32),0)</f>
        <v>7</v>
      </c>
    </row>
    <row r="21" spans="1:6" x14ac:dyDescent="0.3">
      <c r="A21" t="s">
        <v>210</v>
      </c>
      <c r="B21" s="2">
        <f>IFERROR(AVERAGEIF(B$26:F$26,"Yes",B$55:F$55),0)</f>
        <v>1.5</v>
      </c>
    </row>
    <row r="22" spans="1:6" x14ac:dyDescent="0.3">
      <c r="A22" t="s">
        <v>211</v>
      </c>
      <c r="B22" s="2">
        <f>IFERROR(AVERAGEIF(B$26:F$26,"Yes",B$52:F$52),0)</f>
        <v>0</v>
      </c>
    </row>
    <row r="24" spans="1:6" x14ac:dyDescent="0.3">
      <c r="A24" s="1" t="s">
        <v>28</v>
      </c>
      <c r="B24" t="s">
        <v>274</v>
      </c>
      <c r="C24" t="s">
        <v>274</v>
      </c>
      <c r="D24" t="s">
        <v>274</v>
      </c>
      <c r="E24" t="s">
        <v>274</v>
      </c>
      <c r="F24" t="s">
        <v>245</v>
      </c>
    </row>
    <row r="25" spans="1:6" x14ac:dyDescent="0.3">
      <c r="A25" t="s">
        <v>214</v>
      </c>
      <c r="B25" t="s">
        <v>275</v>
      </c>
      <c r="C25" t="s">
        <v>275</v>
      </c>
      <c r="D25" t="s">
        <v>275</v>
      </c>
      <c r="E25" t="s">
        <v>275</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1</v>
      </c>
      <c r="C31" s="7">
        <v>1</v>
      </c>
      <c r="D31" s="7">
        <v>1</v>
      </c>
      <c r="E31" s="7">
        <v>1</v>
      </c>
      <c r="F31" s="7">
        <v>1</v>
      </c>
    </row>
    <row r="32" spans="1:6" x14ac:dyDescent="0.3">
      <c r="A32" t="s">
        <v>222</v>
      </c>
      <c r="B32" s="2">
        <v>7</v>
      </c>
      <c r="C32" s="2">
        <v>7</v>
      </c>
      <c r="D32" s="2">
        <v>7</v>
      </c>
      <c r="E32" s="2">
        <v>7</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1</v>
      </c>
      <c r="C44" s="2">
        <v>1</v>
      </c>
      <c r="D44" s="2">
        <v>1</v>
      </c>
      <c r="E44" s="2">
        <v>1</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12</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12</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12</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12</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1.5</v>
      </c>
      <c r="C55" s="2">
        <f>C$54-C$32*pw_Damage-C$33-C$52*pw_Summon</f>
        <v>1.5</v>
      </c>
      <c r="D55" s="2">
        <f>D$54-D$32*pw_Damage-D$33-D$52*pw_Summon</f>
        <v>1.5</v>
      </c>
      <c r="E55" s="2">
        <f>E$54-E$32*pw_Damage-E$33-E$52*pw_Summon</f>
        <v>1.5</v>
      </c>
      <c r="F55" s="2">
        <f>F$54-F$32*pw_Damage-F$33-F$52*pw_Summon</f>
        <v>1</v>
      </c>
    </row>
    <row r="57" spans="1:6" x14ac:dyDescent="0.3">
      <c r="A57" s="1" t="s">
        <v>30</v>
      </c>
      <c r="B57" s="3" t="s">
        <v>1</v>
      </c>
    </row>
  </sheetData>
  <dataValidations count="5">
    <dataValidation type="list" allowBlank="1" sqref="B10" xr:uid="{00000000-0002-0000-0C00-000000000000}">
      <formula1>list_Brain</formula1>
    </dataValidation>
    <dataValidation type="list" allowBlank="1" sqref="B11" xr:uid="{00000000-0002-0000-0C00-000001000000}">
      <formula1>list_Targeting</formula1>
    </dataValidation>
    <dataValidation type="list" allowBlank="1" sqref="B12" xr:uid="{00000000-0002-0000-0C00-000002000000}">
      <formula1>list_Loot</formula1>
    </dataValidation>
    <dataValidation type="list" allowBlank="1" sqref="B13" xr:uid="{00000000-0002-0000-0C00-000003000000}">
      <formula1>list_Role</formula1>
    </dataValidation>
    <dataValidation type="list" allowBlank="1" sqref="B24:F24" xr:uid="{00000000-0002-0000-0C00-000004000000}">
      <formula1>list_EnemyCard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173</v>
      </c>
    </row>
    <row r="2" spans="1:2" x14ac:dyDescent="0.3">
      <c r="A2" s="1" t="s">
        <v>119</v>
      </c>
      <c r="B2" t="s">
        <v>138</v>
      </c>
    </row>
    <row r="3" spans="1:2" x14ac:dyDescent="0.3">
      <c r="A3" s="1" t="s">
        <v>118</v>
      </c>
      <c r="B3" t="s">
        <v>174</v>
      </c>
    </row>
    <row r="4" spans="1:2" x14ac:dyDescent="0.3">
      <c r="A4" s="1" t="s">
        <v>202</v>
      </c>
      <c r="B4" t="str">
        <f>IF($B$3="","NEW","Live")</f>
        <v>Live</v>
      </c>
    </row>
    <row r="6" spans="1:2" x14ac:dyDescent="0.3">
      <c r="A6" s="1" t="s">
        <v>203</v>
      </c>
    </row>
    <row r="7" spans="1:2" x14ac:dyDescent="0.3">
      <c r="A7" s="5" t="s">
        <v>120</v>
      </c>
      <c r="B7" t="s">
        <v>173</v>
      </c>
    </row>
    <row r="8" spans="1:2" x14ac:dyDescent="0.3">
      <c r="A8" s="5" t="s">
        <v>121</v>
      </c>
      <c r="B8" t="s">
        <v>268</v>
      </c>
    </row>
    <row r="9" spans="1:2" x14ac:dyDescent="0.3">
      <c r="A9" s="5" t="s">
        <v>205</v>
      </c>
      <c r="B9" t="s">
        <v>206</v>
      </c>
    </row>
    <row r="10" spans="1:2" x14ac:dyDescent="0.3">
      <c r="A10" s="5" t="s">
        <v>123</v>
      </c>
      <c r="B10" t="s">
        <v>151</v>
      </c>
    </row>
    <row r="11" spans="1:2" x14ac:dyDescent="0.3">
      <c r="A11" s="5" t="s">
        <v>124</v>
      </c>
      <c r="B11" t="s">
        <v>146</v>
      </c>
    </row>
    <row r="12" spans="1:2" x14ac:dyDescent="0.3">
      <c r="A12" s="5" t="s">
        <v>125</v>
      </c>
      <c r="B12" t="s">
        <v>141</v>
      </c>
    </row>
    <row r="13" spans="1:2" x14ac:dyDescent="0.3">
      <c r="A13" s="5" t="s">
        <v>19</v>
      </c>
      <c r="B13" t="s">
        <v>142</v>
      </c>
    </row>
    <row r="15" spans="1:2" x14ac:dyDescent="0.3">
      <c r="A15" s="1" t="s">
        <v>15</v>
      </c>
      <c r="B15" t="s">
        <v>249</v>
      </c>
    </row>
    <row r="16" spans="1:2" x14ac:dyDescent="0.3">
      <c r="A16" s="1" t="s">
        <v>17</v>
      </c>
      <c r="B16" s="2">
        <f>IF($B$8="","",ROUND(($B$19*$B$9*pw_ActionScale+$B$8*pw_Health)/pw_Divisor,3))</f>
        <v>2.3879999999999999</v>
      </c>
    </row>
    <row r="17" spans="1:6" x14ac:dyDescent="0.3">
      <c r="A17" t="s">
        <v>207</v>
      </c>
      <c r="B17" s="2">
        <f>IF($B$15="","",ROUND($B$16-$B$15,3))</f>
        <v>0.38800000000000001</v>
      </c>
    </row>
    <row r="18" spans="1:6" x14ac:dyDescent="0.3">
      <c r="B18" s="2"/>
    </row>
    <row r="19" spans="1:6" x14ac:dyDescent="0.3">
      <c r="A19" t="s">
        <v>208</v>
      </c>
      <c r="B19" s="2">
        <f>IFERROR(AVERAGEIF(B$26:F$26,"Yes",B$54:F$54),0)</f>
        <v>12.8</v>
      </c>
    </row>
    <row r="20" spans="1:6" x14ac:dyDescent="0.3">
      <c r="A20" t="s">
        <v>209</v>
      </c>
      <c r="B20" s="2">
        <f>IFERROR(AVERAGEIF(B$26:F$26,"Yes",B$32:F$32),0)</f>
        <v>0</v>
      </c>
    </row>
    <row r="21" spans="1:6" x14ac:dyDescent="0.3">
      <c r="A21" t="s">
        <v>210</v>
      </c>
      <c r="B21" s="2">
        <f>IFERROR(AVERAGEIF(B$26:F$26,"Yes",B$55:F$55),0)</f>
        <v>7.8000000000000007</v>
      </c>
    </row>
    <row r="22" spans="1:6" x14ac:dyDescent="0.3">
      <c r="A22" t="s">
        <v>211</v>
      </c>
      <c r="B22" s="2">
        <f>IFERROR(AVERAGEIF(B$26:F$26,"Yes",B$52:F$52),0)</f>
        <v>0</v>
      </c>
    </row>
    <row r="24" spans="1:6" x14ac:dyDescent="0.3">
      <c r="A24" s="1" t="s">
        <v>28</v>
      </c>
      <c r="B24" t="s">
        <v>276</v>
      </c>
      <c r="C24" t="s">
        <v>276</v>
      </c>
      <c r="D24" t="s">
        <v>276</v>
      </c>
      <c r="E24" t="s">
        <v>276</v>
      </c>
      <c r="F24" t="s">
        <v>245</v>
      </c>
    </row>
    <row r="25" spans="1:6" x14ac:dyDescent="0.3">
      <c r="A25" t="s">
        <v>214</v>
      </c>
      <c r="B25" t="s">
        <v>277</v>
      </c>
      <c r="C25" t="s">
        <v>277</v>
      </c>
      <c r="D25" t="s">
        <v>277</v>
      </c>
      <c r="E25" t="s">
        <v>277</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3</v>
      </c>
      <c r="C30" s="7">
        <v>3</v>
      </c>
      <c r="D30" s="7">
        <v>3</v>
      </c>
      <c r="E30" s="7">
        <v>3</v>
      </c>
      <c r="F30" s="7">
        <v>1</v>
      </c>
    </row>
    <row r="31" spans="1:6" x14ac:dyDescent="0.3">
      <c r="A31" t="s">
        <v>221</v>
      </c>
      <c r="B31" s="7">
        <v>9</v>
      </c>
      <c r="C31" s="7">
        <v>9</v>
      </c>
      <c r="D31" s="7">
        <v>9</v>
      </c>
      <c r="E31" s="7">
        <v>9</v>
      </c>
      <c r="F31" s="7">
        <v>1</v>
      </c>
    </row>
    <row r="32" spans="1:6" x14ac:dyDescent="0.3">
      <c r="A32" t="s">
        <v>222</v>
      </c>
      <c r="B32" s="2">
        <v>0</v>
      </c>
      <c r="C32" s="2">
        <v>0</v>
      </c>
      <c r="D32" s="2">
        <v>0</v>
      </c>
      <c r="E32" s="2">
        <v>0</v>
      </c>
      <c r="F32" s="2">
        <v>0</v>
      </c>
    </row>
    <row r="33" spans="1:6" x14ac:dyDescent="0.3">
      <c r="A33" t="s">
        <v>114</v>
      </c>
      <c r="B33" s="2">
        <f>IFERROR(VLOOKUP(B$30,range_Power,2,TRUE),0)</f>
        <v>5</v>
      </c>
      <c r="C33" s="2">
        <f>IFERROR(VLOOKUP(C$30,range_Power,2,TRUE),0)</f>
        <v>5</v>
      </c>
      <c r="D33" s="2">
        <f>IFERROR(VLOOKUP(D$30,range_Power,2,TRUE),0)</f>
        <v>5</v>
      </c>
      <c r="E33" s="2">
        <f>IFERROR(VLOOKUP(E$30,range_Power,2,TRUE),0)</f>
        <v>5</v>
      </c>
      <c r="F33" s="2">
        <f>IFERROR(VLOOKUP(F$30,range_Power,2,TRUE),0)</f>
        <v>0</v>
      </c>
    </row>
    <row r="34" spans="1:6" x14ac:dyDescent="0.3">
      <c r="A34" t="s">
        <v>223</v>
      </c>
      <c r="B34" s="2">
        <v>6</v>
      </c>
      <c r="C34" s="2">
        <v>6</v>
      </c>
      <c r="D34" s="2">
        <v>6</v>
      </c>
      <c r="E34" s="2">
        <v>6</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12.8</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12.8</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12.8</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12.8</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7.8000000000000007</v>
      </c>
      <c r="C55" s="2">
        <f>C$54-C$32*pw_Damage-C$33-C$52*pw_Summon</f>
        <v>7.8000000000000007</v>
      </c>
      <c r="D55" s="2">
        <f>D$54-D$32*pw_Damage-D$33-D$52*pw_Summon</f>
        <v>7.8000000000000007</v>
      </c>
      <c r="E55" s="2">
        <f>E$54-E$32*pw_Damage-E$33-E$52*pw_Summon</f>
        <v>7.8000000000000007</v>
      </c>
      <c r="F55" s="2">
        <f>F$54-F$32*pw_Damage-F$33-F$52*pw_Summon</f>
        <v>1</v>
      </c>
    </row>
    <row r="57" spans="1:6" x14ac:dyDescent="0.3">
      <c r="A57" s="1" t="s">
        <v>30</v>
      </c>
      <c r="B57" s="3" t="s">
        <v>1</v>
      </c>
    </row>
  </sheetData>
  <dataValidations count="5">
    <dataValidation type="list" allowBlank="1" sqref="B10" xr:uid="{00000000-0002-0000-0D00-000000000000}">
      <formula1>list_Brain</formula1>
    </dataValidation>
    <dataValidation type="list" allowBlank="1" sqref="B11" xr:uid="{00000000-0002-0000-0D00-000001000000}">
      <formula1>list_Targeting</formula1>
    </dataValidation>
    <dataValidation type="list" allowBlank="1" sqref="B12" xr:uid="{00000000-0002-0000-0D00-000002000000}">
      <formula1>list_Loot</formula1>
    </dataValidation>
    <dataValidation type="list" allowBlank="1" sqref="B13" xr:uid="{00000000-0002-0000-0D00-000003000000}">
      <formula1>list_Role</formula1>
    </dataValidation>
    <dataValidation type="list" allowBlank="1" sqref="B24:F24" xr:uid="{00000000-0002-0000-0D00-000004000000}">
      <formula1>list_EnemyCard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175</v>
      </c>
    </row>
    <row r="2" spans="1:2" x14ac:dyDescent="0.3">
      <c r="A2" s="1" t="s">
        <v>119</v>
      </c>
      <c r="B2" t="s">
        <v>138</v>
      </c>
    </row>
    <row r="3" spans="1:2" x14ac:dyDescent="0.3">
      <c r="A3" s="1" t="s">
        <v>118</v>
      </c>
      <c r="B3" t="s">
        <v>176</v>
      </c>
    </row>
    <row r="4" spans="1:2" x14ac:dyDescent="0.3">
      <c r="A4" s="1" t="s">
        <v>202</v>
      </c>
      <c r="B4" t="str">
        <f>IF($B$3="","NEW","Live")</f>
        <v>Live</v>
      </c>
    </row>
    <row r="6" spans="1:2" x14ac:dyDescent="0.3">
      <c r="A6" s="1" t="s">
        <v>203</v>
      </c>
    </row>
    <row r="7" spans="1:2" x14ac:dyDescent="0.3">
      <c r="A7" s="5" t="s">
        <v>120</v>
      </c>
      <c r="B7" t="s">
        <v>175</v>
      </c>
    </row>
    <row r="8" spans="1:2" x14ac:dyDescent="0.3">
      <c r="A8" s="5" t="s">
        <v>121</v>
      </c>
      <c r="B8" t="s">
        <v>278</v>
      </c>
    </row>
    <row r="9" spans="1:2" x14ac:dyDescent="0.3">
      <c r="A9" s="5" t="s">
        <v>205</v>
      </c>
      <c r="B9" t="s">
        <v>206</v>
      </c>
    </row>
    <row r="10" spans="1:2" x14ac:dyDescent="0.3">
      <c r="A10" s="5" t="s">
        <v>123</v>
      </c>
      <c r="B10" t="s">
        <v>139</v>
      </c>
    </row>
    <row r="11" spans="1:2" x14ac:dyDescent="0.3">
      <c r="A11" s="5" t="s">
        <v>124</v>
      </c>
      <c r="B11" t="s">
        <v>140</v>
      </c>
    </row>
    <row r="12" spans="1:2" x14ac:dyDescent="0.3">
      <c r="A12" s="5" t="s">
        <v>125</v>
      </c>
      <c r="B12" t="s">
        <v>1</v>
      </c>
    </row>
    <row r="13" spans="1:2" x14ac:dyDescent="0.3">
      <c r="A13" s="5" t="s">
        <v>19</v>
      </c>
      <c r="B13" t="s">
        <v>142</v>
      </c>
    </row>
    <row r="15" spans="1:2" x14ac:dyDescent="0.3">
      <c r="A15" s="1" t="s">
        <v>15</v>
      </c>
      <c r="B15" t="s">
        <v>279</v>
      </c>
    </row>
    <row r="16" spans="1:2" x14ac:dyDescent="0.3">
      <c r="A16" s="1" t="s">
        <v>17</v>
      </c>
      <c r="B16" s="2">
        <f>IF($B$8="","",ROUND(($B$19*$B$9*pw_ActionScale+$B$8*pw_Health)/pw_Divisor,3))</f>
        <v>0.5</v>
      </c>
    </row>
    <row r="17" spans="1:6" x14ac:dyDescent="0.3">
      <c r="A17" t="s">
        <v>207</v>
      </c>
      <c r="B17" s="2">
        <f>IF($B$15="","",ROUND($B$16-$B$15,3))</f>
        <v>0</v>
      </c>
    </row>
    <row r="18" spans="1:6" x14ac:dyDescent="0.3">
      <c r="B18" s="2"/>
    </row>
    <row r="19" spans="1:6" x14ac:dyDescent="0.3">
      <c r="A19" t="s">
        <v>208</v>
      </c>
      <c r="B19" s="2">
        <f>IFERROR(AVERAGEIF(B$26:F$26,"Yes",B$54:F$54),0)</f>
        <v>3</v>
      </c>
    </row>
    <row r="20" spans="1:6" x14ac:dyDescent="0.3">
      <c r="A20" t="s">
        <v>209</v>
      </c>
      <c r="B20" s="2">
        <f>IFERROR(AVERAGEIF(B$26:F$26,"Yes",B$32:F$32),0)</f>
        <v>2</v>
      </c>
    </row>
    <row r="21" spans="1:6" x14ac:dyDescent="0.3">
      <c r="A21" t="s">
        <v>210</v>
      </c>
      <c r="B21" s="2">
        <f>IFERROR(AVERAGEIF(B$26:F$26,"Yes",B$55:F$55),0)</f>
        <v>0</v>
      </c>
    </row>
    <row r="22" spans="1:6" x14ac:dyDescent="0.3">
      <c r="A22" t="s">
        <v>211</v>
      </c>
      <c r="B22" s="2">
        <f>IFERROR(AVERAGEIF(B$26:F$26,"Yes",B$52:F$52),0)</f>
        <v>0</v>
      </c>
    </row>
    <row r="24" spans="1:6" x14ac:dyDescent="0.3">
      <c r="A24" s="1" t="s">
        <v>28</v>
      </c>
      <c r="B24" t="s">
        <v>280</v>
      </c>
      <c r="C24" t="s">
        <v>280</v>
      </c>
      <c r="D24" t="s">
        <v>280</v>
      </c>
      <c r="E24" t="s">
        <v>280</v>
      </c>
      <c r="F24" t="s">
        <v>213</v>
      </c>
    </row>
    <row r="25" spans="1:6" x14ac:dyDescent="0.3">
      <c r="A25" t="s">
        <v>214</v>
      </c>
      <c r="B25" t="s">
        <v>281</v>
      </c>
      <c r="C25" t="s">
        <v>281</v>
      </c>
      <c r="D25" t="s">
        <v>281</v>
      </c>
      <c r="E25" t="s">
        <v>281</v>
      </c>
      <c r="F25" t="s">
        <v>216</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2</v>
      </c>
    </row>
    <row r="31" spans="1:6" x14ac:dyDescent="0.3">
      <c r="A31" t="s">
        <v>221</v>
      </c>
      <c r="B31" s="7">
        <v>1</v>
      </c>
      <c r="C31" s="7">
        <v>1</v>
      </c>
      <c r="D31" s="7">
        <v>1</v>
      </c>
      <c r="E31" s="7">
        <v>1</v>
      </c>
      <c r="F31" s="7">
        <v>1</v>
      </c>
    </row>
    <row r="32" spans="1:6" x14ac:dyDescent="0.3">
      <c r="A32" t="s">
        <v>222</v>
      </c>
      <c r="B32" s="2">
        <v>2</v>
      </c>
      <c r="C32" s="2">
        <v>2</v>
      </c>
      <c r="D32" s="2">
        <v>2</v>
      </c>
      <c r="E32" s="2">
        <v>2</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1.5</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2</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3</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3</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3</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3</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3.5</v>
      </c>
    </row>
    <row r="55" spans="1:6" x14ac:dyDescent="0.3">
      <c r="A55" t="s">
        <v>243</v>
      </c>
      <c r="B55" s="2">
        <f>B$54-B$32*pw_Damage-B$33-B$52*pw_Summon</f>
        <v>0</v>
      </c>
      <c r="C55" s="2">
        <f>C$54-C$32*pw_Damage-C$33-C$52*pw_Summon</f>
        <v>0</v>
      </c>
      <c r="D55" s="2">
        <f>D$54-D$32*pw_Damage-D$33-D$52*pw_Summon</f>
        <v>0</v>
      </c>
      <c r="E55" s="2">
        <f>E$54-E$32*pw_Damage-E$33-E$52*pw_Summon</f>
        <v>0</v>
      </c>
      <c r="F55" s="2">
        <f>F$54-F$32*pw_Damage-F$33-F$52*pw_Summon</f>
        <v>2</v>
      </c>
    </row>
    <row r="57" spans="1:6" x14ac:dyDescent="0.3">
      <c r="A57" s="1" t="s">
        <v>30</v>
      </c>
      <c r="B57" s="3" t="s">
        <v>1</v>
      </c>
    </row>
  </sheetData>
  <dataValidations count="5">
    <dataValidation type="list" allowBlank="1" sqref="B10" xr:uid="{00000000-0002-0000-0E00-000000000000}">
      <formula1>list_Brain</formula1>
    </dataValidation>
    <dataValidation type="list" allowBlank="1" sqref="B11" xr:uid="{00000000-0002-0000-0E00-000001000000}">
      <formula1>list_Targeting</formula1>
    </dataValidation>
    <dataValidation type="list" allowBlank="1" sqref="B12" xr:uid="{00000000-0002-0000-0E00-000002000000}">
      <formula1>list_Loot</formula1>
    </dataValidation>
    <dataValidation type="list" allowBlank="1" sqref="B13" xr:uid="{00000000-0002-0000-0E00-000003000000}">
      <formula1>list_Role</formula1>
    </dataValidation>
    <dataValidation type="list" allowBlank="1" sqref="B24:F24" xr:uid="{00000000-0002-0000-0E00-000004000000}">
      <formula1>list_EnemyCard</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178</v>
      </c>
    </row>
    <row r="2" spans="1:2" x14ac:dyDescent="0.3">
      <c r="A2" s="1" t="s">
        <v>119</v>
      </c>
      <c r="B2" t="s">
        <v>138</v>
      </c>
    </row>
    <row r="3" spans="1:2" x14ac:dyDescent="0.3">
      <c r="A3" s="1" t="s">
        <v>118</v>
      </c>
      <c r="B3" t="s">
        <v>179</v>
      </c>
    </row>
    <row r="4" spans="1:2" x14ac:dyDescent="0.3">
      <c r="A4" s="1" t="s">
        <v>202</v>
      </c>
      <c r="B4" t="str">
        <f>IF($B$3="","NEW","Live")</f>
        <v>Live</v>
      </c>
    </row>
    <row r="6" spans="1:2" x14ac:dyDescent="0.3">
      <c r="A6" s="1" t="s">
        <v>203</v>
      </c>
    </row>
    <row r="7" spans="1:2" x14ac:dyDescent="0.3">
      <c r="A7" s="5" t="s">
        <v>120</v>
      </c>
      <c r="B7" t="s">
        <v>180</v>
      </c>
    </row>
    <row r="8" spans="1:2" x14ac:dyDescent="0.3">
      <c r="A8" s="5" t="s">
        <v>121</v>
      </c>
      <c r="B8" t="s">
        <v>252</v>
      </c>
    </row>
    <row r="9" spans="1:2" x14ac:dyDescent="0.3">
      <c r="A9" s="5" t="s">
        <v>205</v>
      </c>
      <c r="B9" t="s">
        <v>206</v>
      </c>
    </row>
    <row r="10" spans="1:2" x14ac:dyDescent="0.3">
      <c r="A10" s="5" t="s">
        <v>123</v>
      </c>
      <c r="B10" t="s">
        <v>139</v>
      </c>
    </row>
    <row r="11" spans="1:2" x14ac:dyDescent="0.3">
      <c r="A11" s="5" t="s">
        <v>124</v>
      </c>
      <c r="B11" t="s">
        <v>146</v>
      </c>
    </row>
    <row r="12" spans="1:2" x14ac:dyDescent="0.3">
      <c r="A12" s="5" t="s">
        <v>125</v>
      </c>
      <c r="B12" t="s">
        <v>141</v>
      </c>
    </row>
    <row r="13" spans="1:2" x14ac:dyDescent="0.3">
      <c r="A13" s="5" t="s">
        <v>19</v>
      </c>
      <c r="B13" t="s">
        <v>142</v>
      </c>
    </row>
    <row r="15" spans="1:2" x14ac:dyDescent="0.3">
      <c r="A15" s="1" t="s">
        <v>15</v>
      </c>
      <c r="B15" t="s">
        <v>256</v>
      </c>
    </row>
    <row r="16" spans="1:2" x14ac:dyDescent="0.3">
      <c r="A16" s="1" t="s">
        <v>17</v>
      </c>
      <c r="B16" s="2">
        <f>IF($B$8="","",ROUND(($B$19*$B$9*pw_ActionScale+$B$8*pw_Health)/pw_Divisor,3))</f>
        <v>1.724</v>
      </c>
    </row>
    <row r="17" spans="1:6" x14ac:dyDescent="0.3">
      <c r="A17" t="s">
        <v>207</v>
      </c>
      <c r="B17" s="2">
        <f>IF($B$15="","",ROUND($B$16-$B$15,3))</f>
        <v>0.224</v>
      </c>
    </row>
    <row r="18" spans="1:6" x14ac:dyDescent="0.3">
      <c r="B18" s="2"/>
    </row>
    <row r="19" spans="1:6" x14ac:dyDescent="0.3">
      <c r="A19" t="s">
        <v>208</v>
      </c>
      <c r="B19" s="2">
        <f>IFERROR(AVERAGEIF(B$26:F$26,"Yes",B$54:F$54),0)</f>
        <v>8.4</v>
      </c>
    </row>
    <row r="20" spans="1:6" x14ac:dyDescent="0.3">
      <c r="A20" t="s">
        <v>209</v>
      </c>
      <c r="B20" s="2">
        <f>IFERROR(AVERAGEIF(B$26:F$26,"Yes",B$32:F$32),0)</f>
        <v>2</v>
      </c>
    </row>
    <row r="21" spans="1:6" x14ac:dyDescent="0.3">
      <c r="A21" t="s">
        <v>210</v>
      </c>
      <c r="B21" s="2">
        <f>IFERROR(AVERAGEIF(B$26:F$26,"Yes",B$55:F$55),0)</f>
        <v>5.4</v>
      </c>
    </row>
    <row r="22" spans="1:6" x14ac:dyDescent="0.3">
      <c r="A22" t="s">
        <v>211</v>
      </c>
      <c r="B22" s="2">
        <f>IFERROR(AVERAGEIF(B$26:F$26,"Yes",B$52:F$52),0)</f>
        <v>0</v>
      </c>
    </row>
    <row r="24" spans="1:6" x14ac:dyDescent="0.3">
      <c r="A24" s="1" t="s">
        <v>28</v>
      </c>
      <c r="B24" t="s">
        <v>328</v>
      </c>
      <c r="C24" t="s">
        <v>328</v>
      </c>
      <c r="D24" t="s">
        <v>328</v>
      </c>
      <c r="E24" t="s">
        <v>328</v>
      </c>
      <c r="F24" t="s">
        <v>245</v>
      </c>
    </row>
    <row r="25" spans="1:6" x14ac:dyDescent="0.3">
      <c r="A25" t="s">
        <v>214</v>
      </c>
      <c r="B25" t="s">
        <v>345</v>
      </c>
      <c r="C25" t="s">
        <v>345</v>
      </c>
      <c r="D25" t="s">
        <v>345</v>
      </c>
      <c r="E25" t="s">
        <v>345</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1</v>
      </c>
      <c r="C31" s="7">
        <v>1</v>
      </c>
      <c r="D31" s="7">
        <v>1</v>
      </c>
      <c r="E31" s="7">
        <v>1</v>
      </c>
      <c r="F31" s="7">
        <v>1</v>
      </c>
    </row>
    <row r="32" spans="1:6" x14ac:dyDescent="0.3">
      <c r="A32" t="s">
        <v>222</v>
      </c>
      <c r="B32" s="2">
        <v>2</v>
      </c>
      <c r="C32" s="2">
        <v>2</v>
      </c>
      <c r="D32" s="2">
        <v>2</v>
      </c>
      <c r="E32" s="2">
        <v>2</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6</v>
      </c>
      <c r="C34" s="2">
        <v>6</v>
      </c>
      <c r="D34" s="2">
        <v>6</v>
      </c>
      <c r="E34" s="2">
        <v>6</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8.4</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8.4</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8.4</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8.4</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5.4</v>
      </c>
      <c r="C55" s="2">
        <f>C$54-C$32*pw_Damage-C$33-C$52*pw_Summon</f>
        <v>5.4</v>
      </c>
      <c r="D55" s="2">
        <f>D$54-D$32*pw_Damage-D$33-D$52*pw_Summon</f>
        <v>5.4</v>
      </c>
      <c r="E55" s="2">
        <f>E$54-E$32*pw_Damage-E$33-E$52*pw_Summon</f>
        <v>5.4</v>
      </c>
      <c r="F55" s="2">
        <f>F$54-F$32*pw_Damage-F$33-F$52*pw_Summon</f>
        <v>1</v>
      </c>
    </row>
    <row r="57" spans="1:6" x14ac:dyDescent="0.3">
      <c r="A57" s="1" t="s">
        <v>30</v>
      </c>
      <c r="B57" s="3" t="s">
        <v>1</v>
      </c>
    </row>
  </sheetData>
  <dataValidations count="5">
    <dataValidation type="list" allowBlank="1" sqref="B10" xr:uid="{00000000-0002-0000-0F00-000000000000}">
      <formula1>list_Brain</formula1>
    </dataValidation>
    <dataValidation type="list" allowBlank="1" sqref="B11" xr:uid="{00000000-0002-0000-0F00-000001000000}">
      <formula1>list_Targeting</formula1>
    </dataValidation>
    <dataValidation type="list" allowBlank="1" sqref="B12" xr:uid="{00000000-0002-0000-0F00-000002000000}">
      <formula1>list_Loot</formula1>
    </dataValidation>
    <dataValidation type="list" allowBlank="1" sqref="B13" xr:uid="{00000000-0002-0000-0F00-000003000000}">
      <formula1>list_Role</formula1>
    </dataValidation>
    <dataValidation type="list" allowBlank="1" sqref="B24:F24" xr:uid="{00000000-0002-0000-0F00-000004000000}">
      <formula1>list_EnemyCard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181</v>
      </c>
    </row>
    <row r="2" spans="1:2" x14ac:dyDescent="0.3">
      <c r="A2" s="1" t="s">
        <v>119</v>
      </c>
      <c r="B2" t="s">
        <v>138</v>
      </c>
    </row>
    <row r="3" spans="1:2" x14ac:dyDescent="0.3">
      <c r="A3" s="1" t="s">
        <v>118</v>
      </c>
      <c r="B3" t="s">
        <v>182</v>
      </c>
    </row>
    <row r="4" spans="1:2" x14ac:dyDescent="0.3">
      <c r="A4" s="1" t="s">
        <v>202</v>
      </c>
      <c r="B4" t="str">
        <f>IF($B$3="","NEW","Live")</f>
        <v>Live</v>
      </c>
    </row>
    <row r="6" spans="1:2" x14ac:dyDescent="0.3">
      <c r="A6" s="1" t="s">
        <v>203</v>
      </c>
    </row>
    <row r="7" spans="1:2" x14ac:dyDescent="0.3">
      <c r="A7" s="5" t="s">
        <v>120</v>
      </c>
      <c r="B7" t="s">
        <v>181</v>
      </c>
    </row>
    <row r="8" spans="1:2" x14ac:dyDescent="0.3">
      <c r="A8" s="5" t="s">
        <v>121</v>
      </c>
      <c r="B8" t="s">
        <v>252</v>
      </c>
    </row>
    <row r="9" spans="1:2" x14ac:dyDescent="0.3">
      <c r="A9" s="5" t="s">
        <v>205</v>
      </c>
      <c r="B9" t="s">
        <v>206</v>
      </c>
    </row>
    <row r="10" spans="1:2" x14ac:dyDescent="0.3">
      <c r="A10" s="5" t="s">
        <v>123</v>
      </c>
      <c r="B10" t="s">
        <v>139</v>
      </c>
    </row>
    <row r="11" spans="1:2" x14ac:dyDescent="0.3">
      <c r="A11" s="5" t="s">
        <v>124</v>
      </c>
      <c r="B11" t="s">
        <v>159</v>
      </c>
    </row>
    <row r="12" spans="1:2" x14ac:dyDescent="0.3">
      <c r="A12" s="5" t="s">
        <v>125</v>
      </c>
      <c r="B12" t="s">
        <v>141</v>
      </c>
    </row>
    <row r="13" spans="1:2" x14ac:dyDescent="0.3">
      <c r="A13" s="5" t="s">
        <v>19</v>
      </c>
      <c r="B13" t="s">
        <v>142</v>
      </c>
    </row>
    <row r="15" spans="1:2" x14ac:dyDescent="0.3">
      <c r="A15" s="1" t="s">
        <v>15</v>
      </c>
      <c r="B15" t="s">
        <v>206</v>
      </c>
    </row>
    <row r="16" spans="1:2" x14ac:dyDescent="0.3">
      <c r="A16" s="1" t="s">
        <v>17</v>
      </c>
      <c r="B16" s="2">
        <f>IF($B$8="","",ROUND(($B$19*$B$9*pw_ActionScale+$B$8*pw_Health)/pw_Divisor,3))</f>
        <v>1.4410000000000001</v>
      </c>
    </row>
    <row r="17" spans="1:6" x14ac:dyDescent="0.3">
      <c r="A17" t="s">
        <v>207</v>
      </c>
      <c r="B17" s="2">
        <f>IF($B$15="","",ROUND($B$16-$B$15,3))</f>
        <v>0.441</v>
      </c>
    </row>
    <row r="18" spans="1:6" x14ac:dyDescent="0.3">
      <c r="B18" s="2"/>
    </row>
    <row r="19" spans="1:6" x14ac:dyDescent="0.3">
      <c r="A19" t="s">
        <v>208</v>
      </c>
      <c r="B19" s="2">
        <f>IFERROR(AVERAGEIF(B$26:F$26,"Yes",B$54:F$54),0)</f>
        <v>6</v>
      </c>
    </row>
    <row r="20" spans="1:6" x14ac:dyDescent="0.3">
      <c r="A20" t="s">
        <v>209</v>
      </c>
      <c r="B20" s="2">
        <f>IFERROR(AVERAGEIF(B$26:F$26,"Yes",B$32:F$32),0)</f>
        <v>4</v>
      </c>
    </row>
    <row r="21" spans="1:6" x14ac:dyDescent="0.3">
      <c r="A21" t="s">
        <v>210</v>
      </c>
      <c r="B21" s="2">
        <f>IFERROR(AVERAGEIF(B$26:F$26,"Yes",B$55:F$55),0)</f>
        <v>0</v>
      </c>
    </row>
    <row r="22" spans="1:6" x14ac:dyDescent="0.3">
      <c r="A22" t="s">
        <v>211</v>
      </c>
      <c r="B22" s="2">
        <f>IFERROR(AVERAGEIF(B$26:F$26,"Yes",B$52:F$52),0)</f>
        <v>0</v>
      </c>
    </row>
    <row r="24" spans="1:6" x14ac:dyDescent="0.3">
      <c r="A24" s="1" t="s">
        <v>28</v>
      </c>
      <c r="B24" t="s">
        <v>325</v>
      </c>
      <c r="C24" t="s">
        <v>325</v>
      </c>
      <c r="D24" t="s">
        <v>325</v>
      </c>
      <c r="E24" t="s">
        <v>325</v>
      </c>
      <c r="F24" t="s">
        <v>245</v>
      </c>
    </row>
    <row r="25" spans="1:6" x14ac:dyDescent="0.3">
      <c r="A25" t="s">
        <v>214</v>
      </c>
      <c r="B25" t="s">
        <v>346</v>
      </c>
      <c r="C25" t="s">
        <v>346</v>
      </c>
      <c r="D25" t="s">
        <v>346</v>
      </c>
      <c r="E25" t="s">
        <v>346</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1</v>
      </c>
      <c r="C31" s="7">
        <v>1</v>
      </c>
      <c r="D31" s="7">
        <v>1</v>
      </c>
      <c r="E31" s="7">
        <v>1</v>
      </c>
      <c r="F31" s="7">
        <v>1</v>
      </c>
    </row>
    <row r="32" spans="1:6" x14ac:dyDescent="0.3">
      <c r="A32" t="s">
        <v>222</v>
      </c>
      <c r="B32" s="2">
        <v>4</v>
      </c>
      <c r="C32" s="2">
        <v>4</v>
      </c>
      <c r="D32" s="2">
        <v>4</v>
      </c>
      <c r="E32" s="2">
        <v>4</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6</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6</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6</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6</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0</v>
      </c>
      <c r="C55" s="2">
        <f>C$54-C$32*pw_Damage-C$33-C$52*pw_Summon</f>
        <v>0</v>
      </c>
      <c r="D55" s="2">
        <f>D$54-D$32*pw_Damage-D$33-D$52*pw_Summon</f>
        <v>0</v>
      </c>
      <c r="E55" s="2">
        <f>E$54-E$32*pw_Damage-E$33-E$52*pw_Summon</f>
        <v>0</v>
      </c>
      <c r="F55" s="2">
        <f>F$54-F$32*pw_Damage-F$33-F$52*pw_Summon</f>
        <v>1</v>
      </c>
    </row>
    <row r="57" spans="1:6" x14ac:dyDescent="0.3">
      <c r="A57" s="1" t="s">
        <v>30</v>
      </c>
      <c r="B57" s="3" t="s">
        <v>1</v>
      </c>
    </row>
  </sheetData>
  <dataValidations count="5">
    <dataValidation type="list" allowBlank="1" sqref="B10" xr:uid="{00000000-0002-0000-1000-000000000000}">
      <formula1>list_Brain</formula1>
    </dataValidation>
    <dataValidation type="list" allowBlank="1" sqref="B11" xr:uid="{00000000-0002-0000-1000-000001000000}">
      <formula1>list_Targeting</formula1>
    </dataValidation>
    <dataValidation type="list" allowBlank="1" sqref="B12" xr:uid="{00000000-0002-0000-1000-000002000000}">
      <formula1>list_Loot</formula1>
    </dataValidation>
    <dataValidation type="list" allowBlank="1" sqref="B13" xr:uid="{00000000-0002-0000-1000-000003000000}">
      <formula1>list_Role</formula1>
    </dataValidation>
    <dataValidation type="list" allowBlank="1" sqref="B24:F24" xr:uid="{00000000-0002-0000-1000-000004000000}">
      <formula1>list_EnemyCard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183</v>
      </c>
    </row>
    <row r="2" spans="1:2" x14ac:dyDescent="0.3">
      <c r="A2" s="1" t="s">
        <v>119</v>
      </c>
      <c r="B2" t="s">
        <v>138</v>
      </c>
    </row>
    <row r="3" spans="1:2" x14ac:dyDescent="0.3">
      <c r="A3" s="1" t="s">
        <v>118</v>
      </c>
      <c r="B3" t="s">
        <v>184</v>
      </c>
    </row>
    <row r="4" spans="1:2" x14ac:dyDescent="0.3">
      <c r="A4" s="1" t="s">
        <v>202</v>
      </c>
      <c r="B4" t="str">
        <f>IF($B$3="","NEW","Live")</f>
        <v>Live</v>
      </c>
    </row>
    <row r="6" spans="1:2" x14ac:dyDescent="0.3">
      <c r="A6" s="1" t="s">
        <v>203</v>
      </c>
    </row>
    <row r="7" spans="1:2" x14ac:dyDescent="0.3">
      <c r="A7" s="5" t="s">
        <v>120</v>
      </c>
      <c r="B7" t="s">
        <v>183</v>
      </c>
    </row>
    <row r="8" spans="1:2" x14ac:dyDescent="0.3">
      <c r="A8" s="5" t="s">
        <v>121</v>
      </c>
      <c r="B8" t="s">
        <v>268</v>
      </c>
    </row>
    <row r="9" spans="1:2" x14ac:dyDescent="0.3">
      <c r="A9" s="5" t="s">
        <v>205</v>
      </c>
      <c r="B9" t="s">
        <v>206</v>
      </c>
    </row>
    <row r="10" spans="1:2" x14ac:dyDescent="0.3">
      <c r="A10" s="5" t="s">
        <v>123</v>
      </c>
      <c r="B10" t="s">
        <v>139</v>
      </c>
    </row>
    <row r="11" spans="1:2" x14ac:dyDescent="0.3">
      <c r="A11" s="5" t="s">
        <v>124</v>
      </c>
      <c r="B11" t="s">
        <v>146</v>
      </c>
    </row>
    <row r="12" spans="1:2" x14ac:dyDescent="0.3">
      <c r="A12" s="5" t="s">
        <v>125</v>
      </c>
      <c r="B12" t="s">
        <v>1</v>
      </c>
    </row>
    <row r="13" spans="1:2" x14ac:dyDescent="0.3">
      <c r="A13" s="5" t="s">
        <v>19</v>
      </c>
      <c r="B13" t="s">
        <v>142</v>
      </c>
    </row>
    <row r="15" spans="1:2" x14ac:dyDescent="0.3">
      <c r="A15" s="1" t="s">
        <v>15</v>
      </c>
      <c r="B15" t="s">
        <v>256</v>
      </c>
    </row>
    <row r="16" spans="1:2" x14ac:dyDescent="0.3">
      <c r="A16" s="1" t="s">
        <v>17</v>
      </c>
      <c r="B16" s="2">
        <f>IF($B$8="","",ROUND(($B$19*$B$9*pw_ActionScale+$B$8*pw_Health)/pw_Divisor,3))</f>
        <v>1.706</v>
      </c>
    </row>
    <row r="17" spans="1:6" x14ac:dyDescent="0.3">
      <c r="A17" t="s">
        <v>207</v>
      </c>
      <c r="B17" s="2">
        <f>IF($B$15="","",ROUND($B$16-$B$15,3))</f>
        <v>0.20599999999999999</v>
      </c>
    </row>
    <row r="18" spans="1:6" x14ac:dyDescent="0.3">
      <c r="B18" s="2"/>
    </row>
    <row r="19" spans="1:6" x14ac:dyDescent="0.3">
      <c r="A19" t="s">
        <v>208</v>
      </c>
      <c r="B19" s="2">
        <f>IFERROR(AVERAGEIF(B$26:F$26,"Yes",B$54:F$54),0)</f>
        <v>7</v>
      </c>
    </row>
    <row r="20" spans="1:6" x14ac:dyDescent="0.3">
      <c r="A20" t="s">
        <v>209</v>
      </c>
      <c r="B20" s="2">
        <f>IFERROR(AVERAGEIF(B$26:F$26,"Yes",B$32:F$32),0)</f>
        <v>3</v>
      </c>
    </row>
    <row r="21" spans="1:6" x14ac:dyDescent="0.3">
      <c r="A21" t="s">
        <v>210</v>
      </c>
      <c r="B21" s="2">
        <f>IFERROR(AVERAGEIF(B$26:F$26,"Yes",B$55:F$55),0)</f>
        <v>2.5</v>
      </c>
    </row>
    <row r="22" spans="1:6" x14ac:dyDescent="0.3">
      <c r="A22" t="s">
        <v>211</v>
      </c>
      <c r="B22" s="2">
        <f>IFERROR(AVERAGEIF(B$26:F$26,"Yes",B$52:F$52),0)</f>
        <v>0</v>
      </c>
    </row>
    <row r="24" spans="1:6" x14ac:dyDescent="0.3">
      <c r="A24" s="1" t="s">
        <v>28</v>
      </c>
      <c r="B24" t="s">
        <v>244</v>
      </c>
      <c r="C24" t="s">
        <v>244</v>
      </c>
      <c r="D24" t="s">
        <v>244</v>
      </c>
      <c r="E24" t="s">
        <v>244</v>
      </c>
      <c r="F24" t="s">
        <v>245</v>
      </c>
    </row>
    <row r="25" spans="1:6" x14ac:dyDescent="0.3">
      <c r="A25" t="s">
        <v>214</v>
      </c>
      <c r="B25" t="s">
        <v>246</v>
      </c>
      <c r="C25" t="s">
        <v>246</v>
      </c>
      <c r="D25" t="s">
        <v>246</v>
      </c>
      <c r="E25" t="s">
        <v>246</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1</v>
      </c>
      <c r="C31" s="7">
        <v>1</v>
      </c>
      <c r="D31" s="7">
        <v>1</v>
      </c>
      <c r="E31" s="7">
        <v>1</v>
      </c>
      <c r="F31" s="7">
        <v>1</v>
      </c>
    </row>
    <row r="32" spans="1:6" x14ac:dyDescent="0.3">
      <c r="A32" t="s">
        <v>222</v>
      </c>
      <c r="B32" s="2">
        <v>3</v>
      </c>
      <c r="C32" s="2">
        <v>3</v>
      </c>
      <c r="D32" s="2">
        <v>3</v>
      </c>
      <c r="E32" s="2">
        <v>3</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5</v>
      </c>
      <c r="C36" s="2">
        <v>5</v>
      </c>
      <c r="D36" s="2">
        <v>5</v>
      </c>
      <c r="E36" s="2">
        <v>5</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7</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7</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7</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7</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2.5</v>
      </c>
      <c r="C55" s="2">
        <f>C$54-C$32*pw_Damage-C$33-C$52*pw_Summon</f>
        <v>2.5</v>
      </c>
      <c r="D55" s="2">
        <f>D$54-D$32*pw_Damage-D$33-D$52*pw_Summon</f>
        <v>2.5</v>
      </c>
      <c r="E55" s="2">
        <f>E$54-E$32*pw_Damage-E$33-E$52*pw_Summon</f>
        <v>2.5</v>
      </c>
      <c r="F55" s="2">
        <f>F$54-F$32*pw_Damage-F$33-F$52*pw_Summon</f>
        <v>1</v>
      </c>
    </row>
    <row r="57" spans="1:6" x14ac:dyDescent="0.3">
      <c r="A57" s="1" t="s">
        <v>30</v>
      </c>
      <c r="B57" s="3" t="s">
        <v>1</v>
      </c>
    </row>
  </sheetData>
  <dataValidations count="5">
    <dataValidation type="list" allowBlank="1" sqref="B10" xr:uid="{00000000-0002-0000-1100-000000000000}">
      <formula1>list_Brain</formula1>
    </dataValidation>
    <dataValidation type="list" allowBlank="1" sqref="B11" xr:uid="{00000000-0002-0000-1100-000001000000}">
      <formula1>list_Targeting</formula1>
    </dataValidation>
    <dataValidation type="list" allowBlank="1" sqref="B12" xr:uid="{00000000-0002-0000-1100-000002000000}">
      <formula1>list_Loot</formula1>
    </dataValidation>
    <dataValidation type="list" allowBlank="1" sqref="B13" xr:uid="{00000000-0002-0000-1100-000003000000}">
      <formula1>list_Role</formula1>
    </dataValidation>
    <dataValidation type="list" allowBlank="1" sqref="B24:F24" xr:uid="{00000000-0002-0000-1100-000004000000}">
      <formula1>list_EnemyCard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7"/>
  <sheetViews>
    <sheetView workbookViewId="0">
      <pane xSplit="1" topLeftCell="B1" activePane="topRight" state="frozen"/>
      <selection pane="topRight"/>
    </sheetView>
  </sheetViews>
  <sheetFormatPr defaultRowHeight="14.4" x14ac:dyDescent="0.3"/>
  <cols>
    <col min="1" max="1" width="24" customWidth="1"/>
    <col min="2" max="5" width="16" customWidth="1"/>
  </cols>
  <sheetData>
    <row r="1" spans="1:2" x14ac:dyDescent="0.3">
      <c r="A1" s="1" t="s">
        <v>201</v>
      </c>
      <c r="B1" t="s">
        <v>185</v>
      </c>
    </row>
    <row r="2" spans="1:2" x14ac:dyDescent="0.3">
      <c r="A2" s="1" t="s">
        <v>119</v>
      </c>
      <c r="B2" t="s">
        <v>138</v>
      </c>
    </row>
    <row r="3" spans="1:2" x14ac:dyDescent="0.3">
      <c r="A3" s="1" t="s">
        <v>118</v>
      </c>
      <c r="B3" t="s">
        <v>186</v>
      </c>
    </row>
    <row r="4" spans="1:2" x14ac:dyDescent="0.3">
      <c r="A4" s="1" t="s">
        <v>202</v>
      </c>
      <c r="B4" t="str">
        <f>IF($B$3="","NEW","Live")</f>
        <v>Live</v>
      </c>
    </row>
    <row r="6" spans="1:2" x14ac:dyDescent="0.3">
      <c r="A6" s="1" t="s">
        <v>203</v>
      </c>
    </row>
    <row r="7" spans="1:2" x14ac:dyDescent="0.3">
      <c r="A7" s="5" t="s">
        <v>120</v>
      </c>
      <c r="B7" t="s">
        <v>183</v>
      </c>
    </row>
    <row r="8" spans="1:2" x14ac:dyDescent="0.3">
      <c r="A8" s="5" t="s">
        <v>121</v>
      </c>
      <c r="B8" t="s">
        <v>255</v>
      </c>
    </row>
    <row r="9" spans="1:2" x14ac:dyDescent="0.3">
      <c r="A9" s="5" t="s">
        <v>205</v>
      </c>
      <c r="B9" t="s">
        <v>206</v>
      </c>
    </row>
    <row r="10" spans="1:2" x14ac:dyDescent="0.3">
      <c r="A10" s="5" t="s">
        <v>123</v>
      </c>
      <c r="B10" t="s">
        <v>139</v>
      </c>
    </row>
    <row r="11" spans="1:2" x14ac:dyDescent="0.3">
      <c r="A11" s="5" t="s">
        <v>124</v>
      </c>
      <c r="B11" t="s">
        <v>1</v>
      </c>
    </row>
    <row r="12" spans="1:2" x14ac:dyDescent="0.3">
      <c r="A12" s="5" t="s">
        <v>125</v>
      </c>
      <c r="B12" t="s">
        <v>1</v>
      </c>
    </row>
    <row r="13" spans="1:2" x14ac:dyDescent="0.3">
      <c r="A13" s="5" t="s">
        <v>19</v>
      </c>
      <c r="B13" t="s">
        <v>177</v>
      </c>
    </row>
    <row r="15" spans="1:2" x14ac:dyDescent="0.3">
      <c r="A15" s="1" t="s">
        <v>15</v>
      </c>
      <c r="B15" t="s">
        <v>249</v>
      </c>
    </row>
    <row r="16" spans="1:2" x14ac:dyDescent="0.3">
      <c r="A16" s="1" t="s">
        <v>17</v>
      </c>
      <c r="B16" s="2">
        <f>IF($B$8="","",ROUND(($B$19*$B$9*pw_ActionScale+$B$8*pw_Health)/pw_Divisor,3))</f>
        <v>1.853</v>
      </c>
    </row>
    <row r="17" spans="1:5" x14ac:dyDescent="0.3">
      <c r="A17" t="s">
        <v>207</v>
      </c>
      <c r="B17" s="2">
        <f>IF($B$15="","",ROUND($B$16-$B$15,3))</f>
        <v>-0.14699999999999999</v>
      </c>
    </row>
    <row r="18" spans="1:5" x14ac:dyDescent="0.3">
      <c r="B18" s="2"/>
    </row>
    <row r="19" spans="1:5" x14ac:dyDescent="0.3">
      <c r="A19" t="s">
        <v>208</v>
      </c>
      <c r="B19" s="2">
        <f>IFERROR(AVERAGEIF(B$26:E$26,"Yes",B$54:E$54),0)</f>
        <v>12</v>
      </c>
    </row>
    <row r="20" spans="1:5" x14ac:dyDescent="0.3">
      <c r="A20" t="s">
        <v>209</v>
      </c>
      <c r="B20" s="2">
        <f>IFERROR(AVERAGEIF(B$26:E$26,"Yes",B$32:E$32),0)</f>
        <v>8</v>
      </c>
    </row>
    <row r="21" spans="1:5" x14ac:dyDescent="0.3">
      <c r="A21" t="s">
        <v>210</v>
      </c>
      <c r="B21" s="2">
        <f>IFERROR(AVERAGEIF(B$26:E$26,"Yes",B$55:E$55),0)</f>
        <v>0</v>
      </c>
    </row>
    <row r="22" spans="1:5" x14ac:dyDescent="0.3">
      <c r="A22" t="s">
        <v>211</v>
      </c>
      <c r="B22" s="2">
        <f>IFERROR(AVERAGEIF(B$26:E$26,"Yes",B$52:E$52),0)</f>
        <v>0</v>
      </c>
    </row>
    <row r="24" spans="1:5" x14ac:dyDescent="0.3">
      <c r="A24" s="1" t="s">
        <v>28</v>
      </c>
      <c r="B24" t="s">
        <v>282</v>
      </c>
      <c r="C24" t="s">
        <v>282</v>
      </c>
      <c r="D24" t="s">
        <v>245</v>
      </c>
      <c r="E24" t="s">
        <v>245</v>
      </c>
    </row>
    <row r="25" spans="1:5" x14ac:dyDescent="0.3">
      <c r="A25" t="s">
        <v>214</v>
      </c>
      <c r="B25" t="s">
        <v>283</v>
      </c>
      <c r="C25" t="s">
        <v>283</v>
      </c>
      <c r="D25" t="s">
        <v>247</v>
      </c>
      <c r="E25" t="s">
        <v>247</v>
      </c>
    </row>
    <row r="26" spans="1:5" x14ac:dyDescent="0.3">
      <c r="A26" t="s">
        <v>21</v>
      </c>
      <c r="B26" t="s">
        <v>217</v>
      </c>
      <c r="C26" t="s">
        <v>217</v>
      </c>
      <c r="D26" t="s">
        <v>138</v>
      </c>
      <c r="E26" t="s">
        <v>138</v>
      </c>
    </row>
    <row r="28" spans="1:5" x14ac:dyDescent="0.3">
      <c r="A28" s="1" t="s">
        <v>218</v>
      </c>
    </row>
    <row r="29" spans="1:5" x14ac:dyDescent="0.3">
      <c r="A29" t="s">
        <v>219</v>
      </c>
      <c r="B29" s="7">
        <v>1</v>
      </c>
      <c r="C29" s="7">
        <v>1</v>
      </c>
      <c r="D29" s="7">
        <v>1</v>
      </c>
      <c r="E29" s="7">
        <v>1</v>
      </c>
    </row>
    <row r="30" spans="1:5" x14ac:dyDescent="0.3">
      <c r="A30" t="s">
        <v>220</v>
      </c>
      <c r="B30" s="7">
        <v>1</v>
      </c>
      <c r="C30" s="7">
        <v>1</v>
      </c>
      <c r="D30" s="7">
        <v>1</v>
      </c>
      <c r="E30" s="7">
        <v>1</v>
      </c>
    </row>
    <row r="31" spans="1:5" x14ac:dyDescent="0.3">
      <c r="A31" t="s">
        <v>221</v>
      </c>
      <c r="B31" s="7">
        <v>1</v>
      </c>
      <c r="C31" s="7">
        <v>1</v>
      </c>
      <c r="D31" s="7">
        <v>1</v>
      </c>
      <c r="E31" s="7">
        <v>1</v>
      </c>
    </row>
    <row r="32" spans="1:5" x14ac:dyDescent="0.3">
      <c r="A32" t="s">
        <v>222</v>
      </c>
      <c r="B32" s="2">
        <v>8</v>
      </c>
      <c r="C32" s="2">
        <v>8</v>
      </c>
      <c r="D32" s="2">
        <v>0</v>
      </c>
      <c r="E32" s="2">
        <v>0</v>
      </c>
    </row>
    <row r="33" spans="1:5" x14ac:dyDescent="0.3">
      <c r="A33" t="s">
        <v>114</v>
      </c>
      <c r="B33" s="2">
        <f>IFERROR(VLOOKUP(B$30,range_Power,2,TRUE),0)</f>
        <v>0</v>
      </c>
      <c r="C33" s="2">
        <f>IFERROR(VLOOKUP(C$30,range_Power,2,TRUE),0)</f>
        <v>0</v>
      </c>
      <c r="D33" s="2">
        <f>IFERROR(VLOOKUP(D$30,range_Power,2,TRUE),0)</f>
        <v>0</v>
      </c>
      <c r="E33" s="2">
        <f>IFERROR(VLOOKUP(E$30,range_Power,2,TRUE),0)</f>
        <v>0</v>
      </c>
    </row>
    <row r="34" spans="1:5" x14ac:dyDescent="0.3">
      <c r="A34" t="s">
        <v>223</v>
      </c>
      <c r="B34" s="2">
        <v>0</v>
      </c>
      <c r="C34" s="2">
        <v>0</v>
      </c>
      <c r="D34" s="2">
        <v>0</v>
      </c>
      <c r="E34" s="2">
        <v>0</v>
      </c>
    </row>
    <row r="35" spans="1:5" x14ac:dyDescent="0.3">
      <c r="A35" t="s">
        <v>224</v>
      </c>
      <c r="B35" s="2">
        <v>0</v>
      </c>
      <c r="C35" s="2">
        <v>0</v>
      </c>
      <c r="D35" s="2">
        <v>0</v>
      </c>
      <c r="E35" s="2">
        <v>0</v>
      </c>
    </row>
    <row r="36" spans="1:5" x14ac:dyDescent="0.3">
      <c r="A36" t="s">
        <v>225</v>
      </c>
      <c r="B36" s="2">
        <v>0</v>
      </c>
      <c r="C36" s="2">
        <v>0</v>
      </c>
      <c r="D36" s="2">
        <v>0</v>
      </c>
      <c r="E36" s="2">
        <v>0</v>
      </c>
    </row>
    <row r="37" spans="1:5" x14ac:dyDescent="0.3">
      <c r="A37" t="s">
        <v>226</v>
      </c>
      <c r="B37" s="2">
        <v>0</v>
      </c>
      <c r="C37" s="2">
        <v>0</v>
      </c>
      <c r="D37" s="2">
        <v>0</v>
      </c>
      <c r="E37" s="2">
        <v>0</v>
      </c>
    </row>
    <row r="38" spans="1:5" x14ac:dyDescent="0.3">
      <c r="A38" t="s">
        <v>227</v>
      </c>
      <c r="B38" s="2">
        <v>0</v>
      </c>
      <c r="C38" s="2">
        <v>0</v>
      </c>
      <c r="D38" s="2">
        <v>0</v>
      </c>
      <c r="E38" s="2">
        <v>0</v>
      </c>
    </row>
    <row r="39" spans="1:5" x14ac:dyDescent="0.3">
      <c r="A39" t="s">
        <v>228</v>
      </c>
      <c r="B39" s="2">
        <v>0</v>
      </c>
      <c r="C39" s="2">
        <v>0</v>
      </c>
      <c r="D39" s="2">
        <v>0</v>
      </c>
      <c r="E39" s="2">
        <v>0</v>
      </c>
    </row>
    <row r="40" spans="1:5" x14ac:dyDescent="0.3">
      <c r="A40" t="s">
        <v>229</v>
      </c>
      <c r="B40" s="2">
        <v>0</v>
      </c>
      <c r="C40" s="2">
        <v>0</v>
      </c>
      <c r="D40" s="2">
        <v>0</v>
      </c>
      <c r="E40" s="2">
        <v>0</v>
      </c>
    </row>
    <row r="41" spans="1:5" x14ac:dyDescent="0.3">
      <c r="A41" t="s">
        <v>230</v>
      </c>
      <c r="B41" s="2">
        <v>0</v>
      </c>
      <c r="C41" s="2">
        <v>0</v>
      </c>
      <c r="D41" s="2">
        <v>0</v>
      </c>
      <c r="E41" s="2">
        <v>0</v>
      </c>
    </row>
    <row r="42" spans="1:5" x14ac:dyDescent="0.3">
      <c r="A42" t="s">
        <v>231</v>
      </c>
      <c r="B42" s="2">
        <v>0</v>
      </c>
      <c r="C42" s="2">
        <v>0</v>
      </c>
      <c r="D42" s="2">
        <v>0</v>
      </c>
      <c r="E42" s="2">
        <v>0</v>
      </c>
    </row>
    <row r="43" spans="1:5" x14ac:dyDescent="0.3">
      <c r="A43" t="s">
        <v>232</v>
      </c>
      <c r="B43" s="2">
        <v>0</v>
      </c>
      <c r="C43" s="2">
        <v>0</v>
      </c>
      <c r="D43" s="2">
        <v>0</v>
      </c>
      <c r="E43" s="2">
        <v>0</v>
      </c>
    </row>
    <row r="44" spans="1:5" x14ac:dyDescent="0.3">
      <c r="A44" t="s">
        <v>233</v>
      </c>
      <c r="B44" s="2">
        <v>0</v>
      </c>
      <c r="C44" s="2">
        <v>0</v>
      </c>
      <c r="D44" s="2">
        <v>0</v>
      </c>
      <c r="E44" s="2">
        <v>0</v>
      </c>
    </row>
    <row r="45" spans="1:5" x14ac:dyDescent="0.3">
      <c r="A45" t="s">
        <v>234</v>
      </c>
      <c r="B45" s="2">
        <v>0</v>
      </c>
      <c r="C45" s="2">
        <v>0</v>
      </c>
      <c r="D45" s="2">
        <v>0</v>
      </c>
      <c r="E45" s="2">
        <v>0</v>
      </c>
    </row>
    <row r="46" spans="1:5" x14ac:dyDescent="0.3">
      <c r="A46" t="s">
        <v>235</v>
      </c>
      <c r="B46" s="2">
        <v>0</v>
      </c>
      <c r="C46" s="2">
        <v>0</v>
      </c>
      <c r="D46" s="2">
        <v>0</v>
      </c>
      <c r="E46" s="2">
        <v>0</v>
      </c>
    </row>
    <row r="47" spans="1:5" x14ac:dyDescent="0.3">
      <c r="A47" t="s">
        <v>236</v>
      </c>
      <c r="B47" s="2">
        <v>0</v>
      </c>
      <c r="C47" s="2">
        <v>0</v>
      </c>
      <c r="D47" s="2">
        <v>0</v>
      </c>
      <c r="E47" s="2">
        <v>0</v>
      </c>
    </row>
    <row r="48" spans="1:5" x14ac:dyDescent="0.3">
      <c r="A48" t="s">
        <v>237</v>
      </c>
      <c r="B48" s="2">
        <v>0</v>
      </c>
      <c r="C48" s="2">
        <v>0</v>
      </c>
      <c r="D48" s="2">
        <v>0</v>
      </c>
      <c r="E48" s="2">
        <v>0</v>
      </c>
    </row>
    <row r="49" spans="1:5" x14ac:dyDescent="0.3">
      <c r="A49" t="s">
        <v>238</v>
      </c>
      <c r="B49" s="2">
        <v>0</v>
      </c>
      <c r="C49" s="2">
        <v>0</v>
      </c>
      <c r="D49" s="2">
        <v>0</v>
      </c>
      <c r="E49" s="2">
        <v>0</v>
      </c>
    </row>
    <row r="50" spans="1:5" x14ac:dyDescent="0.3">
      <c r="A50" t="s">
        <v>239</v>
      </c>
      <c r="B50" s="2">
        <v>0</v>
      </c>
      <c r="C50" s="2">
        <v>0</v>
      </c>
      <c r="D50" s="2">
        <v>0</v>
      </c>
      <c r="E50" s="2">
        <v>0</v>
      </c>
    </row>
    <row r="51" spans="1:5" x14ac:dyDescent="0.3">
      <c r="A51" t="s">
        <v>240</v>
      </c>
      <c r="B51" s="2">
        <v>0</v>
      </c>
      <c r="C51" s="2">
        <v>0</v>
      </c>
      <c r="D51" s="2">
        <v>1</v>
      </c>
      <c r="E51" s="2">
        <v>1</v>
      </c>
    </row>
    <row r="52" spans="1:5" x14ac:dyDescent="0.3">
      <c r="A52" t="s">
        <v>23</v>
      </c>
      <c r="B52" s="2">
        <v>0</v>
      </c>
      <c r="C52" s="2">
        <v>0</v>
      </c>
      <c r="D52" s="2">
        <v>0</v>
      </c>
      <c r="E52" s="2">
        <v>0</v>
      </c>
    </row>
    <row r="53" spans="1:5" x14ac:dyDescent="0.3">
      <c r="A53" t="s">
        <v>241</v>
      </c>
      <c r="B53" s="7">
        <v>0</v>
      </c>
      <c r="C53" s="7">
        <v>0</v>
      </c>
      <c r="D53" s="7">
        <v>0</v>
      </c>
      <c r="E53" s="7">
        <v>0</v>
      </c>
    </row>
    <row r="54" spans="1:5"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12</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12</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row>
    <row r="55" spans="1:5" x14ac:dyDescent="0.3">
      <c r="A55" t="s">
        <v>243</v>
      </c>
      <c r="B55" s="2">
        <f>B$54-B$32*pw_Damage-B$33-B$52*pw_Summon</f>
        <v>0</v>
      </c>
      <c r="C55" s="2">
        <f>C$54-C$32*pw_Damage-C$33-C$52*pw_Summon</f>
        <v>0</v>
      </c>
      <c r="D55" s="2">
        <f>D$54-D$32*pw_Damage-D$33-D$52*pw_Summon</f>
        <v>1</v>
      </c>
      <c r="E55" s="2">
        <f>E$54-E$32*pw_Damage-E$33-E$52*pw_Summon</f>
        <v>1</v>
      </c>
    </row>
    <row r="57" spans="1:5" x14ac:dyDescent="0.3">
      <c r="A57" s="1" t="s">
        <v>30</v>
      </c>
      <c r="B57" s="3" t="s">
        <v>1</v>
      </c>
    </row>
  </sheetData>
  <dataValidations count="5">
    <dataValidation type="list" allowBlank="1" sqref="B10" xr:uid="{00000000-0002-0000-1200-000000000000}">
      <formula1>list_Brain</formula1>
    </dataValidation>
    <dataValidation type="list" allowBlank="1" sqref="B11" xr:uid="{00000000-0002-0000-1200-000001000000}">
      <formula1>list_Targeting</formula1>
    </dataValidation>
    <dataValidation type="list" allowBlank="1" sqref="B12" xr:uid="{00000000-0002-0000-1200-000002000000}">
      <formula1>list_Loot</formula1>
    </dataValidation>
    <dataValidation type="list" allowBlank="1" sqref="B13" xr:uid="{00000000-0002-0000-1200-000003000000}">
      <formula1>list_Role</formula1>
    </dataValidation>
    <dataValidation type="list" allowBlank="1" sqref="B24:E24" xr:uid="{00000000-0002-0000-1200-000004000000}">
      <formula1>list_EnemyCard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187</v>
      </c>
    </row>
    <row r="2" spans="1:2" x14ac:dyDescent="0.3">
      <c r="A2" s="1" t="s">
        <v>119</v>
      </c>
      <c r="B2" t="s">
        <v>138</v>
      </c>
    </row>
    <row r="3" spans="1:2" x14ac:dyDescent="0.3">
      <c r="A3" s="1" t="s">
        <v>118</v>
      </c>
      <c r="B3" t="s">
        <v>188</v>
      </c>
    </row>
    <row r="4" spans="1:2" x14ac:dyDescent="0.3">
      <c r="A4" s="1" t="s">
        <v>202</v>
      </c>
      <c r="B4" t="str">
        <f>IF($B$3="","NEW","Live")</f>
        <v>Live</v>
      </c>
    </row>
    <row r="6" spans="1:2" x14ac:dyDescent="0.3">
      <c r="A6" s="1" t="s">
        <v>203</v>
      </c>
    </row>
    <row r="7" spans="1:2" x14ac:dyDescent="0.3">
      <c r="A7" s="5" t="s">
        <v>120</v>
      </c>
      <c r="B7" t="s">
        <v>189</v>
      </c>
    </row>
    <row r="8" spans="1:2" x14ac:dyDescent="0.3">
      <c r="A8" s="5" t="s">
        <v>121</v>
      </c>
      <c r="B8" t="s">
        <v>248</v>
      </c>
    </row>
    <row r="9" spans="1:2" x14ac:dyDescent="0.3">
      <c r="A9" s="5" t="s">
        <v>205</v>
      </c>
      <c r="B9" t="s">
        <v>206</v>
      </c>
    </row>
    <row r="10" spans="1:2" x14ac:dyDescent="0.3">
      <c r="A10" s="5" t="s">
        <v>123</v>
      </c>
      <c r="B10" t="s">
        <v>139</v>
      </c>
    </row>
    <row r="11" spans="1:2" x14ac:dyDescent="0.3">
      <c r="A11" s="5" t="s">
        <v>124</v>
      </c>
      <c r="B11" t="s">
        <v>146</v>
      </c>
    </row>
    <row r="12" spans="1:2" x14ac:dyDescent="0.3">
      <c r="A12" s="5" t="s">
        <v>125</v>
      </c>
      <c r="B12" t="s">
        <v>141</v>
      </c>
    </row>
    <row r="13" spans="1:2" x14ac:dyDescent="0.3">
      <c r="A13" s="5" t="s">
        <v>19</v>
      </c>
      <c r="B13" t="s">
        <v>142</v>
      </c>
    </row>
    <row r="15" spans="1:2" x14ac:dyDescent="0.3">
      <c r="A15" s="1" t="s">
        <v>15</v>
      </c>
      <c r="B15" t="s">
        <v>284</v>
      </c>
    </row>
    <row r="16" spans="1:2" x14ac:dyDescent="0.3">
      <c r="A16" s="1" t="s">
        <v>17</v>
      </c>
      <c r="B16" s="2">
        <f>IF($B$8="","",ROUND(($B$19*$B$9*pw_ActionScale+$B$8*pw_Health)/pw_Divisor,3))</f>
        <v>2.5880000000000001</v>
      </c>
    </row>
    <row r="17" spans="1:6" x14ac:dyDescent="0.3">
      <c r="A17" t="s">
        <v>207</v>
      </c>
      <c r="B17" s="2">
        <f>IF($B$15="","",ROUND($B$16-$B$15,3))</f>
        <v>-0.41199999999999998</v>
      </c>
    </row>
    <row r="18" spans="1:6" x14ac:dyDescent="0.3">
      <c r="B18" s="2"/>
    </row>
    <row r="19" spans="1:6" x14ac:dyDescent="0.3">
      <c r="A19" t="s">
        <v>208</v>
      </c>
      <c r="B19" s="2">
        <f>IFERROR(AVERAGEIF(B$26:F$26,"Yes",B$54:F$54),0)</f>
        <v>12</v>
      </c>
    </row>
    <row r="20" spans="1:6" x14ac:dyDescent="0.3">
      <c r="A20" t="s">
        <v>209</v>
      </c>
      <c r="B20" s="2">
        <f>IFERROR(AVERAGEIF(B$26:F$26,"Yes",B$32:F$32),0)</f>
        <v>8</v>
      </c>
    </row>
    <row r="21" spans="1:6" x14ac:dyDescent="0.3">
      <c r="A21" t="s">
        <v>210</v>
      </c>
      <c r="B21" s="2">
        <f>IFERROR(AVERAGEIF(B$26:F$26,"Yes",B$55:F$55),0)</f>
        <v>0</v>
      </c>
    </row>
    <row r="22" spans="1:6" x14ac:dyDescent="0.3">
      <c r="A22" t="s">
        <v>211</v>
      </c>
      <c r="B22" s="2">
        <f>IFERROR(AVERAGEIF(B$26:F$26,"Yes",B$52:F$52),0)</f>
        <v>0</v>
      </c>
    </row>
    <row r="24" spans="1:6" x14ac:dyDescent="0.3">
      <c r="A24" s="1" t="s">
        <v>28</v>
      </c>
      <c r="B24" t="s">
        <v>282</v>
      </c>
      <c r="C24" t="s">
        <v>213</v>
      </c>
      <c r="D24" t="s">
        <v>282</v>
      </c>
      <c r="E24" t="s">
        <v>282</v>
      </c>
      <c r="F24" t="s">
        <v>282</v>
      </c>
    </row>
    <row r="25" spans="1:6" x14ac:dyDescent="0.3">
      <c r="A25" t="s">
        <v>214</v>
      </c>
      <c r="B25" t="s">
        <v>283</v>
      </c>
      <c r="C25" t="s">
        <v>216</v>
      </c>
      <c r="D25" t="s">
        <v>283</v>
      </c>
      <c r="E25" t="s">
        <v>283</v>
      </c>
      <c r="F25" t="s">
        <v>283</v>
      </c>
    </row>
    <row r="26" spans="1:6" x14ac:dyDescent="0.3">
      <c r="A26" t="s">
        <v>21</v>
      </c>
      <c r="B26" t="s">
        <v>217</v>
      </c>
      <c r="C26" t="s">
        <v>138</v>
      </c>
      <c r="D26" t="s">
        <v>217</v>
      </c>
      <c r="E26" t="s">
        <v>217</v>
      </c>
      <c r="F26" t="s">
        <v>217</v>
      </c>
    </row>
    <row r="28" spans="1:6" x14ac:dyDescent="0.3">
      <c r="A28" s="1" t="s">
        <v>218</v>
      </c>
    </row>
    <row r="29" spans="1:6" x14ac:dyDescent="0.3">
      <c r="A29" t="s">
        <v>219</v>
      </c>
      <c r="B29" s="7">
        <v>1</v>
      </c>
      <c r="C29" s="7">
        <v>1</v>
      </c>
      <c r="D29" s="7">
        <v>1</v>
      </c>
      <c r="E29" s="7">
        <v>1</v>
      </c>
      <c r="F29" s="7">
        <v>1</v>
      </c>
    </row>
    <row r="30" spans="1:6" x14ac:dyDescent="0.3">
      <c r="A30" t="s">
        <v>220</v>
      </c>
      <c r="B30" s="7">
        <v>1</v>
      </c>
      <c r="C30" s="7">
        <v>2</v>
      </c>
      <c r="D30" s="7">
        <v>1</v>
      </c>
      <c r="E30" s="7">
        <v>1</v>
      </c>
      <c r="F30" s="7">
        <v>1</v>
      </c>
    </row>
    <row r="31" spans="1:6" x14ac:dyDescent="0.3">
      <c r="A31" t="s">
        <v>221</v>
      </c>
      <c r="B31" s="7">
        <v>1</v>
      </c>
      <c r="C31" s="7">
        <v>1</v>
      </c>
      <c r="D31" s="7">
        <v>1</v>
      </c>
      <c r="E31" s="7">
        <v>1</v>
      </c>
      <c r="F31" s="7">
        <v>1</v>
      </c>
    </row>
    <row r="32" spans="1:6" x14ac:dyDescent="0.3">
      <c r="A32" t="s">
        <v>222</v>
      </c>
      <c r="B32" s="2">
        <v>8</v>
      </c>
      <c r="C32" s="2">
        <v>0</v>
      </c>
      <c r="D32" s="2">
        <v>8</v>
      </c>
      <c r="E32" s="2">
        <v>8</v>
      </c>
      <c r="F32" s="2">
        <v>8</v>
      </c>
    </row>
    <row r="33" spans="1:6" x14ac:dyDescent="0.3">
      <c r="A33" t="s">
        <v>114</v>
      </c>
      <c r="B33" s="2">
        <f>IFERROR(VLOOKUP(B$30,range_Power,2,TRUE),0)</f>
        <v>0</v>
      </c>
      <c r="C33" s="2">
        <f>IFERROR(VLOOKUP(C$30,range_Power,2,TRUE),0)</f>
        <v>1.5</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2</v>
      </c>
      <c r="D51" s="2">
        <v>0</v>
      </c>
      <c r="E51" s="2">
        <v>0</v>
      </c>
      <c r="F51" s="2">
        <v>0</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12</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3.5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12</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12</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12</v>
      </c>
    </row>
    <row r="55" spans="1:6" x14ac:dyDescent="0.3">
      <c r="A55" t="s">
        <v>243</v>
      </c>
      <c r="B55" s="2">
        <f>B$54-B$32*pw_Damage-B$33-B$52*pw_Summon</f>
        <v>0</v>
      </c>
      <c r="C55" s="2">
        <f>C$54-C$32*pw_Damage-C$33-C$52*pw_Summon</f>
        <v>2</v>
      </c>
      <c r="D55" s="2">
        <f>D$54-D$32*pw_Damage-D$33-D$52*pw_Summon</f>
        <v>0</v>
      </c>
      <c r="E55" s="2">
        <f>E$54-E$32*pw_Damage-E$33-E$52*pw_Summon</f>
        <v>0</v>
      </c>
      <c r="F55" s="2">
        <f>F$54-F$32*pw_Damage-F$33-F$52*pw_Summon</f>
        <v>0</v>
      </c>
    </row>
    <row r="57" spans="1:6" x14ac:dyDescent="0.3">
      <c r="A57" s="1" t="s">
        <v>30</v>
      </c>
      <c r="B57" s="3" t="s">
        <v>1</v>
      </c>
    </row>
  </sheetData>
  <dataValidations count="5">
    <dataValidation type="list" allowBlank="1" sqref="B10" xr:uid="{00000000-0002-0000-1300-000000000000}">
      <formula1>list_Brain</formula1>
    </dataValidation>
    <dataValidation type="list" allowBlank="1" sqref="B11" xr:uid="{00000000-0002-0000-1300-000001000000}">
      <formula1>list_Targeting</formula1>
    </dataValidation>
    <dataValidation type="list" allowBlank="1" sqref="B12" xr:uid="{00000000-0002-0000-1300-000002000000}">
      <formula1>list_Loot</formula1>
    </dataValidation>
    <dataValidation type="list" allowBlank="1" sqref="B13" xr:uid="{00000000-0002-0000-1300-000003000000}">
      <formula1>list_Role</formula1>
    </dataValidation>
    <dataValidation type="list" allowBlank="1" sqref="B24:F24" xr:uid="{00000000-0002-0000-1300-000004000000}">
      <formula1>list_EnemyCard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190</v>
      </c>
    </row>
    <row r="2" spans="1:2" x14ac:dyDescent="0.3">
      <c r="A2" s="1" t="s">
        <v>119</v>
      </c>
      <c r="B2" t="s">
        <v>138</v>
      </c>
    </row>
    <row r="3" spans="1:2" x14ac:dyDescent="0.3">
      <c r="A3" s="1" t="s">
        <v>118</v>
      </c>
      <c r="B3" t="s">
        <v>191</v>
      </c>
    </row>
    <row r="4" spans="1:2" x14ac:dyDescent="0.3">
      <c r="A4" s="1" t="s">
        <v>202</v>
      </c>
      <c r="B4" t="str">
        <f>IF($B$3="","NEW","Live")</f>
        <v>Live</v>
      </c>
    </row>
    <row r="6" spans="1:2" x14ac:dyDescent="0.3">
      <c r="A6" s="1" t="s">
        <v>203</v>
      </c>
    </row>
    <row r="7" spans="1:2" x14ac:dyDescent="0.3">
      <c r="A7" s="5" t="s">
        <v>120</v>
      </c>
      <c r="B7" t="s">
        <v>190</v>
      </c>
    </row>
    <row r="8" spans="1:2" x14ac:dyDescent="0.3">
      <c r="A8" s="5" t="s">
        <v>121</v>
      </c>
      <c r="B8" t="s">
        <v>255</v>
      </c>
    </row>
    <row r="9" spans="1:2" x14ac:dyDescent="0.3">
      <c r="A9" s="5" t="s">
        <v>205</v>
      </c>
      <c r="B9" t="s">
        <v>206</v>
      </c>
    </row>
    <row r="10" spans="1:2" x14ac:dyDescent="0.3">
      <c r="A10" s="5" t="s">
        <v>123</v>
      </c>
      <c r="B10" t="s">
        <v>151</v>
      </c>
    </row>
    <row r="11" spans="1:2" x14ac:dyDescent="0.3">
      <c r="A11" s="5" t="s">
        <v>124</v>
      </c>
      <c r="B11" t="s">
        <v>192</v>
      </c>
    </row>
    <row r="12" spans="1:2" x14ac:dyDescent="0.3">
      <c r="A12" s="5" t="s">
        <v>125</v>
      </c>
      <c r="B12" t="s">
        <v>1</v>
      </c>
    </row>
    <row r="13" spans="1:2" x14ac:dyDescent="0.3">
      <c r="A13" s="5" t="s">
        <v>19</v>
      </c>
      <c r="B13" t="s">
        <v>153</v>
      </c>
    </row>
    <row r="15" spans="1:2" x14ac:dyDescent="0.3">
      <c r="A15" s="1" t="s">
        <v>15</v>
      </c>
      <c r="B15" t="s">
        <v>249</v>
      </c>
    </row>
    <row r="16" spans="1:2" x14ac:dyDescent="0.3">
      <c r="A16" s="1" t="s">
        <v>17</v>
      </c>
      <c r="B16" s="2">
        <f>IF($B$8="","",ROUND(($B$19*$B$9*pw_ActionScale+$B$8*pw_Health)/pw_Divisor,3))</f>
        <v>1.8759999999999999</v>
      </c>
    </row>
    <row r="17" spans="1:6" x14ac:dyDescent="0.3">
      <c r="A17" t="s">
        <v>207</v>
      </c>
      <c r="B17" s="2">
        <f>IF($B$15="","",ROUND($B$16-$B$15,3))</f>
        <v>-0.124</v>
      </c>
    </row>
    <row r="18" spans="1:6" x14ac:dyDescent="0.3">
      <c r="B18" s="2"/>
    </row>
    <row r="19" spans="1:6" x14ac:dyDescent="0.3">
      <c r="A19" t="s">
        <v>208</v>
      </c>
      <c r="B19" s="2">
        <f>IFERROR(AVERAGEIF(B$26:F$26,"Yes",B$54:F$54),0)</f>
        <v>12.2</v>
      </c>
    </row>
    <row r="20" spans="1:6" x14ac:dyDescent="0.3">
      <c r="A20" t="s">
        <v>209</v>
      </c>
      <c r="B20" s="2">
        <f>IFERROR(AVERAGEIF(B$26:F$26,"Yes",B$32:F$32),0)</f>
        <v>3</v>
      </c>
    </row>
    <row r="21" spans="1:6" x14ac:dyDescent="0.3">
      <c r="A21" t="s">
        <v>210</v>
      </c>
      <c r="B21" s="2">
        <f>IFERROR(AVERAGEIF(B$26:F$26,"Yes",B$55:F$55),0)</f>
        <v>2.6999999999999993</v>
      </c>
    </row>
    <row r="22" spans="1:6" x14ac:dyDescent="0.3">
      <c r="A22" t="s">
        <v>211</v>
      </c>
      <c r="B22" s="2">
        <f>IFERROR(AVERAGEIF(B$26:F$26,"Yes",B$52:F$52),0)</f>
        <v>0</v>
      </c>
    </row>
    <row r="24" spans="1:6" x14ac:dyDescent="0.3">
      <c r="A24" s="1" t="s">
        <v>28</v>
      </c>
      <c r="B24" t="s">
        <v>285</v>
      </c>
      <c r="C24" t="s">
        <v>285</v>
      </c>
      <c r="D24" t="s">
        <v>285</v>
      </c>
      <c r="E24" t="s">
        <v>285</v>
      </c>
      <c r="F24" t="s">
        <v>245</v>
      </c>
    </row>
    <row r="25" spans="1:6" x14ac:dyDescent="0.3">
      <c r="A25" t="s">
        <v>214</v>
      </c>
      <c r="B25" t="s">
        <v>286</v>
      </c>
      <c r="C25" t="s">
        <v>286</v>
      </c>
      <c r="D25" t="s">
        <v>286</v>
      </c>
      <c r="E25" t="s">
        <v>286</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3</v>
      </c>
      <c r="C30" s="7">
        <v>3</v>
      </c>
      <c r="D30" s="7">
        <v>3</v>
      </c>
      <c r="E30" s="7">
        <v>3</v>
      </c>
      <c r="F30" s="7">
        <v>1</v>
      </c>
    </row>
    <row r="31" spans="1:6" x14ac:dyDescent="0.3">
      <c r="A31" t="s">
        <v>221</v>
      </c>
      <c r="B31" s="7">
        <v>1</v>
      </c>
      <c r="C31" s="7">
        <v>1</v>
      </c>
      <c r="D31" s="7">
        <v>1</v>
      </c>
      <c r="E31" s="7">
        <v>1</v>
      </c>
      <c r="F31" s="7">
        <v>1</v>
      </c>
    </row>
    <row r="32" spans="1:6" x14ac:dyDescent="0.3">
      <c r="A32" t="s">
        <v>222</v>
      </c>
      <c r="B32" s="2">
        <v>3</v>
      </c>
      <c r="C32" s="2">
        <v>3</v>
      </c>
      <c r="D32" s="2">
        <v>3</v>
      </c>
      <c r="E32" s="2">
        <v>3</v>
      </c>
      <c r="F32" s="2">
        <v>0</v>
      </c>
    </row>
    <row r="33" spans="1:6" x14ac:dyDescent="0.3">
      <c r="A33" t="s">
        <v>114</v>
      </c>
      <c r="B33" s="2">
        <f>IFERROR(VLOOKUP(B$30,range_Power,2,TRUE),0)</f>
        <v>5</v>
      </c>
      <c r="C33" s="2">
        <f>IFERROR(VLOOKUP(C$30,range_Power,2,TRUE),0)</f>
        <v>5</v>
      </c>
      <c r="D33" s="2">
        <f>IFERROR(VLOOKUP(D$30,range_Power,2,TRUE),0)</f>
        <v>5</v>
      </c>
      <c r="E33" s="2">
        <f>IFERROR(VLOOKUP(E$30,range_Power,2,TRUE),0)</f>
        <v>5</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1</v>
      </c>
      <c r="C42" s="2">
        <v>1</v>
      </c>
      <c r="D42" s="2">
        <v>1</v>
      </c>
      <c r="E42" s="2">
        <v>1</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12.2</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12.2</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12.2</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12.2</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2.6999999999999993</v>
      </c>
      <c r="C55" s="2">
        <f>C$54-C$32*pw_Damage-C$33-C$52*pw_Summon</f>
        <v>2.6999999999999993</v>
      </c>
      <c r="D55" s="2">
        <f>D$54-D$32*pw_Damage-D$33-D$52*pw_Summon</f>
        <v>2.6999999999999993</v>
      </c>
      <c r="E55" s="2">
        <f>E$54-E$32*pw_Damage-E$33-E$52*pw_Summon</f>
        <v>2.6999999999999993</v>
      </c>
      <c r="F55" s="2">
        <f>F$54-F$32*pw_Damage-F$33-F$52*pw_Summon</f>
        <v>1</v>
      </c>
    </row>
    <row r="57" spans="1:6" x14ac:dyDescent="0.3">
      <c r="A57" s="1" t="s">
        <v>30</v>
      </c>
      <c r="B57" s="3" t="s">
        <v>1</v>
      </c>
    </row>
  </sheetData>
  <dataValidations count="5">
    <dataValidation type="list" allowBlank="1" sqref="B10" xr:uid="{00000000-0002-0000-1400-000000000000}">
      <formula1>list_Brain</formula1>
    </dataValidation>
    <dataValidation type="list" allowBlank="1" sqref="B11" xr:uid="{00000000-0002-0000-1400-000001000000}">
      <formula1>list_Targeting</formula1>
    </dataValidation>
    <dataValidation type="list" allowBlank="1" sqref="B12" xr:uid="{00000000-0002-0000-1400-000002000000}">
      <formula1>list_Loot</formula1>
    </dataValidation>
    <dataValidation type="list" allowBlank="1" sqref="B13" xr:uid="{00000000-0002-0000-1400-000003000000}">
      <formula1>list_Role</formula1>
    </dataValidation>
    <dataValidation type="list" allowBlank="1" sqref="B24:F24" xr:uid="{00000000-0002-0000-1400-000004000000}">
      <formula1>list_EnemyCard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193</v>
      </c>
    </row>
    <row r="2" spans="1:2" x14ac:dyDescent="0.3">
      <c r="A2" s="1" t="s">
        <v>119</v>
      </c>
      <c r="B2" t="s">
        <v>138</v>
      </c>
    </row>
    <row r="3" spans="1:2" x14ac:dyDescent="0.3">
      <c r="A3" s="1" t="s">
        <v>118</v>
      </c>
      <c r="B3" t="s">
        <v>194</v>
      </c>
    </row>
    <row r="4" spans="1:2" x14ac:dyDescent="0.3">
      <c r="A4" s="1" t="s">
        <v>202</v>
      </c>
      <c r="B4" t="str">
        <f>IF($B$3="","NEW","Live")</f>
        <v>Live</v>
      </c>
    </row>
    <row r="6" spans="1:2" x14ac:dyDescent="0.3">
      <c r="A6" s="1" t="s">
        <v>203</v>
      </c>
    </row>
    <row r="7" spans="1:2" x14ac:dyDescent="0.3">
      <c r="A7" s="5" t="s">
        <v>120</v>
      </c>
      <c r="B7" t="s">
        <v>193</v>
      </c>
    </row>
    <row r="8" spans="1:2" x14ac:dyDescent="0.3">
      <c r="A8" s="5" t="s">
        <v>121</v>
      </c>
      <c r="B8" t="s">
        <v>204</v>
      </c>
    </row>
    <row r="9" spans="1:2" x14ac:dyDescent="0.3">
      <c r="A9" s="5" t="s">
        <v>205</v>
      </c>
      <c r="B9" t="s">
        <v>206</v>
      </c>
    </row>
    <row r="10" spans="1:2" x14ac:dyDescent="0.3">
      <c r="A10" s="5" t="s">
        <v>123</v>
      </c>
      <c r="B10" t="s">
        <v>139</v>
      </c>
    </row>
    <row r="11" spans="1:2" x14ac:dyDescent="0.3">
      <c r="A11" s="5" t="s">
        <v>124</v>
      </c>
      <c r="B11" t="s">
        <v>146</v>
      </c>
    </row>
    <row r="12" spans="1:2" x14ac:dyDescent="0.3">
      <c r="A12" s="5" t="s">
        <v>125</v>
      </c>
      <c r="B12" t="s">
        <v>1</v>
      </c>
    </row>
    <row r="13" spans="1:2" x14ac:dyDescent="0.3">
      <c r="A13" s="5" t="s">
        <v>19</v>
      </c>
      <c r="B13" t="s">
        <v>142</v>
      </c>
    </row>
    <row r="15" spans="1:2" x14ac:dyDescent="0.3">
      <c r="A15" s="1" t="s">
        <v>15</v>
      </c>
      <c r="B15" t="s">
        <v>249</v>
      </c>
    </row>
    <row r="16" spans="1:2" x14ac:dyDescent="0.3">
      <c r="A16" s="1" t="s">
        <v>17</v>
      </c>
      <c r="B16" s="2">
        <f>IF($B$8="","",ROUND(($B$19*$B$9*pw_ActionScale+$B$8*pw_Health)/pw_Divisor,3))</f>
        <v>1.4350000000000001</v>
      </c>
    </row>
    <row r="17" spans="1:6" x14ac:dyDescent="0.3">
      <c r="A17" t="s">
        <v>207</v>
      </c>
      <c r="B17" s="2">
        <f>IF($B$15="","",ROUND($B$16-$B$15,3))</f>
        <v>-0.56499999999999995</v>
      </c>
    </row>
    <row r="18" spans="1:6" x14ac:dyDescent="0.3">
      <c r="B18" s="2"/>
    </row>
    <row r="19" spans="1:6" x14ac:dyDescent="0.3">
      <c r="A19" t="s">
        <v>208</v>
      </c>
      <c r="B19" s="2">
        <f>IFERROR(AVERAGEIF(B$26:F$26,"Yes",B$54:F$54),0)</f>
        <v>7.2</v>
      </c>
    </row>
    <row r="20" spans="1:6" x14ac:dyDescent="0.3">
      <c r="A20" t="s">
        <v>209</v>
      </c>
      <c r="B20" s="2">
        <f>IFERROR(AVERAGEIF(B$26:F$26,"Yes",B$32:F$32),0)</f>
        <v>3</v>
      </c>
    </row>
    <row r="21" spans="1:6" x14ac:dyDescent="0.3">
      <c r="A21" t="s">
        <v>210</v>
      </c>
      <c r="B21" s="2">
        <f>IFERROR(AVERAGEIF(B$26:F$26,"Yes",B$55:F$55),0)</f>
        <v>2.7</v>
      </c>
    </row>
    <row r="22" spans="1:6" x14ac:dyDescent="0.3">
      <c r="A22" t="s">
        <v>211</v>
      </c>
      <c r="B22" s="2">
        <f>IFERROR(AVERAGEIF(B$26:F$26,"Yes",B$52:F$52),0)</f>
        <v>0</v>
      </c>
    </row>
    <row r="24" spans="1:6" x14ac:dyDescent="0.3">
      <c r="A24" s="1" t="s">
        <v>28</v>
      </c>
      <c r="B24" t="s">
        <v>287</v>
      </c>
      <c r="C24" t="s">
        <v>287</v>
      </c>
      <c r="D24" t="s">
        <v>287</v>
      </c>
      <c r="E24" t="s">
        <v>287</v>
      </c>
      <c r="F24" t="s">
        <v>245</v>
      </c>
    </row>
    <row r="25" spans="1:6" x14ac:dyDescent="0.3">
      <c r="A25" t="s">
        <v>214</v>
      </c>
      <c r="B25" t="s">
        <v>288</v>
      </c>
      <c r="C25" t="s">
        <v>288</v>
      </c>
      <c r="D25" t="s">
        <v>288</v>
      </c>
      <c r="E25" t="s">
        <v>288</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1</v>
      </c>
      <c r="C31" s="7">
        <v>1</v>
      </c>
      <c r="D31" s="7">
        <v>1</v>
      </c>
      <c r="E31" s="7">
        <v>1</v>
      </c>
      <c r="F31" s="7">
        <v>1</v>
      </c>
    </row>
    <row r="32" spans="1:6" x14ac:dyDescent="0.3">
      <c r="A32" t="s">
        <v>222</v>
      </c>
      <c r="B32" s="2">
        <v>3</v>
      </c>
      <c r="C32" s="2">
        <v>3</v>
      </c>
      <c r="D32" s="2">
        <v>3</v>
      </c>
      <c r="E32" s="2">
        <v>3</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1</v>
      </c>
      <c r="C41" s="2">
        <v>1</v>
      </c>
      <c r="D41" s="2">
        <v>1</v>
      </c>
      <c r="E41" s="2">
        <v>1</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7.2</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7.2</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7.2</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7.2</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2.7</v>
      </c>
      <c r="C55" s="2">
        <f>C$54-C$32*pw_Damage-C$33-C$52*pw_Summon</f>
        <v>2.7</v>
      </c>
      <c r="D55" s="2">
        <f>D$54-D$32*pw_Damage-D$33-D$52*pw_Summon</f>
        <v>2.7</v>
      </c>
      <c r="E55" s="2">
        <f>E$54-E$32*pw_Damage-E$33-E$52*pw_Summon</f>
        <v>2.7</v>
      </c>
      <c r="F55" s="2">
        <f>F$54-F$32*pw_Damage-F$33-F$52*pw_Summon</f>
        <v>1</v>
      </c>
    </row>
    <row r="57" spans="1:6" x14ac:dyDescent="0.3">
      <c r="A57" s="1" t="s">
        <v>30</v>
      </c>
      <c r="B57" s="3" t="s">
        <v>1</v>
      </c>
    </row>
  </sheetData>
  <dataValidations count="5">
    <dataValidation type="list" allowBlank="1" sqref="B10" xr:uid="{00000000-0002-0000-1500-000000000000}">
      <formula1>list_Brain</formula1>
    </dataValidation>
    <dataValidation type="list" allowBlank="1" sqref="B11" xr:uid="{00000000-0002-0000-1500-000001000000}">
      <formula1>list_Targeting</formula1>
    </dataValidation>
    <dataValidation type="list" allowBlank="1" sqref="B12" xr:uid="{00000000-0002-0000-1500-000002000000}">
      <formula1>list_Loot</formula1>
    </dataValidation>
    <dataValidation type="list" allowBlank="1" sqref="B13" xr:uid="{00000000-0002-0000-1500-000003000000}">
      <formula1>list_Role</formula1>
    </dataValidation>
    <dataValidation type="list" allowBlank="1" sqref="B24:F24" xr:uid="{00000000-0002-0000-1500-000004000000}">
      <formula1>list_EnemyCard</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195</v>
      </c>
    </row>
    <row r="2" spans="1:2" x14ac:dyDescent="0.3">
      <c r="A2" s="1" t="s">
        <v>119</v>
      </c>
      <c r="B2" t="s">
        <v>138</v>
      </c>
    </row>
    <row r="3" spans="1:2" x14ac:dyDescent="0.3">
      <c r="A3" s="1" t="s">
        <v>118</v>
      </c>
      <c r="B3" t="s">
        <v>196</v>
      </c>
    </row>
    <row r="4" spans="1:2" x14ac:dyDescent="0.3">
      <c r="A4" s="1" t="s">
        <v>202</v>
      </c>
      <c r="B4" t="str">
        <f>IF($B$3="","NEW","Live")</f>
        <v>Live</v>
      </c>
    </row>
    <row r="6" spans="1:2" x14ac:dyDescent="0.3">
      <c r="A6" s="1" t="s">
        <v>203</v>
      </c>
    </row>
    <row r="7" spans="1:2" x14ac:dyDescent="0.3">
      <c r="A7" s="5" t="s">
        <v>120</v>
      </c>
      <c r="B7" t="s">
        <v>197</v>
      </c>
    </row>
    <row r="8" spans="1:2" x14ac:dyDescent="0.3">
      <c r="A8" s="5" t="s">
        <v>121</v>
      </c>
      <c r="B8" t="s">
        <v>252</v>
      </c>
    </row>
    <row r="9" spans="1:2" x14ac:dyDescent="0.3">
      <c r="A9" s="5" t="s">
        <v>205</v>
      </c>
      <c r="B9" t="s">
        <v>206</v>
      </c>
    </row>
    <row r="10" spans="1:2" x14ac:dyDescent="0.3">
      <c r="A10" s="5" t="s">
        <v>123</v>
      </c>
      <c r="B10" t="s">
        <v>139</v>
      </c>
    </row>
    <row r="11" spans="1:2" x14ac:dyDescent="0.3">
      <c r="A11" s="5" t="s">
        <v>124</v>
      </c>
      <c r="B11" t="s">
        <v>146</v>
      </c>
    </row>
    <row r="12" spans="1:2" x14ac:dyDescent="0.3">
      <c r="A12" s="5" t="s">
        <v>125</v>
      </c>
      <c r="B12" t="s">
        <v>1</v>
      </c>
    </row>
    <row r="13" spans="1:2" x14ac:dyDescent="0.3">
      <c r="A13" s="5" t="s">
        <v>19</v>
      </c>
      <c r="B13" t="s">
        <v>142</v>
      </c>
    </row>
    <row r="15" spans="1:2" x14ac:dyDescent="0.3">
      <c r="A15" s="1" t="s">
        <v>15</v>
      </c>
      <c r="B15" t="s">
        <v>256</v>
      </c>
    </row>
    <row r="16" spans="1:2" x14ac:dyDescent="0.3">
      <c r="A16" s="1" t="s">
        <v>17</v>
      </c>
      <c r="B16" s="2">
        <f>IF($B$8="","",ROUND(($B$19*$B$9*pw_ActionScale+$B$8*pw_Health)/pw_Divisor,3))</f>
        <v>1.865</v>
      </c>
    </row>
    <row r="17" spans="1:6" x14ac:dyDescent="0.3">
      <c r="A17" t="s">
        <v>207</v>
      </c>
      <c r="B17" s="2">
        <f>IF($B$15="","",ROUND($B$16-$B$15,3))</f>
        <v>0.36499999999999999</v>
      </c>
    </row>
    <row r="18" spans="1:6" x14ac:dyDescent="0.3">
      <c r="B18" s="2"/>
    </row>
    <row r="19" spans="1:6" x14ac:dyDescent="0.3">
      <c r="A19" t="s">
        <v>208</v>
      </c>
      <c r="B19" s="2">
        <f>IFERROR(AVERAGEIF(B$26:F$26,"Yes",B$54:F$54),0)</f>
        <v>9.6</v>
      </c>
    </row>
    <row r="20" spans="1:6" x14ac:dyDescent="0.3">
      <c r="A20" t="s">
        <v>209</v>
      </c>
      <c r="B20" s="2">
        <f>IFERROR(AVERAGEIF(B$26:F$26,"Yes",B$32:F$32),0)</f>
        <v>3</v>
      </c>
    </row>
    <row r="21" spans="1:6" x14ac:dyDescent="0.3">
      <c r="A21" t="s">
        <v>210</v>
      </c>
      <c r="B21" s="2">
        <f>IFERROR(AVERAGEIF(B$26:F$26,"Yes",B$55:F$55),0)</f>
        <v>5.0999999999999996</v>
      </c>
    </row>
    <row r="22" spans="1:6" x14ac:dyDescent="0.3">
      <c r="A22" t="s">
        <v>211</v>
      </c>
      <c r="B22" s="2">
        <f>IFERROR(AVERAGEIF(B$26:F$26,"Yes",B$52:F$52),0)</f>
        <v>0</v>
      </c>
    </row>
    <row r="24" spans="1:6" x14ac:dyDescent="0.3">
      <c r="A24" s="1" t="s">
        <v>28</v>
      </c>
      <c r="B24" t="s">
        <v>289</v>
      </c>
      <c r="C24" t="s">
        <v>289</v>
      </c>
      <c r="D24" t="s">
        <v>289</v>
      </c>
      <c r="E24" t="s">
        <v>289</v>
      </c>
      <c r="F24" t="s">
        <v>245</v>
      </c>
    </row>
    <row r="25" spans="1:6" x14ac:dyDescent="0.3">
      <c r="A25" t="s">
        <v>214</v>
      </c>
      <c r="B25" t="s">
        <v>288</v>
      </c>
      <c r="C25" t="s">
        <v>288</v>
      </c>
      <c r="D25" t="s">
        <v>288</v>
      </c>
      <c r="E25" t="s">
        <v>288</v>
      </c>
      <c r="F25" t="s">
        <v>247</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1</v>
      </c>
    </row>
    <row r="31" spans="1:6" x14ac:dyDescent="0.3">
      <c r="A31" t="s">
        <v>221</v>
      </c>
      <c r="B31" s="7">
        <v>9</v>
      </c>
      <c r="C31" s="7">
        <v>9</v>
      </c>
      <c r="D31" s="7">
        <v>9</v>
      </c>
      <c r="E31" s="7">
        <v>9</v>
      </c>
      <c r="F31" s="7">
        <v>1</v>
      </c>
    </row>
    <row r="32" spans="1:6" x14ac:dyDescent="0.3">
      <c r="A32" t="s">
        <v>222</v>
      </c>
      <c r="B32" s="2">
        <v>3</v>
      </c>
      <c r="C32" s="2">
        <v>3</v>
      </c>
      <c r="D32" s="2">
        <v>3</v>
      </c>
      <c r="E32" s="2">
        <v>3</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223</v>
      </c>
      <c r="B34" s="2">
        <v>0</v>
      </c>
      <c r="C34" s="2">
        <v>0</v>
      </c>
      <c r="D34" s="2">
        <v>0</v>
      </c>
      <c r="E34" s="2">
        <v>0</v>
      </c>
      <c r="F34" s="2">
        <v>0</v>
      </c>
    </row>
    <row r="35" spans="1:6" x14ac:dyDescent="0.3">
      <c r="A35" t="s">
        <v>224</v>
      </c>
      <c r="B35" s="2">
        <v>0</v>
      </c>
      <c r="C35" s="2">
        <v>0</v>
      </c>
      <c r="D35" s="2">
        <v>0</v>
      </c>
      <c r="E35" s="2">
        <v>0</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1</v>
      </c>
      <c r="C41" s="2">
        <v>1</v>
      </c>
      <c r="D41" s="2">
        <v>1</v>
      </c>
      <c r="E41" s="2">
        <v>1</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1</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9.6</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9.6</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9.6</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9.6</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243</v>
      </c>
      <c r="B55" s="2">
        <f>B$54-B$32*pw_Damage-B$33-B$52*pw_Summon</f>
        <v>5.0999999999999996</v>
      </c>
      <c r="C55" s="2">
        <f>C$54-C$32*pw_Damage-C$33-C$52*pw_Summon</f>
        <v>5.0999999999999996</v>
      </c>
      <c r="D55" s="2">
        <f>D$54-D$32*pw_Damage-D$33-D$52*pw_Summon</f>
        <v>5.0999999999999996</v>
      </c>
      <c r="E55" s="2">
        <f>E$54-E$32*pw_Damage-E$33-E$52*pw_Summon</f>
        <v>5.0999999999999996</v>
      </c>
      <c r="F55" s="2">
        <f>F$54-F$32*pw_Damage-F$33-F$52*pw_Summon</f>
        <v>1</v>
      </c>
    </row>
    <row r="57" spans="1:6" x14ac:dyDescent="0.3">
      <c r="A57" s="1" t="s">
        <v>30</v>
      </c>
      <c r="B57" s="3" t="s">
        <v>1</v>
      </c>
    </row>
  </sheetData>
  <dataValidations count="5">
    <dataValidation type="list" allowBlank="1" sqref="B10" xr:uid="{00000000-0002-0000-1600-000000000000}">
      <formula1>list_Brain</formula1>
    </dataValidation>
    <dataValidation type="list" allowBlank="1" sqref="B11" xr:uid="{00000000-0002-0000-1600-000001000000}">
      <formula1>list_Targeting</formula1>
    </dataValidation>
    <dataValidation type="list" allowBlank="1" sqref="B12" xr:uid="{00000000-0002-0000-1600-000002000000}">
      <formula1>list_Loot</formula1>
    </dataValidation>
    <dataValidation type="list" allowBlank="1" sqref="B13" xr:uid="{00000000-0002-0000-1600-000003000000}">
      <formula1>list_Role</formula1>
    </dataValidation>
    <dataValidation type="list" allowBlank="1" sqref="B24:F24" xr:uid="{00000000-0002-0000-1600-000004000000}">
      <formula1>list_EnemyCard</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201</v>
      </c>
      <c r="B1" t="s">
        <v>198</v>
      </c>
    </row>
    <row r="2" spans="1:2" x14ac:dyDescent="0.3">
      <c r="A2" s="1" t="s">
        <v>119</v>
      </c>
      <c r="B2" t="s">
        <v>138</v>
      </c>
    </row>
    <row r="3" spans="1:2" x14ac:dyDescent="0.3">
      <c r="A3" s="1" t="s">
        <v>118</v>
      </c>
      <c r="B3" t="s">
        <v>199</v>
      </c>
    </row>
    <row r="4" spans="1:2" x14ac:dyDescent="0.3">
      <c r="A4" s="1" t="s">
        <v>202</v>
      </c>
      <c r="B4" t="str">
        <f>IF($B$3="","NEW","Live")</f>
        <v>Live</v>
      </c>
    </row>
    <row r="6" spans="1:2" x14ac:dyDescent="0.3">
      <c r="A6" s="1" t="s">
        <v>203</v>
      </c>
    </row>
    <row r="7" spans="1:2" x14ac:dyDescent="0.3">
      <c r="A7" s="5" t="s">
        <v>120</v>
      </c>
      <c r="B7" t="s">
        <v>200</v>
      </c>
    </row>
    <row r="8" spans="1:2" x14ac:dyDescent="0.3">
      <c r="A8" s="5" t="s">
        <v>121</v>
      </c>
      <c r="B8" t="s">
        <v>204</v>
      </c>
    </row>
    <row r="9" spans="1:2" x14ac:dyDescent="0.3">
      <c r="A9" s="5" t="s">
        <v>205</v>
      </c>
      <c r="B9" t="s">
        <v>206</v>
      </c>
    </row>
    <row r="10" spans="1:2" x14ac:dyDescent="0.3">
      <c r="A10" s="5" t="s">
        <v>123</v>
      </c>
      <c r="B10" t="s">
        <v>139</v>
      </c>
    </row>
    <row r="11" spans="1:2" x14ac:dyDescent="0.3">
      <c r="A11" s="5" t="s">
        <v>124</v>
      </c>
      <c r="B11" t="s">
        <v>140</v>
      </c>
    </row>
    <row r="12" spans="1:2" x14ac:dyDescent="0.3">
      <c r="A12" s="5" t="s">
        <v>125</v>
      </c>
      <c r="B12" t="s">
        <v>1</v>
      </c>
    </row>
    <row r="13" spans="1:2" x14ac:dyDescent="0.3">
      <c r="A13" s="5" t="s">
        <v>19</v>
      </c>
      <c r="B13" t="s">
        <v>153</v>
      </c>
    </row>
    <row r="15" spans="1:2" x14ac:dyDescent="0.3">
      <c r="A15" s="1" t="s">
        <v>15</v>
      </c>
      <c r="B15" t="s">
        <v>249</v>
      </c>
    </row>
    <row r="16" spans="1:2" x14ac:dyDescent="0.3">
      <c r="A16" s="1" t="s">
        <v>17</v>
      </c>
      <c r="B16" s="2">
        <f>IF($B$8="","",ROUND(($B$19*$B$9*pw_ActionScale+$B$8*pw_Health)/pw_Divisor,3))</f>
        <v>1.4</v>
      </c>
    </row>
    <row r="17" spans="1:6" x14ac:dyDescent="0.3">
      <c r="A17" t="s">
        <v>207</v>
      </c>
      <c r="B17" s="2">
        <f>IF($B$15="","",ROUND($B$16-$B$15,3))</f>
        <v>-0.6</v>
      </c>
    </row>
    <row r="18" spans="1:6" x14ac:dyDescent="0.3">
      <c r="B18" s="2"/>
    </row>
    <row r="19" spans="1:6" x14ac:dyDescent="0.3">
      <c r="A19" t="s">
        <v>208</v>
      </c>
      <c r="B19" s="2">
        <f>IFERROR(AVERAGEIF(B$26:F$26,"Yes",B$54:F$54),0)</f>
        <v>6.9</v>
      </c>
    </row>
    <row r="20" spans="1:6" x14ac:dyDescent="0.3">
      <c r="A20" t="s">
        <v>209</v>
      </c>
      <c r="B20" s="2">
        <f>IFERROR(AVERAGEIF(B$26:F$26,"Yes",B$32:F$32),0)</f>
        <v>3</v>
      </c>
    </row>
    <row r="21" spans="1:6" x14ac:dyDescent="0.3">
      <c r="A21" t="s">
        <v>210</v>
      </c>
      <c r="B21" s="2">
        <f>IFERROR(AVERAGEIF(B$26:F$26,"Yes",B$55:F$55),0)</f>
        <v>2.4000000000000004</v>
      </c>
    </row>
    <row r="22" spans="1:6" x14ac:dyDescent="0.3">
      <c r="A22" t="s">
        <v>211</v>
      </c>
      <c r="B22" s="2">
        <f>IFERROR(AVERAGEIF(B$26:F$26,"Yes",B$52:F$52),0)</f>
        <v>0</v>
      </c>
    </row>
    <row r="24" spans="1:6" x14ac:dyDescent="0.3">
      <c r="A24" s="1" t="s">
        <v>28</v>
      </c>
      <c r="B24" t="s">
        <v>290</v>
      </c>
      <c r="C24" t="s">
        <v>290</v>
      </c>
      <c r="D24" t="s">
        <v>290</v>
      </c>
      <c r="E24" t="s">
        <v>290</v>
      </c>
      <c r="F24" t="s">
        <v>213</v>
      </c>
    </row>
    <row r="25" spans="1:6" x14ac:dyDescent="0.3">
      <c r="A25" t="s">
        <v>214</v>
      </c>
      <c r="B25" t="s">
        <v>291</v>
      </c>
      <c r="C25" t="s">
        <v>291</v>
      </c>
      <c r="D25" t="s">
        <v>291</v>
      </c>
      <c r="E25" t="s">
        <v>291</v>
      </c>
      <c r="F25" t="s">
        <v>216</v>
      </c>
    </row>
    <row r="26" spans="1:6" x14ac:dyDescent="0.3">
      <c r="A26" t="s">
        <v>21</v>
      </c>
      <c r="B26" t="s">
        <v>217</v>
      </c>
      <c r="C26" t="s">
        <v>217</v>
      </c>
      <c r="D26" t="s">
        <v>217</v>
      </c>
      <c r="E26" t="s">
        <v>217</v>
      </c>
      <c r="F26" t="s">
        <v>138</v>
      </c>
    </row>
    <row r="28" spans="1:6" x14ac:dyDescent="0.3">
      <c r="A28" s="1" t="s">
        <v>218</v>
      </c>
    </row>
    <row r="29" spans="1:6" x14ac:dyDescent="0.3">
      <c r="A29" t="s">
        <v>219</v>
      </c>
      <c r="B29" s="7">
        <v>1</v>
      </c>
      <c r="C29" s="7">
        <v>1</v>
      </c>
      <c r="D29" s="7">
        <v>1</v>
      </c>
      <c r="E29" s="7">
        <v>1</v>
      </c>
      <c r="F29" s="7">
        <v>1</v>
      </c>
    </row>
    <row r="30" spans="1:6" x14ac:dyDescent="0.3">
      <c r="A30" t="s">
        <v>220</v>
      </c>
      <c r="B30" s="7">
        <v>1</v>
      </c>
      <c r="C30" s="7">
        <v>1</v>
      </c>
      <c r="D30" s="7">
        <v>1</v>
      </c>
      <c r="E30" s="7">
        <v>1</v>
      </c>
      <c r="F30" s="7">
        <v>2</v>
      </c>
    </row>
    <row r="31" spans="1:6" x14ac:dyDescent="0.3">
      <c r="A31" t="s">
        <v>221</v>
      </c>
      <c r="B31" s="7">
        <v>1</v>
      </c>
      <c r="C31" s="7">
        <v>1</v>
      </c>
      <c r="D31" s="7">
        <v>1</v>
      </c>
      <c r="E31" s="7">
        <v>1</v>
      </c>
      <c r="F31" s="7">
        <v>1</v>
      </c>
    </row>
    <row r="32" spans="1:6" x14ac:dyDescent="0.3">
      <c r="A32" t="s">
        <v>222</v>
      </c>
      <c r="B32" s="2">
        <v>3</v>
      </c>
      <c r="C32" s="2">
        <v>3</v>
      </c>
      <c r="D32" s="2">
        <v>3</v>
      </c>
      <c r="E32" s="2">
        <v>3</v>
      </c>
      <c r="F32" s="2">
        <v>0</v>
      </c>
    </row>
    <row r="33" spans="1:6" x14ac:dyDescent="0.3">
      <c r="A33" t="s">
        <v>114</v>
      </c>
      <c r="B33" s="2">
        <f>IFERROR(VLOOKUP(B$30,range_Power,2,TRUE),0)</f>
        <v>0</v>
      </c>
      <c r="C33" s="2">
        <f>IFERROR(VLOOKUP(C$30,range_Power,2,TRUE),0)</f>
        <v>0</v>
      </c>
      <c r="D33" s="2">
        <f>IFERROR(VLOOKUP(D$30,range_Power,2,TRUE),0)</f>
        <v>0</v>
      </c>
      <c r="E33" s="2">
        <f>IFERROR(VLOOKUP(E$30,range_Power,2,TRUE),0)</f>
        <v>0</v>
      </c>
      <c r="F33" s="2">
        <f>IFERROR(VLOOKUP(F$30,range_Power,2,TRUE),0)</f>
        <v>1.5</v>
      </c>
    </row>
    <row r="34" spans="1:6" x14ac:dyDescent="0.3">
      <c r="A34" t="s">
        <v>223</v>
      </c>
      <c r="B34" s="2">
        <v>0</v>
      </c>
      <c r="C34" s="2">
        <v>0</v>
      </c>
      <c r="D34" s="2">
        <v>0</v>
      </c>
      <c r="E34" s="2">
        <v>0</v>
      </c>
      <c r="F34" s="2">
        <v>0</v>
      </c>
    </row>
    <row r="35" spans="1:6" x14ac:dyDescent="0.3">
      <c r="A35" t="s">
        <v>224</v>
      </c>
      <c r="B35" s="2">
        <v>3</v>
      </c>
      <c r="C35" s="2">
        <v>3</v>
      </c>
      <c r="D35" s="2">
        <v>3</v>
      </c>
      <c r="E35" s="2">
        <v>3</v>
      </c>
      <c r="F35" s="2">
        <v>0</v>
      </c>
    </row>
    <row r="36" spans="1:6" x14ac:dyDescent="0.3">
      <c r="A36" t="s">
        <v>225</v>
      </c>
      <c r="B36" s="2">
        <v>0</v>
      </c>
      <c r="C36" s="2">
        <v>0</v>
      </c>
      <c r="D36" s="2">
        <v>0</v>
      </c>
      <c r="E36" s="2">
        <v>0</v>
      </c>
      <c r="F36" s="2">
        <v>0</v>
      </c>
    </row>
    <row r="37" spans="1:6" x14ac:dyDescent="0.3">
      <c r="A37" t="s">
        <v>226</v>
      </c>
      <c r="B37" s="2">
        <v>0</v>
      </c>
      <c r="C37" s="2">
        <v>0</v>
      </c>
      <c r="D37" s="2">
        <v>0</v>
      </c>
      <c r="E37" s="2">
        <v>0</v>
      </c>
      <c r="F37" s="2">
        <v>0</v>
      </c>
    </row>
    <row r="38" spans="1:6" x14ac:dyDescent="0.3">
      <c r="A38" t="s">
        <v>227</v>
      </c>
      <c r="B38" s="2">
        <v>0</v>
      </c>
      <c r="C38" s="2">
        <v>0</v>
      </c>
      <c r="D38" s="2">
        <v>0</v>
      </c>
      <c r="E38" s="2">
        <v>0</v>
      </c>
      <c r="F38" s="2">
        <v>0</v>
      </c>
    </row>
    <row r="39" spans="1:6" x14ac:dyDescent="0.3">
      <c r="A39" t="s">
        <v>228</v>
      </c>
      <c r="B39" s="2">
        <v>0</v>
      </c>
      <c r="C39" s="2">
        <v>0</v>
      </c>
      <c r="D39" s="2">
        <v>0</v>
      </c>
      <c r="E39" s="2">
        <v>0</v>
      </c>
      <c r="F39" s="2">
        <v>0</v>
      </c>
    </row>
    <row r="40" spans="1:6" x14ac:dyDescent="0.3">
      <c r="A40" t="s">
        <v>229</v>
      </c>
      <c r="B40" s="2">
        <v>0</v>
      </c>
      <c r="C40" s="2">
        <v>0</v>
      </c>
      <c r="D40" s="2">
        <v>0</v>
      </c>
      <c r="E40" s="2">
        <v>0</v>
      </c>
      <c r="F40" s="2">
        <v>0</v>
      </c>
    </row>
    <row r="41" spans="1:6" x14ac:dyDescent="0.3">
      <c r="A41" t="s">
        <v>230</v>
      </c>
      <c r="B41" s="2">
        <v>0</v>
      </c>
      <c r="C41" s="2">
        <v>0</v>
      </c>
      <c r="D41" s="2">
        <v>0</v>
      </c>
      <c r="E41" s="2">
        <v>0</v>
      </c>
      <c r="F41" s="2">
        <v>0</v>
      </c>
    </row>
    <row r="42" spans="1:6" x14ac:dyDescent="0.3">
      <c r="A42" t="s">
        <v>231</v>
      </c>
      <c r="B42" s="2">
        <v>0</v>
      </c>
      <c r="C42" s="2">
        <v>0</v>
      </c>
      <c r="D42" s="2">
        <v>0</v>
      </c>
      <c r="E42" s="2">
        <v>0</v>
      </c>
      <c r="F42" s="2">
        <v>0</v>
      </c>
    </row>
    <row r="43" spans="1:6" x14ac:dyDescent="0.3">
      <c r="A43" t="s">
        <v>232</v>
      </c>
      <c r="B43" s="2">
        <v>0</v>
      </c>
      <c r="C43" s="2">
        <v>0</v>
      </c>
      <c r="D43" s="2">
        <v>0</v>
      </c>
      <c r="E43" s="2">
        <v>0</v>
      </c>
      <c r="F43" s="2">
        <v>0</v>
      </c>
    </row>
    <row r="44" spans="1:6" x14ac:dyDescent="0.3">
      <c r="A44" t="s">
        <v>233</v>
      </c>
      <c r="B44" s="2">
        <v>0</v>
      </c>
      <c r="C44" s="2">
        <v>0</v>
      </c>
      <c r="D44" s="2">
        <v>0</v>
      </c>
      <c r="E44" s="2">
        <v>0</v>
      </c>
      <c r="F44" s="2">
        <v>0</v>
      </c>
    </row>
    <row r="45" spans="1:6" x14ac:dyDescent="0.3">
      <c r="A45" t="s">
        <v>234</v>
      </c>
      <c r="B45" s="2">
        <v>0</v>
      </c>
      <c r="C45" s="2">
        <v>0</v>
      </c>
      <c r="D45" s="2">
        <v>0</v>
      </c>
      <c r="E45" s="2">
        <v>0</v>
      </c>
      <c r="F45" s="2">
        <v>0</v>
      </c>
    </row>
    <row r="46" spans="1:6" x14ac:dyDescent="0.3">
      <c r="A46" t="s">
        <v>235</v>
      </c>
      <c r="B46" s="2">
        <v>0</v>
      </c>
      <c r="C46" s="2">
        <v>0</v>
      </c>
      <c r="D46" s="2">
        <v>0</v>
      </c>
      <c r="E46" s="2">
        <v>0</v>
      </c>
      <c r="F46" s="2">
        <v>0</v>
      </c>
    </row>
    <row r="47" spans="1:6" x14ac:dyDescent="0.3">
      <c r="A47" t="s">
        <v>236</v>
      </c>
      <c r="B47" s="2">
        <v>0</v>
      </c>
      <c r="C47" s="2">
        <v>0</v>
      </c>
      <c r="D47" s="2">
        <v>0</v>
      </c>
      <c r="E47" s="2">
        <v>0</v>
      </c>
      <c r="F47" s="2">
        <v>0</v>
      </c>
    </row>
    <row r="48" spans="1:6" x14ac:dyDescent="0.3">
      <c r="A48" t="s">
        <v>237</v>
      </c>
      <c r="B48" s="2">
        <v>0</v>
      </c>
      <c r="C48" s="2">
        <v>0</v>
      </c>
      <c r="D48" s="2">
        <v>0</v>
      </c>
      <c r="E48" s="2">
        <v>0</v>
      </c>
      <c r="F48" s="2">
        <v>0</v>
      </c>
    </row>
    <row r="49" spans="1:6" x14ac:dyDescent="0.3">
      <c r="A49" t="s">
        <v>238</v>
      </c>
      <c r="B49" s="2">
        <v>0</v>
      </c>
      <c r="C49" s="2">
        <v>0</v>
      </c>
      <c r="D49" s="2">
        <v>0</v>
      </c>
      <c r="E49" s="2">
        <v>0</v>
      </c>
      <c r="F49" s="2">
        <v>0</v>
      </c>
    </row>
    <row r="50" spans="1:6" x14ac:dyDescent="0.3">
      <c r="A50" t="s">
        <v>239</v>
      </c>
      <c r="B50" s="2">
        <v>0</v>
      </c>
      <c r="C50" s="2">
        <v>0</v>
      </c>
      <c r="D50" s="2">
        <v>0</v>
      </c>
      <c r="E50" s="2">
        <v>0</v>
      </c>
      <c r="F50" s="2">
        <v>0</v>
      </c>
    </row>
    <row r="51" spans="1:6" x14ac:dyDescent="0.3">
      <c r="A51" t="s">
        <v>240</v>
      </c>
      <c r="B51" s="2">
        <v>0</v>
      </c>
      <c r="C51" s="2">
        <v>0</v>
      </c>
      <c r="D51" s="2">
        <v>0</v>
      </c>
      <c r="E51" s="2">
        <v>0</v>
      </c>
      <c r="F51" s="2">
        <v>2</v>
      </c>
    </row>
    <row r="52" spans="1:6" x14ac:dyDescent="0.3">
      <c r="A52" t="s">
        <v>23</v>
      </c>
      <c r="B52" s="2">
        <v>0</v>
      </c>
      <c r="C52" s="2">
        <v>0</v>
      </c>
      <c r="D52" s="2">
        <v>0</v>
      </c>
      <c r="E52" s="2">
        <v>0</v>
      </c>
      <c r="F52" s="2">
        <v>0</v>
      </c>
    </row>
    <row r="53" spans="1:6" x14ac:dyDescent="0.3">
      <c r="A53" t="s">
        <v>241</v>
      </c>
      <c r="B53" s="7">
        <v>0</v>
      </c>
      <c r="C53" s="7">
        <v>0</v>
      </c>
      <c r="D53" s="7">
        <v>0</v>
      </c>
      <c r="E53" s="7">
        <v>0</v>
      </c>
      <c r="F53" s="7">
        <v>0</v>
      </c>
    </row>
    <row r="54" spans="1:6" x14ac:dyDescent="0.3">
      <c r="A54" s="1" t="s">
        <v>242</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6.9</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6.9</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6.9</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6.9</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3.5</v>
      </c>
    </row>
    <row r="55" spans="1:6" x14ac:dyDescent="0.3">
      <c r="A55" t="s">
        <v>243</v>
      </c>
      <c r="B55" s="2">
        <f>B$54-B$32*pw_Damage-B$33-B$52*pw_Summon</f>
        <v>2.4000000000000004</v>
      </c>
      <c r="C55" s="2">
        <f>C$54-C$32*pw_Damage-C$33-C$52*pw_Summon</f>
        <v>2.4000000000000004</v>
      </c>
      <c r="D55" s="2">
        <f>D$54-D$32*pw_Damage-D$33-D$52*pw_Summon</f>
        <v>2.4000000000000004</v>
      </c>
      <c r="E55" s="2">
        <f>E$54-E$32*pw_Damage-E$33-E$52*pw_Summon</f>
        <v>2.4000000000000004</v>
      </c>
      <c r="F55" s="2">
        <f>F$54-F$32*pw_Damage-F$33-F$52*pw_Summon</f>
        <v>2</v>
      </c>
    </row>
    <row r="57" spans="1:6" x14ac:dyDescent="0.3">
      <c r="A57" s="1" t="s">
        <v>30</v>
      </c>
      <c r="B57" s="3" t="s">
        <v>1</v>
      </c>
    </row>
  </sheetData>
  <dataValidations count="5">
    <dataValidation type="list" allowBlank="1" sqref="B10" xr:uid="{00000000-0002-0000-1700-000000000000}">
      <formula1>list_Brain</formula1>
    </dataValidation>
    <dataValidation type="list" allowBlank="1" sqref="B11" xr:uid="{00000000-0002-0000-1700-000001000000}">
      <formula1>list_Targeting</formula1>
    </dataValidation>
    <dataValidation type="list" allowBlank="1" sqref="B12" xr:uid="{00000000-0002-0000-1700-000002000000}">
      <formula1>list_Loot</formula1>
    </dataValidation>
    <dataValidation type="list" allowBlank="1" sqref="B13" xr:uid="{00000000-0002-0000-1700-000003000000}">
      <formula1>list_Role</formula1>
    </dataValidation>
    <dataValidation type="list" allowBlank="1" sqref="B24:F24" xr:uid="{00000000-0002-0000-1700-000004000000}">
      <formula1>list_EnemyCard</formula1>
    </dataValidation>
  </dataValidation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53"/>
  <sheetViews>
    <sheetView workbookViewId="0"/>
  </sheetViews>
  <sheetFormatPr defaultRowHeight="14.4" x14ac:dyDescent="0.3"/>
  <cols>
    <col min="1" max="6" width="22" customWidth="1"/>
  </cols>
  <sheetData>
    <row r="1" spans="1:7" x14ac:dyDescent="0.3">
      <c r="A1" s="1" t="s">
        <v>123</v>
      </c>
      <c r="B1" s="1" t="s">
        <v>124</v>
      </c>
      <c r="C1" s="1" t="s">
        <v>292</v>
      </c>
      <c r="D1" s="1" t="s">
        <v>19</v>
      </c>
      <c r="E1" s="1" t="s">
        <v>293</v>
      </c>
      <c r="F1" s="1" t="s">
        <v>294</v>
      </c>
      <c r="G1" s="5" t="s">
        <v>295</v>
      </c>
    </row>
    <row r="2" spans="1:7" x14ac:dyDescent="0.3">
      <c r="A2" t="s">
        <v>177</v>
      </c>
      <c r="B2" t="s">
        <v>1</v>
      </c>
      <c r="C2" t="s">
        <v>1</v>
      </c>
      <c r="D2" t="s">
        <v>177</v>
      </c>
      <c r="E2" t="s">
        <v>217</v>
      </c>
      <c r="F2" t="s">
        <v>296</v>
      </c>
    </row>
    <row r="3" spans="1:7" x14ac:dyDescent="0.3">
      <c r="A3" t="s">
        <v>139</v>
      </c>
      <c r="B3" t="s">
        <v>146</v>
      </c>
      <c r="C3" t="s">
        <v>297</v>
      </c>
      <c r="D3" t="s">
        <v>142</v>
      </c>
      <c r="E3" t="s">
        <v>138</v>
      </c>
      <c r="F3" t="s">
        <v>259</v>
      </c>
    </row>
    <row r="4" spans="1:7" x14ac:dyDescent="0.3">
      <c r="A4" t="s">
        <v>151</v>
      </c>
      <c r="B4" t="s">
        <v>172</v>
      </c>
      <c r="C4" t="s">
        <v>141</v>
      </c>
      <c r="D4" t="s">
        <v>153</v>
      </c>
      <c r="F4" t="s">
        <v>212</v>
      </c>
    </row>
    <row r="5" spans="1:7" x14ac:dyDescent="0.3">
      <c r="A5" t="s">
        <v>162</v>
      </c>
      <c r="B5" t="s">
        <v>298</v>
      </c>
      <c r="C5" t="s">
        <v>299</v>
      </c>
      <c r="D5" t="s">
        <v>300</v>
      </c>
      <c r="F5" t="s">
        <v>301</v>
      </c>
    </row>
    <row r="6" spans="1:7" x14ac:dyDescent="0.3">
      <c r="B6" t="s">
        <v>302</v>
      </c>
      <c r="C6" t="s">
        <v>303</v>
      </c>
      <c r="F6" t="s">
        <v>244</v>
      </c>
    </row>
    <row r="7" spans="1:7" x14ac:dyDescent="0.3">
      <c r="B7" t="s">
        <v>304</v>
      </c>
      <c r="C7" t="s">
        <v>305</v>
      </c>
      <c r="F7" t="s">
        <v>285</v>
      </c>
    </row>
    <row r="8" spans="1:7" x14ac:dyDescent="0.3">
      <c r="B8" t="s">
        <v>166</v>
      </c>
      <c r="C8" t="s">
        <v>306</v>
      </c>
      <c r="F8" t="s">
        <v>262</v>
      </c>
    </row>
    <row r="9" spans="1:7" x14ac:dyDescent="0.3">
      <c r="B9" t="s">
        <v>152</v>
      </c>
      <c r="C9" t="s">
        <v>307</v>
      </c>
      <c r="F9" t="s">
        <v>308</v>
      </c>
    </row>
    <row r="10" spans="1:7" x14ac:dyDescent="0.3">
      <c r="B10" t="s">
        <v>192</v>
      </c>
      <c r="C10" t="s">
        <v>309</v>
      </c>
      <c r="F10" t="s">
        <v>310</v>
      </c>
    </row>
    <row r="11" spans="1:7" x14ac:dyDescent="0.3">
      <c r="B11" t="s">
        <v>140</v>
      </c>
      <c r="C11" t="s">
        <v>311</v>
      </c>
      <c r="F11" t="s">
        <v>312</v>
      </c>
    </row>
    <row r="12" spans="1:7" x14ac:dyDescent="0.3">
      <c r="B12" t="s">
        <v>313</v>
      </c>
      <c r="C12" t="s">
        <v>314</v>
      </c>
      <c r="F12" t="s">
        <v>274</v>
      </c>
    </row>
    <row r="13" spans="1:7" x14ac:dyDescent="0.3">
      <c r="B13" t="s">
        <v>315</v>
      </c>
      <c r="C13" t="s">
        <v>316</v>
      </c>
      <c r="F13" t="s">
        <v>250</v>
      </c>
    </row>
    <row r="14" spans="1:7" x14ac:dyDescent="0.3">
      <c r="B14" t="s">
        <v>317</v>
      </c>
      <c r="C14" t="s">
        <v>318</v>
      </c>
      <c r="F14" t="s">
        <v>319</v>
      </c>
    </row>
    <row r="15" spans="1:7" x14ac:dyDescent="0.3">
      <c r="B15" t="s">
        <v>159</v>
      </c>
      <c r="F15" t="s">
        <v>320</v>
      </c>
    </row>
    <row r="16" spans="1:7" x14ac:dyDescent="0.3">
      <c r="F16" t="s">
        <v>321</v>
      </c>
    </row>
    <row r="17" spans="6:6" x14ac:dyDescent="0.3">
      <c r="F17" t="s">
        <v>322</v>
      </c>
    </row>
    <row r="18" spans="6:6" x14ac:dyDescent="0.3">
      <c r="F18" t="s">
        <v>323</v>
      </c>
    </row>
    <row r="19" spans="6:6" x14ac:dyDescent="0.3">
      <c r="F19" t="s">
        <v>253</v>
      </c>
    </row>
    <row r="20" spans="6:6" x14ac:dyDescent="0.3">
      <c r="F20" t="s">
        <v>282</v>
      </c>
    </row>
    <row r="21" spans="6:6" x14ac:dyDescent="0.3">
      <c r="F21" t="s">
        <v>287</v>
      </c>
    </row>
    <row r="22" spans="6:6" x14ac:dyDescent="0.3">
      <c r="F22" t="s">
        <v>324</v>
      </c>
    </row>
    <row r="23" spans="6:6" x14ac:dyDescent="0.3">
      <c r="F23" t="s">
        <v>325</v>
      </c>
    </row>
    <row r="24" spans="6:6" x14ac:dyDescent="0.3">
      <c r="F24" t="s">
        <v>266</v>
      </c>
    </row>
    <row r="25" spans="6:6" x14ac:dyDescent="0.3">
      <c r="F25" t="s">
        <v>290</v>
      </c>
    </row>
    <row r="26" spans="6:6" x14ac:dyDescent="0.3">
      <c r="F26" t="s">
        <v>326</v>
      </c>
    </row>
    <row r="27" spans="6:6" x14ac:dyDescent="0.3">
      <c r="F27" t="s">
        <v>245</v>
      </c>
    </row>
    <row r="28" spans="6:6" x14ac:dyDescent="0.3">
      <c r="F28" t="s">
        <v>213</v>
      </c>
    </row>
    <row r="29" spans="6:6" x14ac:dyDescent="0.3">
      <c r="F29" t="s">
        <v>327</v>
      </c>
    </row>
    <row r="30" spans="6:6" x14ac:dyDescent="0.3">
      <c r="F30" t="s">
        <v>328</v>
      </c>
    </row>
    <row r="31" spans="6:6" x14ac:dyDescent="0.3">
      <c r="F31" t="s">
        <v>269</v>
      </c>
    </row>
    <row r="32" spans="6:6" x14ac:dyDescent="0.3">
      <c r="F32" t="s">
        <v>329</v>
      </c>
    </row>
    <row r="33" spans="6:6" x14ac:dyDescent="0.3">
      <c r="F33" t="s">
        <v>330</v>
      </c>
    </row>
    <row r="34" spans="6:6" x14ac:dyDescent="0.3">
      <c r="F34" t="s">
        <v>331</v>
      </c>
    </row>
    <row r="35" spans="6:6" x14ac:dyDescent="0.3">
      <c r="F35" t="s">
        <v>280</v>
      </c>
    </row>
    <row r="36" spans="6:6" x14ac:dyDescent="0.3">
      <c r="F36" t="s">
        <v>332</v>
      </c>
    </row>
    <row r="37" spans="6:6" x14ac:dyDescent="0.3">
      <c r="F37" t="s">
        <v>333</v>
      </c>
    </row>
    <row r="38" spans="6:6" x14ac:dyDescent="0.3">
      <c r="F38" t="s">
        <v>334</v>
      </c>
    </row>
    <row r="39" spans="6:6" x14ac:dyDescent="0.3">
      <c r="F39" t="s">
        <v>335</v>
      </c>
    </row>
    <row r="40" spans="6:6" x14ac:dyDescent="0.3">
      <c r="F40" t="s">
        <v>336</v>
      </c>
    </row>
    <row r="41" spans="6:6" x14ac:dyDescent="0.3">
      <c r="F41" t="s">
        <v>337</v>
      </c>
    </row>
    <row r="42" spans="6:6" x14ac:dyDescent="0.3">
      <c r="F42" t="s">
        <v>338</v>
      </c>
    </row>
    <row r="43" spans="6:6" x14ac:dyDescent="0.3">
      <c r="F43" t="s">
        <v>289</v>
      </c>
    </row>
    <row r="44" spans="6:6" x14ac:dyDescent="0.3">
      <c r="F44" t="s">
        <v>339</v>
      </c>
    </row>
    <row r="45" spans="6:6" x14ac:dyDescent="0.3">
      <c r="F45" t="s">
        <v>276</v>
      </c>
    </row>
    <row r="46" spans="6:6" x14ac:dyDescent="0.3">
      <c r="F46" t="s">
        <v>340</v>
      </c>
    </row>
    <row r="47" spans="6:6" x14ac:dyDescent="0.3">
      <c r="F47" t="s">
        <v>341</v>
      </c>
    </row>
    <row r="48" spans="6:6" x14ac:dyDescent="0.3">
      <c r="F48" t="s">
        <v>263</v>
      </c>
    </row>
    <row r="49" spans="6:6" x14ac:dyDescent="0.3">
      <c r="F49" t="s">
        <v>342</v>
      </c>
    </row>
    <row r="50" spans="6:6" x14ac:dyDescent="0.3">
      <c r="F50" t="s">
        <v>343</v>
      </c>
    </row>
    <row r="51" spans="6:6" x14ac:dyDescent="0.3">
      <c r="F51" t="s">
        <v>270</v>
      </c>
    </row>
    <row r="52" spans="6:6" x14ac:dyDescent="0.3">
      <c r="F52" t="s">
        <v>344</v>
      </c>
    </row>
    <row r="53" spans="6:6" x14ac:dyDescent="0.3">
      <c r="F53" t="s">
        <v>257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60</vt:i4>
      </vt:variant>
    </vt:vector>
  </HeadingPairs>
  <TitlesOfParts>
    <vt:vector size="85" baseType="lpstr">
      <vt:lpstr>README</vt:lpstr>
      <vt:lpstr>PowerLevel</vt:lpstr>
      <vt:lpstr>Roster</vt:lpstr>
      <vt:lpstr>Bat</vt:lpstr>
      <vt:lpstr>BrittleSkeleton</vt:lpstr>
      <vt:lpstr>Crab</vt:lpstr>
      <vt:lpstr>EnemyRanger</vt:lpstr>
      <vt:lpstr>FlyingEye</vt:lpstr>
      <vt:lpstr>Goblin</vt:lpstr>
      <vt:lpstr>Golem</vt:lpstr>
      <vt:lpstr>HeavyBandit</vt:lpstr>
      <vt:lpstr>LightBandit</vt:lpstr>
      <vt:lpstr>Mimic</vt:lpstr>
      <vt:lpstr>Mushroom</vt:lpstr>
      <vt:lpstr>Pebble</vt:lpstr>
      <vt:lpstr>PlagueRat</vt:lpstr>
      <vt:lpstr>Rat</vt:lpstr>
      <vt:lpstr>Skeleton</vt:lpstr>
      <vt:lpstr>SkeletonAlly</vt:lpstr>
      <vt:lpstr>SkeletonWarrior</vt:lpstr>
      <vt:lpstr>Skull</vt:lpstr>
      <vt:lpstr>Slime</vt:lpstr>
      <vt:lpstr>SpikedSlime</vt:lpstr>
      <vt:lpstr>VampireBat</vt:lpstr>
      <vt:lpstr>Enums</vt:lpstr>
      <vt:lpstr>list_Bool</vt:lpstr>
      <vt:lpstr>list_Brain</vt:lpstr>
      <vt:lpstr>list_EnemyCard</vt:lpstr>
      <vt:lpstr>list_Loot</vt:lpstr>
      <vt:lpstr>list_Role</vt:lpstr>
      <vt:lpstr>list_Targeting</vt:lpstr>
      <vt:lpstr>pow_Bat</vt:lpstr>
      <vt:lpstr>pow_BrittleSkeleton</vt:lpstr>
      <vt:lpstr>pow_Crab</vt:lpstr>
      <vt:lpstr>pow_EnemyRanger</vt:lpstr>
      <vt:lpstr>pow_FlyingEye</vt:lpstr>
      <vt:lpstr>pow_Goblin</vt:lpstr>
      <vt:lpstr>pow_Golem</vt:lpstr>
      <vt:lpstr>pow_HeavyBandit</vt:lpstr>
      <vt:lpstr>pow_LightBandit</vt:lpstr>
      <vt:lpstr>pow_Mimic</vt:lpstr>
      <vt:lpstr>pow_Mushroom</vt:lpstr>
      <vt:lpstr>pow_Pebble</vt:lpstr>
      <vt:lpstr>pow_PlagueRat</vt:lpstr>
      <vt:lpstr>pow_Rat</vt:lpstr>
      <vt:lpstr>pow_Skeleton</vt:lpstr>
      <vt:lpstr>pow_SkeletonAlly</vt:lpstr>
      <vt:lpstr>pow_SkeletonWarrior</vt:lpstr>
      <vt:lpstr>pow_Skull</vt:lpstr>
      <vt:lpstr>pow_Slime</vt:lpstr>
      <vt:lpstr>pow_SpikedSlime</vt:lpstr>
      <vt:lpstr>pow_VampireBat</vt:lpstr>
      <vt:lpstr>pw_ActionScale</vt:lpstr>
      <vt:lpstr>pw_Area</vt:lpstr>
      <vt:lpstr>pw_Block</vt:lpstr>
      <vt:lpstr>pw_Damage</vt:lpstr>
      <vt:lpstr>pw_Divisor</vt:lpstr>
      <vt:lpstr>pw_Dodge</vt:lpstr>
      <vt:lpstr>pw_DoubleNextAttack</vt:lpstr>
      <vt:lpstr>pw_DoubleShield</vt:lpstr>
      <vt:lpstr>pw_Draw</vt:lpstr>
      <vt:lpstr>pw_Energy</vt:lpstr>
      <vt:lpstr>pw_Frozen</vt:lpstr>
      <vt:lpstr>pw_Heal</vt:lpstr>
      <vt:lpstr>pw_Health</vt:lpstr>
      <vt:lpstr>pw_Horizon</vt:lpstr>
      <vt:lpstr>pw_Move</vt:lpstr>
      <vt:lpstr>pw_Parry</vt:lpstr>
      <vt:lpstr>pw_Poison</vt:lpstr>
      <vt:lpstr>pw_PoisonBlade</vt:lpstr>
      <vt:lpstr>pw_Rooted</vt:lpstr>
      <vt:lpstr>pw_SelfDamage</vt:lpstr>
      <vt:lpstr>pw_Shield</vt:lpstr>
      <vt:lpstr>pw_Stealth</vt:lpstr>
      <vt:lpstr>pw_Strength</vt:lpstr>
      <vt:lpstr>pw_Summon</vt:lpstr>
      <vt:lpstr>pw_SummonHorizon</vt:lpstr>
      <vt:lpstr>pw_Taunt</vt:lpstr>
      <vt:lpstr>pw_Teleport</vt:lpstr>
      <vt:lpstr>pw_TileEffect</vt:lpstr>
      <vt:lpstr>pw_Tolerance</vt:lpstr>
      <vt:lpstr>pw_TotemActivations</vt:lpstr>
      <vt:lpstr>pw_Vulnerable</vt:lpstr>
      <vt:lpstr>pw_Weaken</vt:lpstr>
      <vt:lpstr>range_Power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Toxxic Impact</cp:lastModifiedBy>
  <dcterms:modified xsi:type="dcterms:W3CDTF">2026-09-10T22:55:18Z</dcterms:modified>
</cp:coreProperties>
</file>