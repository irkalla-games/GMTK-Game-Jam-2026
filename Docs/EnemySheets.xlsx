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25" r:id="rId26"/>
    <sheet name="PowerLevel" sheetId="1" r:id="rId1"/>
    <sheet name="Roster" sheetId="24" r:id="rId25"/>
    <sheet name="Bat" sheetId="4" r:id="rId5"/>
    <sheet name="BrittleSkeleton" sheetId="23" r:id="rId24"/>
    <sheet name="Crab" sheetId="5" r:id="rId6"/>
    <sheet name="EnemyRanger" sheetId="6" r:id="rId7"/>
    <sheet name="FlyingEye" sheetId="7" r:id="rId8"/>
    <sheet name="Goblin" sheetId="8" r:id="rId9"/>
    <sheet name="Golem" sheetId="9" r:id="rId10"/>
    <sheet name="HeavyBandit" sheetId="10" r:id="rId11"/>
    <sheet name="LightBandit" sheetId="11" r:id="rId12"/>
    <sheet name="Mimic" sheetId="12" r:id="rId13"/>
    <sheet name="Mushroom" sheetId="13" r:id="rId14"/>
    <sheet name="Pebble" sheetId="14" r:id="rId15"/>
    <sheet name="PlagueRat" sheetId="15" r:id="rId16"/>
    <sheet name="Rat" sheetId="16" r:id="rId17"/>
    <sheet name="Skeleton" sheetId="17" r:id="rId18"/>
    <sheet name="SkeletonAlly" sheetId="3" r:id="rId4"/>
    <sheet name="SkeletonWarrior" sheetId="18" r:id="rId19"/>
    <sheet name="Skull" sheetId="19" r:id="rId20"/>
    <sheet name="Slime" sheetId="20" r:id="rId21"/>
    <sheet name="SpikedSlime" sheetId="21" r:id="rId22"/>
    <sheet name="VampireBat" sheetId="22" r:id="rId23"/>
    <sheet name="Enums" sheetId="2" r:id="rId3"/>
  </sheets>
  <definedNames>
    <definedName name="pw_Damage">'PowerLevel'!$B$2</definedName>
    <definedName name="pw_Poison">'PowerLevel'!$B$3</definedName>
    <definedName name="pw_Shield">'PowerLevel'!$B$4</definedName>
    <definedName name="pw_Block">'PowerLevel'!$B$5</definedName>
    <definedName name="pw_Teleport">'PowerLevel'!$B$6</definedName>
    <definedName name="pw_Move">'PowerLevel'!$B$7</definedName>
    <definedName name="pw_Health">'PowerLevel'!$B$8</definedName>
    <definedName name="pw_Divisor">'PowerLevel'!$B$9</definedName>
    <definedName name="pw_Heal">'PowerLevel'!$B$10</definedName>
    <definedName name="pw_Strength">'PowerLevel'!$B$11</definedName>
    <definedName name="pw_DoubleNextAttack">'PowerLevel'!$B$12</definedName>
    <definedName name="pw_PoisonBlade">'PowerLevel'!$B$13</definedName>
    <definedName name="pw_Parry">'PowerLevel'!$B$14</definedName>
    <definedName name="pw_Dodge">'PowerLevel'!$B$15</definedName>
    <definedName name="pw_DoubleShield">'PowerLevel'!$B$16</definedName>
    <definedName name="pw_Frozen">'PowerLevel'!$B$17</definedName>
    <definedName name="pw_Rooted">'PowerLevel'!$B$18</definedName>
    <definedName name="pw_Weaken">'PowerLevel'!$B$19</definedName>
    <definedName name="pw_Vulnerable">'PowerLevel'!$B$20</definedName>
    <definedName name="pw_Taunt">'PowerLevel'!$B$21</definedName>
    <definedName name="pw_Stealth">'PowerLevel'!$B$22</definedName>
    <definedName name="pw_Summon">'PowerLevel'!$B$23</definedName>
    <definedName name="pw_SummonHorizon">'PowerLevel'!$B$24</definedName>
    <definedName name="pw_TotemActivations">'PowerLevel'!$B$25</definedName>
    <definedName name="pw_Area">'PowerLevel'!$B$26</definedName>
    <definedName name="pw_Horizon">'PowerLevel'!$B$27</definedName>
    <definedName name="pw_Draw">'PowerLevel'!$B$28</definedName>
    <definedName name="pw_Energy">'PowerLevel'!$B$29</definedName>
    <definedName name="pw_TileEffect">'PowerLevel'!$B$30</definedName>
    <definedName name="pw_SelfDamage">'PowerLevel'!$B$31</definedName>
    <definedName name="pw_ActionScale">'PowerLevel'!$B$32</definedName>
    <definedName name="pw_Tolerance">'PowerLevel'!$B$33</definedName>
    <definedName name="range_Power">'PowerLevel'!$A$38:$B$43</definedName>
    <definedName name="list_Brain">'Enums'!$A$2:$A$5</definedName>
    <definedName name="list_Targeting">'Enums'!$B$2:$B$12</definedName>
    <definedName name="list_Loot">'Enums'!$C$2:$C$14</definedName>
    <definedName name="list_Role">'Enums'!$D$2:$D$5</definedName>
    <definedName name="list_Bool">'Enums'!$E$2:$E$3</definedName>
    <definedName name="list_EnemyCard">'Enums'!$F$2:$F$50</definedName>
    <definedName name="pow_SkeletonAlly">'SkeletonAlly'!$B$16</definedName>
    <definedName name="pow_Bat">'Bat'!$B$16</definedName>
    <definedName name="pow_Crab">'Crab'!$B$16</definedName>
    <definedName name="pow_EnemyRanger">'EnemyRanger'!$B$16</definedName>
    <definedName name="pow_FlyingEye">'FlyingEye'!$B$16</definedName>
    <definedName name="pow_Goblin">'Goblin'!$B$16</definedName>
    <definedName name="pow_Golem">'Golem'!$B$16</definedName>
    <definedName name="pow_HeavyBandit">'HeavyBandit'!$B$16</definedName>
    <definedName name="pow_LightBandit">'LightBandit'!$B$16</definedName>
    <definedName name="pow_Mimic">'Mimic'!$B$16</definedName>
    <definedName name="pow_Mushroom">'Mushroom'!$B$16</definedName>
    <definedName name="pow_Pebble">'Pebble'!$B$16</definedName>
    <definedName name="pow_PlagueRat">'PlagueRat'!$B$16</definedName>
    <definedName name="pow_Rat">'Rat'!$B$16</definedName>
    <definedName name="pow_Skeleton">'Skeleton'!$B$16</definedName>
    <definedName name="pow_SkeletonWarrior">'SkeletonWarrior'!$B$16</definedName>
    <definedName name="pow_Skull">'Skull'!$B$16</definedName>
    <definedName name="pow_Slime">'Slime'!$B$16</definedName>
    <definedName name="pow_SpikedSlime">'SpikedSlime'!$B$16</definedName>
    <definedName name="pow_VampireBat">'VampireBat'!$B$16</definedName>
    <definedName name="pow_BrittleSkeleton">'BrittleSkeleton'!$B$16</definedName>
    <definedName name="_xlnm._FilterDatabase" localSheetId="2" hidden="1">'Roster'!$A$1:$Q$22</definedName>
  </definedNames>
  <calcPr fullCalcOnLoad="1"/>
</workbook>
</file>

<file path=xl/sharedStrings.xml><?xml version="1.0" encoding="utf-8"?>
<sst xmlns="http://schemas.openxmlformats.org/spreadsheetml/2006/main" count="322" uniqueCount="322">
  <si>
    <t>Term</t>
  </si>
  <si>
    <t>Value</t>
  </si>
  <si>
    <t>What this counts</t>
  </si>
  <si>
    <t>pw_Damage</t>
  </si>
  <si>
    <t>The numeraire. One point of damage to a hero = 1 power.</t>
  </si>
  <si>
    <t>pw_Poison</t>
  </si>
  <si>
    <t>Per point of lifetime damage-over-time (the triangular total of the stacks applied, not the stack count itself).</t>
  </si>
  <si>
    <t>pw_Shield</t>
  </si>
  <si>
    <t>Per point. ShieldStatus is wiped at OnTurnStart, so it only ever blocks one round.</t>
  </si>
  <si>
    <t>pw_Block</t>
  </si>
  <si>
    <t>Per point actually prevented (BlockStatus.AmountPerHit is a const 5, so a charge is worth 5 of these).</t>
  </si>
  <si>
    <t>pw_Teleport</t>
  </si>
  <si>
    <t>Reserved for a future teleport/swap effect - no enemy card uses this yet.</t>
  </si>
  <si>
    <t>pw_Move</t>
  </si>
  <si>
    <t>Per tile of forced repositioning (Move / Swap). "Move 2" is one Move card whose range reaches 2 tiles.</t>
  </si>
  <si>
    <t>pw_Health</t>
  </si>
  <si>
    <t>Per point of max health.</t>
  </si>
  <si>
    <t>pw_Divisor</t>
  </si>
  <si>
    <t>Everything above is summed and divided by this to land in the same range as Brandon's hand-authored numbers.</t>
  </si>
  <si>
    <t>pw_Heal</t>
  </si>
  <si>
    <t>Only useful once already damaged, so worth less than the same number as damage.</t>
  </si>
  <si>
    <t>pw_Strength</t>
  </si>
  <si>
    <t>Per stack per future attack this enemy is assumed to still make (see pw_Horizon).</t>
  </si>
  <si>
    <t>pw_DoubleNextAttack</t>
  </si>
  <si>
    <t>Per stack. Roughly one extra average hit.</t>
  </si>
  <si>
    <t>pw_PoisonBlade</t>
  </si>
  <si>
    <t>Per stack - the weapon-poison variant, scored the same as Poison stacks.</t>
  </si>
  <si>
    <t>pw_Parry</t>
  </si>
  <si>
    <t>Per charge. Negates a hit and reflects it - prevention plus a second attack.</t>
  </si>
  <si>
    <t>pw_Dodge</t>
  </si>
  <si>
    <t>Per charge. A fully avoided hit, but only ever one hit.</t>
  </si>
  <si>
    <t>pw_DoubleShield</t>
  </si>
  <si>
    <t>Per stack.</t>
  </si>
  <si>
    <t>pw_Frozen</t>
  </si>
  <si>
    <t>Per turn. Denies a whole hero turn - the single strongest thing an enemy card can do to a player.</t>
  </si>
  <si>
    <t>pw_Rooted</t>
  </si>
  <si>
    <t>Per turn. Denies movement only, so worth less than Frozen.</t>
  </si>
  <si>
    <t>pw_Weaken</t>
  </si>
  <si>
    <t>Per stack per future hero attack this is assumed to still reduce (see pw_Horizon).</t>
  </si>
  <si>
    <t>pw_Vulnerable</t>
  </si>
  <si>
    <t>Per stack per future hit this enemy is assumed to still amplify (see pw_Horizon). Symmetric with Weaken.</t>
  </si>
  <si>
    <t>pw_Taunt</t>
  </si>
  <si>
    <t>Per turn forced onto the party.</t>
  </si>
  <si>
    <t>pw_Stealth</t>
  </si>
  <si>
    <t>Per turn this enemy cannot be targeted.</t>
  </si>
  <si>
    <t>pw_Summon</t>
  </si>
  <si>
    <t>Multiplier on the summoned body's own Estimated Power Level (Totems use their Totem Power instead) - see the Roster tab.</t>
  </si>
  <si>
    <t>pw_SummonHorizon</t>
  </si>
  <si>
    <t>Turns a limited-lifetime summon is assumed worth. A permanent summon (lifetimeTurns 0) always scores in full; a summon lasting fewer turns than this is scaled down by lifetime/this.</t>
  </si>
  <si>
    <t>pw_TotemActivations</t>
  </si>
  <si>
    <t>How many times a totem's auras/reactions are assumed to pay out over its life - the same 3 Export-CardSheet.ps1 hardcodes for the card workbook, now tunable here.</t>
  </si>
  <si>
    <t>pw_Area</t>
  </si>
  <si>
    <t>Per extra tile an area-effect card's footprint covers, beyond the one tile it aims at.</t>
  </si>
  <si>
    <t>pw_Horizon</t>
  </si>
  <si>
    <t>How many future attacks a Strength/Weaken/Vulnerable stack is assumed to affect. Also gates how long a Poison Blade weapon-buff is assumed to keep landing.</t>
  </si>
  <si>
    <t>pw_Draw</t>
  </si>
  <si>
    <t>Per card. Enemies rarely draw, but a few summon/ritual cards do.</t>
  </si>
  <si>
    <t>pw_Energy</t>
  </si>
  <si>
    <t>Reserved - no enemy card currently grants energy.</t>
  </si>
  <si>
    <t>pw_TileEffect</t>
  </si>
  <si>
    <t>Per point of an unblockable tile-hazard's total payout (Wall of Flames magnitude * turns).</t>
  </si>
  <si>
    <t>pw_SelfDamage</t>
  </si>
  <si>
    <t>Per point. Negative - a card that hurts its own owner is a cost, not a benefit.</t>
  </si>
  <si>
    <t>pw_ActionScale</t>
  </si>
  <si>
    <t>Multiplies Average Card Power * Actions Per Turn before it is added to Health. 1 assumes every action in a turn is, on average, as strong as the deck's average card.</t>
  </si>
  <si>
    <t>pw_Tolerance</t>
  </si>
  <si>
    <t>How far Estimated Power Level may sit from Brandon's before the Roster tab flags it OVER/UNDER.</t>
  </si>
  <si>
    <t>Edit the Value column - every body tab and the Roster tab recalculate. Nothing here is baked into the export script.</t>
  </si>
  <si>
    <t>Range Power</t>
  </si>
  <si>
    <t>Range</t>
  </si>
  <si>
    <t>Power</t>
  </si>
  <si>
    <t>Looked up by nearest Range at or below a card's own Range Max - add a row for a new value; anything past the last row scores the same as it.</t>
  </si>
  <si>
    <t>Brain</t>
  </si>
  <si>
    <t>Targeting</t>
  </si>
  <si>
    <t>Loot</t>
  </si>
  <si>
    <t>Role</t>
  </si>
  <si>
    <t>Bool</t>
  </si>
  <si>
    <t>EnemyCard</t>
  </si>
  <si>
    <t>Drives the dropdowns on every body tab. Regenerated on every export.</t>
  </si>
  <si>
    <t>None</t>
  </si>
  <si>
    <t/>
  </si>
  <si>
    <t>Yes</t>
  </si>
  <si>
    <t>ArcaneLance</t>
  </si>
  <si>
    <t>Warrior</t>
  </si>
  <si>
    <t>Closest</t>
  </si>
  <si>
    <t>BlackKnightDrop</t>
  </si>
  <si>
    <t>Frontline</t>
  </si>
  <si>
    <t>No</t>
  </si>
  <si>
    <t>Backstab</t>
  </si>
  <si>
    <t>Ranger</t>
  </si>
  <si>
    <t>Furthest</t>
  </si>
  <si>
    <t>EarlyGame</t>
  </si>
  <si>
    <t>Backline</t>
  </si>
  <si>
    <t>Bite</t>
  </si>
  <si>
    <t>Summoner</t>
  </si>
  <si>
    <t>Random</t>
  </si>
  <si>
    <t>EarlyLevelReward</t>
  </si>
  <si>
    <t>Both</t>
  </si>
  <si>
    <t>BlackGuard</t>
  </si>
  <si>
    <t>RangerTargeting</t>
  </si>
  <si>
    <t>EvilKingDrop</t>
  </si>
  <si>
    <t>BoneBulwark</t>
  </si>
  <si>
    <t>Strongest</t>
  </si>
  <si>
    <t>EvilKnightDrop</t>
  </si>
  <si>
    <t>BoneChill</t>
  </si>
  <si>
    <t>TotemClosest</t>
  </si>
  <si>
    <t>EvilWizard2Drop</t>
  </si>
  <si>
    <t>BoulderSmash</t>
  </si>
  <si>
    <t>TotemFurthest</t>
  </si>
  <si>
    <t>EvilWizard3Drop</t>
  </si>
  <si>
    <t>CallReinforcements</t>
  </si>
  <si>
    <t>TotemWeakest</t>
  </si>
  <si>
    <t>EvilWizardDrop</t>
  </si>
  <si>
    <t>CallTheDamned</t>
  </si>
  <si>
    <t>WarriorTargeting</t>
  </si>
  <si>
    <t>PoisonSkeleton</t>
  </si>
  <si>
    <t>CallTheSwarm</t>
  </si>
  <si>
    <t>Weakest</t>
  </si>
  <si>
    <t>ReaperDrop</t>
  </si>
  <si>
    <t>Chomp</t>
  </si>
  <si>
    <t>ReinforcedGolemDrop</t>
  </si>
  <si>
    <t>ClawAttack</t>
  </si>
  <si>
    <t>TutorialSapDrop</t>
  </si>
  <si>
    <t>ConjureOoze</t>
  </si>
  <si>
    <t>DarkBolt</t>
  </si>
  <si>
    <t>DeathsToll</t>
  </si>
  <si>
    <t>DreadCleave</t>
  </si>
  <si>
    <t>EmberShroud</t>
  </si>
  <si>
    <t>EnemyArrow</t>
  </si>
  <si>
    <t>EnemySlash</t>
  </si>
  <si>
    <t>Engulf</t>
  </si>
  <si>
    <t>ExecutionersBlow</t>
  </si>
  <si>
    <t>Gnaw</t>
  </si>
  <si>
    <t>HeavySwing</t>
  </si>
  <si>
    <t>LifeLeech</t>
  </si>
  <si>
    <t>MeteorFall</t>
  </si>
  <si>
    <t>MoveInnate</t>
  </si>
  <si>
    <t>MoveInnate2</t>
  </si>
  <si>
    <t>Overflow</t>
  </si>
  <si>
    <t>PlagueBite</t>
  </si>
  <si>
    <t>QuickCut</t>
  </si>
  <si>
    <t>RaiseDead</t>
  </si>
  <si>
    <t>Rally</t>
  </si>
  <si>
    <t>Riposte</t>
  </si>
  <si>
    <t>Roll</t>
  </si>
  <si>
    <t>RoyalCommand</t>
  </si>
  <si>
    <t>RoyalGuard</t>
  </si>
  <si>
    <t>SeismicSlam</t>
  </si>
  <si>
    <t>ShadowWard</t>
  </si>
  <si>
    <t>ShieldBash</t>
  </si>
  <si>
    <t>Slash+</t>
  </si>
  <si>
    <t>SoulReap</t>
  </si>
  <si>
    <t>SpikeBurst</t>
  </si>
  <si>
    <t>SplinterOff</t>
  </si>
  <si>
    <t>SporeCloud</t>
  </si>
  <si>
    <t>StoneSkin</t>
  </si>
  <si>
    <t>SummonImp</t>
  </si>
  <si>
    <t>SummonSkeletonWarrior</t>
  </si>
  <si>
    <t>VoidBarrier</t>
  </si>
  <si>
    <t>WitheringGaze</t>
  </si>
  <si>
    <t>Enemy Name</t>
  </si>
  <si>
    <t>SkeletonAlly</t>
  </si>
  <si>
    <t>Boss</t>
  </si>
  <si>
    <t>GUID</t>
  </si>
  <si>
    <t>eaade4b777fd45447af03588cf3692e5</t>
  </si>
  <si>
    <t>Sync</t>
  </si>
  <si>
    <t>Stats (synced to Unity)</t>
  </si>
  <si>
    <t>Display Name</t>
  </si>
  <si>
    <t>Skeleton</t>
  </si>
  <si>
    <t>Health</t>
  </si>
  <si>
    <t>Actions Per Turn</t>
  </si>
  <si>
    <t>Loot Table</t>
  </si>
  <si>
    <t>Brandon's Power Level</t>
  </si>
  <si>
    <t>Estimated Power Level</t>
  </si>
  <si>
    <t>Delta (Estimated - Brandon's)</t>
  </si>
  <si>
    <t>Average Card Power</t>
  </si>
  <si>
    <t>Average Damage</t>
  </si>
  <si>
    <t>Average Status Power</t>
  </si>
  <si>
    <t>Average Summon Power</t>
  </si>
  <si>
    <t>Deck</t>
  </si>
  <si>
    <t>Actions from Card</t>
  </si>
  <si>
    <t>8 damage</t>
  </si>
  <si>
    <t>Move 1</t>
  </si>
  <si>
    <t>Counted</t>
  </si>
  <si>
    <t>Card Facts</t>
  </si>
  <si>
    <t>Cost</t>
  </si>
  <si>
    <t>Range Max</t>
  </si>
  <si>
    <t>Tiles Hit</t>
  </si>
  <si>
    <t>Damage</t>
  </si>
  <si>
    <t>Poison Total</t>
  </si>
  <si>
    <t>Heal</t>
  </si>
  <si>
    <t>Shield</t>
  </si>
  <si>
    <t>Block Total</t>
  </si>
  <si>
    <t>Parry</t>
  </si>
  <si>
    <t>Dodge</t>
  </si>
  <si>
    <t>Strength</t>
  </si>
  <si>
    <t>Weaken</t>
  </si>
  <si>
    <t>Vulnerable</t>
  </si>
  <si>
    <t>Frozen</t>
  </si>
  <si>
    <t>Rooted</t>
  </si>
  <si>
    <t>Taunt</t>
  </si>
  <si>
    <t>Stealth</t>
  </si>
  <si>
    <t>Poison Blade</t>
  </si>
  <si>
    <t>Double Next Attack</t>
  </si>
  <si>
    <t>Double Shield</t>
  </si>
  <si>
    <t>Draw</t>
  </si>
  <si>
    <t>Move Tiles</t>
  </si>
  <si>
    <t>Summon Power</t>
  </si>
  <si>
    <t>Cooldown</t>
  </si>
  <si>
    <t>Card Power</t>
  </si>
  <si>
    <t>Status Power</t>
  </si>
  <si>
    <t>Notes</t>
  </si>
  <si>
    <t>Bat</t>
  </si>
  <si>
    <t>51cc0c0b40e7b264ebdf1dc4594559a6</t>
  </si>
  <si>
    <t>5 damage</t>
  </si>
  <si>
    <t>Move 2</t>
  </si>
  <si>
    <t>Crab</t>
  </si>
  <si>
    <t>f80d9dc6173669245bd4782952cd1667</t>
  </si>
  <si>
    <t>4 damage, Shield 4</t>
  </si>
  <si>
    <t>EnemyRanger</t>
  </si>
  <si>
    <t>e40f592bea6dbd64693626dad514798b</t>
  </si>
  <si>
    <t>FlyingEye</t>
  </si>
  <si>
    <t>158567c6103052b45a79feac134a4c3b</t>
  </si>
  <si>
    <t>Flying Eye</t>
  </si>
  <si>
    <t>3 damage</t>
  </si>
  <si>
    <t>Goblin</t>
  </si>
  <si>
    <t>fe7fe8169a3ae3f4ab1463af48263a1a</t>
  </si>
  <si>
    <t>4 damage</t>
  </si>
  <si>
    <t>Golem</t>
  </si>
  <si>
    <t>5bdb828176c88144986e3b367ffda1b4</t>
  </si>
  <si>
    <t>HeavyBandit</t>
  </si>
  <si>
    <t>abb6f217c283d344999e3f27fa36640f</t>
  </si>
  <si>
    <t>Heavy Bandit</t>
  </si>
  <si>
    <t>6 damage</t>
  </si>
  <si>
    <t>LightBandit</t>
  </si>
  <si>
    <t>df52b2ab92f38fd4eb6d6064e8197a56</t>
  </si>
  <si>
    <t>Light Bandit</t>
  </si>
  <si>
    <t>3 damage, Weaken 1</t>
  </si>
  <si>
    <t>Mimic</t>
  </si>
  <si>
    <t>022c86b9aa20aaf44806e866dd6d8971</t>
  </si>
  <si>
    <t>7 damage</t>
  </si>
  <si>
    <t>Mushroom</t>
  </si>
  <si>
    <t>f04aa7787f30bab4a96433807a0f06a5</t>
  </si>
  <si>
    <t>Poison 3</t>
  </si>
  <si>
    <t>Pebble</t>
  </si>
  <si>
    <t>cffb630e9ce4c0f4798ae3e294d1d8e8</t>
  </si>
  <si>
    <t>2 damage</t>
  </si>
  <si>
    <t>PlagueRat</t>
  </si>
  <si>
    <t>37960ead296e23e4ca189530884917c3</t>
  </si>
  <si>
    <t>Plague Rat</t>
  </si>
  <si>
    <t>2 damage, Poison 3</t>
  </si>
  <si>
    <t>Rat</t>
  </si>
  <si>
    <t>b9a57d66ac78e19468a62c235ce3e746</t>
  </si>
  <si>
    <t>2 damage, Poison 2</t>
  </si>
  <si>
    <t>909b3cba860296d47997ee7846ec93f8</t>
  </si>
  <si>
    <t>3 damage, Shield 5</t>
  </si>
  <si>
    <t>SkeletonWarrior</t>
  </si>
  <si>
    <t>d1b7793de9d268945bdf70cf0af39a94</t>
  </si>
  <si>
    <t>Skeleton Warrior</t>
  </si>
  <si>
    <t>Skull</t>
  </si>
  <si>
    <t>40cab8c86b3615741ac4bc8db8156b37</t>
  </si>
  <si>
    <t>3 damage, Vulnerable 1</t>
  </si>
  <si>
    <t>Slime</t>
  </si>
  <si>
    <t>7902e6bd6fe8b444eab36cf00a8771be</t>
  </si>
  <si>
    <t>3 damage, Root 1t</t>
  </si>
  <si>
    <t>SpikedSlime</t>
  </si>
  <si>
    <t>a759c0567adbde54f8e686c473b037cd</t>
  </si>
  <si>
    <t>Spiked Slime</t>
  </si>
  <si>
    <t>VampireBat</t>
  </si>
  <si>
    <t>e2566430033deb14c9d648e67fdf80e4</t>
  </si>
  <si>
    <t>Vampire Bat</t>
  </si>
  <si>
    <t>3 damage, Heal 3</t>
  </si>
  <si>
    <t>BrittleSkeleton</t>
  </si>
  <si>
    <t>4cb5e72728f8d3143a2397b50dff133f</t>
  </si>
  <si>
    <t>Brittle Skeleton</t>
  </si>
  <si>
    <t>Name</t>
  </si>
  <si>
    <t>Actions</t>
  </si>
  <si>
    <t>Deck Size</t>
  </si>
  <si>
    <t>Avg Damage</t>
  </si>
  <si>
    <t>Avg Status</t>
  </si>
  <si>
    <t>Avg Summon</t>
  </si>
  <si>
    <t>Avg Card Power</t>
  </si>
  <si>
    <t>Estimated</t>
  </si>
  <si>
    <t>Brandon's</t>
  </si>
  <si>
    <t>Effective Power</t>
  </si>
  <si>
    <t>Delta</t>
  </si>
  <si>
    <t>Flag</t>
  </si>
  <si>
    <t>Enemy Design Workbook</t>
  </si>
  <si>
    <t>One tab per enemy, ally and totem, all built from the actual prefabs and cards under Assets/Prefabs and Assets/Data/CardData/Enemy - this workbook only READS them today. Bosses live in Docs/BossDesign.xlsx instead.</t>
  </si>
  <si>
    <t>The tabs</t>
  </si>
  <si>
    <t>PowerLevel</t>
  </si>
  <si>
    <t>The tuning surface. Every pw_* weight here is a named cell - change one and every body tab and Roster recalculate immediately, no re-export needed.</t>
  </si>
  <si>
    <t>One tab per body</t>
  </si>
  <si>
    <t>Health, Actions Per Turn, Brain, Targeting, Loot Table, Role and Deck mirror the prefab's Character component. Card Facts below the deck strip are read from each card's own CardData/CardEffect assets - edit a card's numbers on Docs/CardDesign.xlsx, not here.</t>
  </si>
  <si>
    <t>One tab per totem</t>
  </si>
  <si>
    <t>A totem has no health or deck - Totem Power is its auras and reactions, weighted the same way a body's Card Power is.</t>
  </si>
  <si>
    <t>Roster</t>
  </si>
  <si>
    <t>Every body side by side, sorted by name, so you can see how they stack up. Fully formula-driven off the individual tabs.</t>
  </si>
  <si>
    <t>Enums</t>
  </si>
  <si>
    <t>Dropdown sources for Brain, Targeting, Loot Table and Deck cells.</t>
  </si>
  <si>
    <t>Reading a body tab</t>
  </si>
  <si>
    <t>Hand-authored ground truth - type in what a body feels like it should be worth. Preserved across re-exports.</t>
  </si>
  <si>
    <t>(Average Card Power * Actions Per Turn * pw_ActionScale + Health * pw_Health) / pw_Divisor. Tune the PowerLevel weights until Delta sits near zero for the bodies you already trust, then trust the estimate for the rest.</t>
  </si>
  <si>
    <t>Which spawn row(s) this body is eligible for - None (unconstrained), Frontline, Backline or Both. Synced to Character.battleRole; drives BattleManager.SpawnParty and EncounterRoller placement.</t>
  </si>
  <si>
    <t>No for a Move-only card or a Cooldown card - excluded from every average. Cooldown cards get scored separately later.</t>
  </si>
  <si>
    <t>A live reference to the summoned body's (or totem's) own power cell, scaled down if its lifetime is shorter than pw_SummonHorizon.</t>
  </si>
  <si>
    <t>Syncing back to Unity</t>
  </si>
  <si>
    <t>One button</t>
  </si>
  <si>
    <t>In Unity: Tools &gt; Sync Enemies With Sheet. Applies your edits to Health, Actions Per Turn, Brain, Targeting, Loot Table, Role and Deck to the matching prefab, then refreshes this workbook so anything changed in the Inspector shows up here too.</t>
  </si>
  <si>
    <t>One card name per column, left to right, no gaps - the first blank cell ends the deck. Duplicates are fine and expected (four Enemy Slash cards is four cells). Pick names from the dropdown so a typo cannot silently drop a card.</t>
  </si>
  <si>
    <t>Brandon's Power Level and Notes</t>
  </si>
  <si>
    <t>Never sync anywhere - they are authored HERE and preserved across every re-export.</t>
  </si>
  <si>
    <t>Card Facts, Card Power, averages, Roster</t>
  </si>
  <si>
    <t>Never hand-edit - fully derived from the prefab and its cards, rebuilt on every export.</t>
  </si>
  <si>
    <t>Effective Power and Boss</t>
  </si>
  <si>
    <t>Not sheet columns you edit directly - Effective Power (Brandon's if set, else Estimated) and Boss (which folder the prefab lives in) are written to Character.powerLevel/isBoss one-way, every sync, regardless of whether anything else on the tab changed. A body with neither Brandon's nor a usable Estimated result is skipped with a warning and can never be drawn by EncounterRoller.</t>
  </si>
  <si>
    <t>If both sides changed</t>
  </si>
  <si>
    <t>That body is left alone on BOTH sides and named in the Unity console, the same conflict rule Docs/CardDesign.xlsx follows. Make them agree, or change only one, then sync again.</t>
  </si>
  <si>
    <t>Regenerating without syncing</t>
  </si>
  <si>
    <t>Tools &gt; Enemies &gt; Refresh Sheet From Unity discards any sheet edit that has not been synced yet - only for when the sheet is known to be wrong.</t>
  </si>
  <si>
    <t>The other roster workbook</t>
  </si>
  <si>
    <t>Enemies, the ally and bosses are two separate workbooks driven by the same engine - Docs/EnemySheets.xlsx and Docs/BossDesign.xlsx - each with its own baseline and its own sync button. A prefab belongs to exactly one of them, decided by which folder it sits in under Assets/Prefabs.</t>
  </si>
</sst>
</file>

<file path=xl/styles.xml><?xml version="1.0" encoding="utf-8"?>
<styleSheet xmlns="http://schemas.openxmlformats.org/spreadsheetml/2006/main">
  <numFmts count="0"/>
  <fonts count="5">
    <font>
      <sz val="11"/>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0">
    <xf numFmtId="0" applyNumberFormat="1" fontId="0" applyFont="1" xfId="0" applyProtection="1"/>
    <xf numFmtId="0" applyNumberFormat="1" fontId="1" applyFont="1" xfId="0" applyProtection="1"/>
    <xf numFmtId="2" applyNumberFormat="1" fontId="0" applyFont="1" xfId="0" applyProtection="1"/>
    <xf numFmtId="0" applyNumberFormat="1" fontId="0" applyFont="1" xfId="0" applyProtection="1">
      <alignment wrapText="1"/>
    </xf>
    <xf numFmtId="0" applyNumberFormat="1" fontId="1" applyFont="1" xfId="0" applyProtection="1">
      <alignment wrapText="1"/>
    </xf>
    <xf numFmtId="0" applyNumberFormat="1" fontId="2" applyFont="1" xfId="0" applyProtection="1"/>
    <xf numFmtId="2" applyNumberFormat="1" fontId="1" applyFont="1" xfId="0" applyProtection="1"/>
    <xf numFmtId="1" applyNumberFormat="1" fontId="0" applyFont="1" xfId="0" applyProtection="1"/>
    <xf numFmtId="0" applyNumberFormat="1" fontId="3" applyFont="1" xfId="0" applyProtection="1"/>
    <xf numFmtId="0" applyNumberFormat="1" fontId="4" applyFont="1" xfId="0" applyProtection="1"/>
  </cellXfs>
  <cellStyles count="1">
    <cellStyle name="Normal" xfId="0" builtinId="0"/>
  </cellStyles>
  <dxfs count="3">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dimension ref="A1:C200"/>
  <sheetViews>
    <sheetView workbookViewId="0" tabSelected="0">
      <pane ySplit="1" topLeftCell="A2" state="frozen" activePane="bottomLeft"/>
      <selection pane="bottomLeft" activeCell="A1" sqref="A1"/>
    </sheetView>
  </sheetViews>
  <sheetFormatPr defaultRowHeight="15"/>
  <cols>
    <col min="1" max="1" width="20" customWidth="1"/>
    <col min="2" max="2" width="11" customWidth="1"/>
    <col min="3" max="3" width="90" customWidth="1" style="3"/>
  </cols>
  <sheetData>
    <row r="1">
      <c r="A1" s="1" t="s">
        <v>0</v>
      </c>
      <c r="B1" s="1" t="s">
        <v>1</v>
      </c>
      <c r="C1" s="4" t="s">
        <v>2</v>
      </c>
    </row>
    <row r="2">
      <c r="A2" s="0" t="s">
        <v>3</v>
      </c>
      <c r="B2" s="2">
        <v>1</v>
      </c>
      <c r="C2" s="3" t="s">
        <v>4</v>
      </c>
    </row>
    <row r="3">
      <c r="A3" s="0" t="s">
        <v>5</v>
      </c>
      <c r="B3" s="2">
        <v>0.9</v>
      </c>
      <c r="C3" s="3" t="s">
        <v>6</v>
      </c>
    </row>
    <row r="4">
      <c r="A4" s="0" t="s">
        <v>7</v>
      </c>
      <c r="B4" s="2">
        <v>0.5</v>
      </c>
      <c r="C4" s="3" t="s">
        <v>8</v>
      </c>
    </row>
    <row r="5">
      <c r="A5" s="0" t="s">
        <v>9</v>
      </c>
      <c r="B5" s="2">
        <v>0.5</v>
      </c>
      <c r="C5" s="3" t="s">
        <v>10</v>
      </c>
    </row>
    <row r="6">
      <c r="A6" s="0" t="s">
        <v>11</v>
      </c>
      <c r="B6" s="2">
        <v>4</v>
      </c>
      <c r="C6" s="3" t="s">
        <v>12</v>
      </c>
    </row>
    <row r="7">
      <c r="A7" s="0" t="s">
        <v>13</v>
      </c>
      <c r="B7" s="2">
        <v>1</v>
      </c>
      <c r="C7" s="3" t="s">
        <v>14</v>
      </c>
    </row>
    <row r="8">
      <c r="A8" s="0" t="s">
        <v>15</v>
      </c>
      <c r="B8" s="2">
        <v>0.5</v>
      </c>
      <c r="C8" s="3" t="s">
        <v>16</v>
      </c>
    </row>
    <row r="9">
      <c r="A9" s="0" t="s">
        <v>17</v>
      </c>
      <c r="B9" s="2">
        <v>17</v>
      </c>
      <c r="C9" s="3" t="s">
        <v>18</v>
      </c>
    </row>
    <row r="10">
      <c r="A10" s="0" t="s">
        <v>19</v>
      </c>
      <c r="B10" s="2">
        <v>0.8</v>
      </c>
      <c r="C10" s="3" t="s">
        <v>20</v>
      </c>
    </row>
    <row r="11">
      <c r="A11" s="0" t="s">
        <v>21</v>
      </c>
      <c r="B11" s="2">
        <v>0.9</v>
      </c>
      <c r="C11" s="3" t="s">
        <v>22</v>
      </c>
    </row>
    <row r="12">
      <c r="A12" s="0" t="s">
        <v>23</v>
      </c>
      <c r="B12" s="2">
        <v>3</v>
      </c>
      <c r="C12" s="3" t="s">
        <v>24</v>
      </c>
    </row>
    <row r="13">
      <c r="A13" s="0" t="s">
        <v>25</v>
      </c>
      <c r="B13" s="2">
        <v>1</v>
      </c>
      <c r="C13" s="3" t="s">
        <v>26</v>
      </c>
    </row>
    <row r="14">
      <c r="A14" s="0" t="s">
        <v>27</v>
      </c>
      <c r="B14" s="2">
        <v>1.5</v>
      </c>
      <c r="C14" s="3" t="s">
        <v>28</v>
      </c>
    </row>
    <row r="15">
      <c r="A15" s="0" t="s">
        <v>29</v>
      </c>
      <c r="B15" s="2">
        <v>1.5</v>
      </c>
      <c r="C15" s="3" t="s">
        <v>30</v>
      </c>
    </row>
    <row r="16">
      <c r="A16" s="0" t="s">
        <v>31</v>
      </c>
      <c r="B16" s="2">
        <v>2</v>
      </c>
      <c r="C16" s="3" t="s">
        <v>32</v>
      </c>
    </row>
    <row r="17">
      <c r="A17" s="0" t="s">
        <v>33</v>
      </c>
      <c r="B17" s="2">
        <v>3</v>
      </c>
      <c r="C17" s="3" t="s">
        <v>34</v>
      </c>
    </row>
    <row r="18">
      <c r="A18" s="0" t="s">
        <v>35</v>
      </c>
      <c r="B18" s="2">
        <v>1.5</v>
      </c>
      <c r="C18" s="3" t="s">
        <v>36</v>
      </c>
    </row>
    <row r="19">
      <c r="A19" s="0" t="s">
        <v>37</v>
      </c>
      <c r="B19" s="2">
        <v>0.9</v>
      </c>
      <c r="C19" s="3" t="s">
        <v>38</v>
      </c>
    </row>
    <row r="20">
      <c r="A20" s="0" t="s">
        <v>39</v>
      </c>
      <c r="B20" s="2">
        <v>0.9</v>
      </c>
      <c r="C20" s="3" t="s">
        <v>40</v>
      </c>
    </row>
    <row r="21">
      <c r="A21" s="0" t="s">
        <v>41</v>
      </c>
      <c r="B21" s="2">
        <v>1.5</v>
      </c>
      <c r="C21" s="3" t="s">
        <v>42</v>
      </c>
    </row>
    <row r="22">
      <c r="A22" s="0" t="s">
        <v>43</v>
      </c>
      <c r="B22" s="2">
        <v>1</v>
      </c>
      <c r="C22" s="3" t="s">
        <v>44</v>
      </c>
    </row>
    <row r="23">
      <c r="A23" s="0" t="s">
        <v>45</v>
      </c>
      <c r="B23" s="2">
        <v>1</v>
      </c>
      <c r="C23" s="3" t="s">
        <v>46</v>
      </c>
    </row>
    <row r="24">
      <c r="A24" s="0" t="s">
        <v>47</v>
      </c>
      <c r="B24" s="2">
        <v>5</v>
      </c>
      <c r="C24" s="3" t="s">
        <v>48</v>
      </c>
    </row>
    <row r="25">
      <c r="A25" s="0" t="s">
        <v>49</v>
      </c>
      <c r="B25" s="2">
        <v>3</v>
      </c>
      <c r="C25" s="3" t="s">
        <v>50</v>
      </c>
    </row>
    <row r="26">
      <c r="A26" s="0" t="s">
        <v>51</v>
      </c>
      <c r="B26" s="2">
        <v>0.3</v>
      </c>
      <c r="C26" s="3" t="s">
        <v>52</v>
      </c>
    </row>
    <row r="27">
      <c r="A27" s="0" t="s">
        <v>53</v>
      </c>
      <c r="B27" s="2">
        <v>3</v>
      </c>
      <c r="C27" s="3" t="s">
        <v>54</v>
      </c>
    </row>
    <row r="28">
      <c r="A28" s="0" t="s">
        <v>55</v>
      </c>
      <c r="B28" s="2">
        <v>1</v>
      </c>
      <c r="C28" s="3" t="s">
        <v>56</v>
      </c>
    </row>
    <row r="29">
      <c r="A29" s="0" t="s">
        <v>57</v>
      </c>
      <c r="B29" s="2">
        <v>1</v>
      </c>
      <c r="C29" s="3" t="s">
        <v>58</v>
      </c>
    </row>
    <row r="30">
      <c r="A30" s="0" t="s">
        <v>59</v>
      </c>
      <c r="B30" s="2">
        <v>0.5</v>
      </c>
      <c r="C30" s="3" t="s">
        <v>60</v>
      </c>
    </row>
    <row r="31">
      <c r="A31" s="0" t="s">
        <v>61</v>
      </c>
      <c r="B31" s="2">
        <v>-1</v>
      </c>
      <c r="C31" s="3" t="s">
        <v>62</v>
      </c>
    </row>
    <row r="32">
      <c r="A32" s="0" t="s">
        <v>63</v>
      </c>
      <c r="B32" s="2">
        <v>2</v>
      </c>
      <c r="C32" s="3" t="s">
        <v>64</v>
      </c>
    </row>
    <row r="33">
      <c r="A33" s="0" t="s">
        <v>65</v>
      </c>
      <c r="B33" s="2">
        <v>0.25</v>
      </c>
      <c r="C33" s="3" t="s">
        <v>66</v>
      </c>
    </row>
    <row r="34">
      <c r="B34" s="2"/>
    </row>
    <row r="35">
      <c r="A35" s="5" t="s">
        <v>67</v>
      </c>
      <c r="B35" s="2"/>
    </row>
    <row r="36">
      <c r="A36" s="1" t="s">
        <v>68</v>
      </c>
      <c r="B36" s="2"/>
    </row>
    <row r="37">
      <c r="A37" s="1" t="s">
        <v>69</v>
      </c>
      <c r="B37" s="6" t="s">
        <v>70</v>
      </c>
    </row>
    <row r="38">
      <c r="A38" s="0">
        <v>1</v>
      </c>
      <c r="B38" s="2">
        <v>0</v>
      </c>
    </row>
    <row r="39">
      <c r="A39" s="0">
        <v>2</v>
      </c>
      <c r="B39" s="2">
        <v>1.5</v>
      </c>
    </row>
    <row r="40">
      <c r="A40" s="0">
        <v>3</v>
      </c>
      <c r="B40" s="2">
        <v>5</v>
      </c>
    </row>
    <row r="41">
      <c r="A41" s="0">
        <v>4</v>
      </c>
      <c r="B41" s="2">
        <v>6</v>
      </c>
    </row>
    <row r="42">
      <c r="A42" s="0">
        <v>5</v>
      </c>
      <c r="B42" s="2">
        <v>7</v>
      </c>
    </row>
    <row r="43">
      <c r="A43" s="0">
        <v>6</v>
      </c>
      <c r="B43" s="2">
        <v>8</v>
      </c>
    </row>
    <row r="44">
      <c r="A44" s="5" t="s">
        <v>71</v>
      </c>
      <c r="B44" s="2"/>
    </row>
    <row r="45">
      <c r="B45" s="2"/>
    </row>
    <row r="46">
      <c r="B46" s="2"/>
    </row>
    <row r="47">
      <c r="B47" s="2"/>
    </row>
    <row r="48">
      <c r="B48" s="2"/>
    </row>
    <row r="49">
      <c r="B49" s="2"/>
    </row>
    <row r="50">
      <c r="B50" s="2"/>
    </row>
    <row r="51">
      <c r="B51" s="2"/>
    </row>
    <row r="52">
      <c r="B52" s="2"/>
    </row>
    <row r="53">
      <c r="B53" s="2"/>
    </row>
    <row r="54">
      <c r="B54" s="2"/>
    </row>
    <row r="55">
      <c r="B55" s="2"/>
    </row>
    <row r="56">
      <c r="B56" s="2"/>
    </row>
    <row r="57">
      <c r="B57" s="2"/>
    </row>
    <row r="58">
      <c r="B58" s="2"/>
    </row>
    <row r="59">
      <c r="B59" s="2"/>
    </row>
    <row r="60">
      <c r="B60" s="2"/>
    </row>
    <row r="61">
      <c r="B61" s="2"/>
    </row>
    <row r="62">
      <c r="B62" s="2"/>
    </row>
    <row r="63">
      <c r="B63" s="2"/>
    </row>
    <row r="64">
      <c r="B64" s="2"/>
    </row>
    <row r="65">
      <c r="B65" s="2"/>
    </row>
    <row r="66">
      <c r="B66" s="2"/>
    </row>
    <row r="67">
      <c r="B67" s="2"/>
    </row>
    <row r="68">
      <c r="B68" s="2"/>
    </row>
    <row r="69">
      <c r="B69" s="2"/>
    </row>
    <row r="70">
      <c r="B70" s="2"/>
    </row>
    <row r="71">
      <c r="B71" s="2"/>
    </row>
    <row r="72">
      <c r="B72" s="2"/>
    </row>
    <row r="73">
      <c r="B73" s="2"/>
    </row>
    <row r="74">
      <c r="B74" s="2"/>
    </row>
    <row r="75">
      <c r="B75" s="2"/>
    </row>
    <row r="76">
      <c r="B76" s="2"/>
    </row>
    <row r="77">
      <c r="B77" s="2"/>
    </row>
    <row r="78">
      <c r="B78" s="2"/>
    </row>
    <row r="79">
      <c r="B79" s="2"/>
    </row>
    <row r="80">
      <c r="B80" s="2"/>
    </row>
    <row r="81">
      <c r="B81" s="2"/>
    </row>
    <row r="82">
      <c r="B82" s="2"/>
    </row>
    <row r="83">
      <c r="B83" s="2"/>
    </row>
    <row r="84">
      <c r="B84" s="2"/>
    </row>
    <row r="85">
      <c r="B85" s="2"/>
    </row>
    <row r="86">
      <c r="B86" s="2"/>
    </row>
    <row r="87">
      <c r="B87" s="2"/>
    </row>
    <row r="88">
      <c r="B88" s="2"/>
    </row>
    <row r="89">
      <c r="B89" s="2"/>
    </row>
    <row r="90">
      <c r="B90" s="2"/>
    </row>
    <row r="91">
      <c r="B91" s="2"/>
    </row>
    <row r="92">
      <c r="B92" s="2"/>
    </row>
    <row r="93">
      <c r="B93" s="2"/>
    </row>
    <row r="94">
      <c r="B94" s="2"/>
    </row>
    <row r="95">
      <c r="B95" s="2"/>
    </row>
    <row r="96">
      <c r="B96" s="2"/>
    </row>
    <row r="97">
      <c r="B97" s="2"/>
    </row>
    <row r="98">
      <c r="B98" s="2"/>
    </row>
    <row r="99">
      <c r="B99" s="2"/>
    </row>
    <row r="100">
      <c r="B100" s="2"/>
    </row>
    <row r="101">
      <c r="B101" s="2"/>
    </row>
    <row r="102">
      <c r="B102" s="2"/>
    </row>
    <row r="103">
      <c r="B103" s="2"/>
    </row>
    <row r="104">
      <c r="B104" s="2"/>
    </row>
    <row r="105">
      <c r="B105" s="2"/>
    </row>
    <row r="106">
      <c r="B106" s="2"/>
    </row>
    <row r="107">
      <c r="B107" s="2"/>
    </row>
    <row r="108">
      <c r="B108" s="2"/>
    </row>
    <row r="109">
      <c r="B109" s="2"/>
    </row>
    <row r="110">
      <c r="B110" s="2"/>
    </row>
    <row r="111">
      <c r="B111" s="2"/>
    </row>
    <row r="112">
      <c r="B112" s="2"/>
    </row>
    <row r="113">
      <c r="B113" s="2"/>
    </row>
    <row r="114">
      <c r="B114" s="2"/>
    </row>
    <row r="115">
      <c r="B115" s="2"/>
    </row>
    <row r="116">
      <c r="B116" s="2"/>
    </row>
    <row r="117">
      <c r="B117" s="2"/>
    </row>
    <row r="118">
      <c r="B118" s="2"/>
    </row>
    <row r="119">
      <c r="B119" s="2"/>
    </row>
    <row r="120">
      <c r="B120" s="2"/>
    </row>
    <row r="121">
      <c r="B121" s="2"/>
    </row>
    <row r="122">
      <c r="B122" s="2"/>
    </row>
    <row r="123">
      <c r="B123" s="2"/>
    </row>
    <row r="124">
      <c r="B124" s="2"/>
    </row>
    <row r="125">
      <c r="B125" s="2"/>
    </row>
    <row r="126">
      <c r="B126" s="2"/>
    </row>
    <row r="127">
      <c r="B127" s="2"/>
    </row>
    <row r="128">
      <c r="B128" s="2"/>
    </row>
    <row r="129">
      <c r="B129" s="2"/>
    </row>
    <row r="130">
      <c r="B130" s="2"/>
    </row>
    <row r="131">
      <c r="B131" s="2"/>
    </row>
    <row r="132">
      <c r="B132" s="2"/>
    </row>
    <row r="133">
      <c r="B133" s="2"/>
    </row>
    <row r="134">
      <c r="B134" s="2"/>
    </row>
    <row r="135">
      <c r="B135" s="2"/>
    </row>
    <row r="136">
      <c r="B136" s="2"/>
    </row>
    <row r="137">
      <c r="B137" s="2"/>
    </row>
    <row r="138">
      <c r="B138" s="2"/>
    </row>
    <row r="139">
      <c r="B139" s="2"/>
    </row>
    <row r="140">
      <c r="B140" s="2"/>
    </row>
    <row r="141">
      <c r="B141" s="2"/>
    </row>
    <row r="142">
      <c r="B142" s="2"/>
    </row>
    <row r="143">
      <c r="B143" s="2"/>
    </row>
    <row r="144">
      <c r="B144" s="2"/>
    </row>
    <row r="145">
      <c r="B145" s="2"/>
    </row>
    <row r="146">
      <c r="B146" s="2"/>
    </row>
    <row r="147">
      <c r="B147" s="2"/>
    </row>
    <row r="148">
      <c r="B148" s="2"/>
    </row>
    <row r="149">
      <c r="B149" s="2"/>
    </row>
    <row r="150">
      <c r="B150" s="2"/>
    </row>
    <row r="151">
      <c r="B151" s="2"/>
    </row>
    <row r="152">
      <c r="B152" s="2"/>
    </row>
    <row r="153">
      <c r="B153" s="2"/>
    </row>
    <row r="154">
      <c r="B154" s="2"/>
    </row>
    <row r="155">
      <c r="B155" s="2"/>
    </row>
    <row r="156">
      <c r="B156" s="2"/>
    </row>
    <row r="157">
      <c r="B157" s="2"/>
    </row>
    <row r="158">
      <c r="B158" s="2"/>
    </row>
    <row r="159">
      <c r="B159" s="2"/>
    </row>
    <row r="160">
      <c r="B160" s="2"/>
    </row>
    <row r="161">
      <c r="B161" s="2"/>
    </row>
    <row r="162">
      <c r="B162" s="2"/>
    </row>
    <row r="163">
      <c r="B163" s="2"/>
    </row>
    <row r="164">
      <c r="B164" s="2"/>
    </row>
    <row r="165">
      <c r="B165" s="2"/>
    </row>
    <row r="166">
      <c r="B166" s="2"/>
    </row>
    <row r="167">
      <c r="B167" s="2"/>
    </row>
    <row r="168">
      <c r="B168" s="2"/>
    </row>
    <row r="169">
      <c r="B169" s="2"/>
    </row>
    <row r="170">
      <c r="B170" s="2"/>
    </row>
    <row r="171">
      <c r="B171" s="2"/>
    </row>
    <row r="172">
      <c r="B172" s="2"/>
    </row>
    <row r="173">
      <c r="B173" s="2"/>
    </row>
    <row r="174">
      <c r="B174" s="2"/>
    </row>
    <row r="175">
      <c r="B175" s="2"/>
    </row>
    <row r="176">
      <c r="B176" s="2"/>
    </row>
    <row r="177">
      <c r="B177" s="2"/>
    </row>
    <row r="178">
      <c r="B178" s="2"/>
    </row>
    <row r="179">
      <c r="B179" s="2"/>
    </row>
    <row r="180">
      <c r="B180" s="2"/>
    </row>
    <row r="181">
      <c r="B181" s="2"/>
    </row>
    <row r="182">
      <c r="B182" s="2"/>
    </row>
    <row r="183">
      <c r="B183" s="2"/>
    </row>
    <row r="184">
      <c r="B184" s="2"/>
    </row>
    <row r="185">
      <c r="B185" s="2"/>
    </row>
    <row r="186">
      <c r="B186" s="2"/>
    </row>
    <row r="187">
      <c r="B187" s="2"/>
    </row>
    <row r="188">
      <c r="B188" s="2"/>
    </row>
    <row r="189">
      <c r="B189" s="2"/>
    </row>
    <row r="190">
      <c r="B190" s="2"/>
    </row>
    <row r="191">
      <c r="B191" s="2"/>
    </row>
    <row r="192">
      <c r="B192" s="2"/>
    </row>
    <row r="193">
      <c r="B193" s="2"/>
    </row>
    <row r="194">
      <c r="B194" s="2"/>
    </row>
    <row r="195">
      <c r="B195" s="2"/>
    </row>
    <row r="196">
      <c r="B196" s="2"/>
    </row>
    <row r="197">
      <c r="B197" s="2"/>
    </row>
    <row r="198">
      <c r="B198" s="2"/>
    </row>
    <row r="199">
      <c r="B199" s="2"/>
    </row>
    <row r="200">
      <c r="B200" s="2"/>
    </row>
  </sheetData>
  <headerFooter/>
</worksheet>
</file>

<file path=xl/worksheets/sheet2.xml><?xml version="1.0" encoding="utf-8"?>
<worksheet xmlns:r="http://schemas.openxmlformats.org/officeDocument/2006/relationships" xmlns="http://schemas.openxmlformats.org/spreadsheetml/2006/main">
  <dimension ref="A1:G50"/>
  <sheetViews>
    <sheetView workbookViewId="0" tabSelected="0"/>
  </sheetViews>
  <sheetFormatPr defaultRowHeight="15"/>
  <cols>
    <col min="1" max="1" width="22" customWidth="1"/>
    <col min="2" max="2" width="22" customWidth="1"/>
    <col min="3" max="3" width="22" customWidth="1"/>
    <col min="4" max="4" width="22" customWidth="1"/>
    <col min="5" max="5" width="22" customWidth="1"/>
    <col min="6" max="6" width="22" customWidth="1"/>
  </cols>
  <sheetData>
    <row r="1">
      <c r="A1" s="1" t="s">
        <v>72</v>
      </c>
      <c r="B1" s="1" t="s">
        <v>73</v>
      </c>
      <c r="C1" s="1" t="s">
        <v>74</v>
      </c>
      <c r="D1" s="1" t="s">
        <v>75</v>
      </c>
      <c r="E1" s="1" t="s">
        <v>76</v>
      </c>
      <c r="F1" s="1" t="s">
        <v>77</v>
      </c>
      <c r="G1" s="5" t="s">
        <v>78</v>
      </c>
    </row>
    <row r="2">
      <c r="A2" s="0" t="s">
        <v>79</v>
      </c>
      <c r="B2" s="0" t="s">
        <v>80</v>
      </c>
      <c r="C2" s="0" t="s">
        <v>80</v>
      </c>
      <c r="D2" s="0" t="s">
        <v>79</v>
      </c>
      <c r="E2" s="0" t="s">
        <v>81</v>
      </c>
      <c r="F2" s="0" t="s">
        <v>82</v>
      </c>
    </row>
    <row r="3">
      <c r="A3" s="0" t="s">
        <v>83</v>
      </c>
      <c r="B3" s="0" t="s">
        <v>84</v>
      </c>
      <c r="C3" s="0" t="s">
        <v>85</v>
      </c>
      <c r="D3" s="0" t="s">
        <v>86</v>
      </c>
      <c r="E3" s="0" t="s">
        <v>87</v>
      </c>
      <c r="F3" s="0" t="s">
        <v>88</v>
      </c>
    </row>
    <row r="4">
      <c r="A4" s="0" t="s">
        <v>89</v>
      </c>
      <c r="B4" s="0" t="s">
        <v>90</v>
      </c>
      <c r="C4" s="0" t="s">
        <v>91</v>
      </c>
      <c r="D4" s="0" t="s">
        <v>92</v>
      </c>
      <c r="F4" s="0" t="s">
        <v>93</v>
      </c>
    </row>
    <row r="5">
      <c r="A5" s="0" t="s">
        <v>94</v>
      </c>
      <c r="B5" s="0" t="s">
        <v>95</v>
      </c>
      <c r="C5" s="0" t="s">
        <v>96</v>
      </c>
      <c r="D5" s="0" t="s">
        <v>97</v>
      </c>
      <c r="F5" s="0" t="s">
        <v>98</v>
      </c>
    </row>
    <row r="6">
      <c r="B6" s="0" t="s">
        <v>99</v>
      </c>
      <c r="C6" s="0" t="s">
        <v>100</v>
      </c>
      <c r="F6" s="0" t="s">
        <v>101</v>
      </c>
    </row>
    <row r="7">
      <c r="B7" s="0" t="s">
        <v>102</v>
      </c>
      <c r="C7" s="0" t="s">
        <v>103</v>
      </c>
      <c r="F7" s="0" t="s">
        <v>104</v>
      </c>
    </row>
    <row r="8">
      <c r="B8" s="0" t="s">
        <v>105</v>
      </c>
      <c r="C8" s="0" t="s">
        <v>106</v>
      </c>
      <c r="F8" s="0" t="s">
        <v>107</v>
      </c>
    </row>
    <row r="9">
      <c r="B9" s="0" t="s">
        <v>108</v>
      </c>
      <c r="C9" s="0" t="s">
        <v>109</v>
      </c>
      <c r="F9" s="0" t="s">
        <v>110</v>
      </c>
    </row>
    <row r="10">
      <c r="B10" s="0" t="s">
        <v>111</v>
      </c>
      <c r="C10" s="0" t="s">
        <v>112</v>
      </c>
      <c r="F10" s="0" t="s">
        <v>113</v>
      </c>
    </row>
    <row r="11">
      <c r="B11" s="0" t="s">
        <v>114</v>
      </c>
      <c r="C11" s="0" t="s">
        <v>115</v>
      </c>
      <c r="F11" s="0" t="s">
        <v>116</v>
      </c>
    </row>
    <row r="12">
      <c r="B12" s="0" t="s">
        <v>117</v>
      </c>
      <c r="C12" s="0" t="s">
        <v>118</v>
      </c>
      <c r="F12" s="0" t="s">
        <v>119</v>
      </c>
    </row>
    <row r="13">
      <c r="C13" s="0" t="s">
        <v>120</v>
      </c>
      <c r="F13" s="0" t="s">
        <v>121</v>
      </c>
    </row>
    <row r="14">
      <c r="C14" s="0" t="s">
        <v>122</v>
      </c>
      <c r="F14" s="0" t="s">
        <v>123</v>
      </c>
    </row>
    <row r="15">
      <c r="F15" s="0" t="s">
        <v>124</v>
      </c>
    </row>
    <row r="16">
      <c r="F16" s="0" t="s">
        <v>125</v>
      </c>
    </row>
    <row r="17">
      <c r="F17" s="0" t="s">
        <v>126</v>
      </c>
    </row>
    <row r="18">
      <c r="F18" s="0" t="s">
        <v>127</v>
      </c>
    </row>
    <row r="19">
      <c r="F19" s="0" t="s">
        <v>128</v>
      </c>
    </row>
    <row r="20">
      <c r="F20" s="0" t="s">
        <v>129</v>
      </c>
    </row>
    <row r="21">
      <c r="F21" s="0" t="s">
        <v>130</v>
      </c>
    </row>
    <row r="22">
      <c r="F22" s="0" t="s">
        <v>131</v>
      </c>
    </row>
    <row r="23">
      <c r="F23" s="0" t="s">
        <v>132</v>
      </c>
    </row>
    <row r="24">
      <c r="F24" s="0" t="s">
        <v>133</v>
      </c>
    </row>
    <row r="25">
      <c r="F25" s="0" t="s">
        <v>134</v>
      </c>
    </row>
    <row r="26">
      <c r="F26" s="0" t="s">
        <v>135</v>
      </c>
    </row>
    <row r="27">
      <c r="F27" s="0" t="s">
        <v>136</v>
      </c>
    </row>
    <row r="28">
      <c r="F28" s="0" t="s">
        <v>137</v>
      </c>
    </row>
    <row r="29">
      <c r="F29" s="0" t="s">
        <v>138</v>
      </c>
    </row>
    <row r="30">
      <c r="F30" s="0" t="s">
        <v>139</v>
      </c>
    </row>
    <row r="31">
      <c r="F31" s="0" t="s">
        <v>140</v>
      </c>
    </row>
    <row r="32">
      <c r="F32" s="0" t="s">
        <v>141</v>
      </c>
    </row>
    <row r="33">
      <c r="F33" s="0" t="s">
        <v>142</v>
      </c>
    </row>
    <row r="34">
      <c r="F34" s="0" t="s">
        <v>143</v>
      </c>
    </row>
    <row r="35">
      <c r="F35" s="0" t="s">
        <v>144</v>
      </c>
    </row>
    <row r="36">
      <c r="F36" s="0" t="s">
        <v>145</v>
      </c>
    </row>
    <row r="37">
      <c r="F37" s="0" t="s">
        <v>146</v>
      </c>
    </row>
    <row r="38">
      <c r="F38" s="0" t="s">
        <v>147</v>
      </c>
    </row>
    <row r="39">
      <c r="F39" s="0" t="s">
        <v>148</v>
      </c>
    </row>
    <row r="40">
      <c r="F40" s="0" t="s">
        <v>149</v>
      </c>
    </row>
    <row r="41">
      <c r="F41" s="0" t="s">
        <v>150</v>
      </c>
    </row>
    <row r="42">
      <c r="F42" s="0" t="s">
        <v>151</v>
      </c>
    </row>
    <row r="43">
      <c r="F43" s="0" t="s">
        <v>152</v>
      </c>
    </row>
    <row r="44">
      <c r="F44" s="0" t="s">
        <v>153</v>
      </c>
    </row>
    <row r="45">
      <c r="F45" s="0" t="s">
        <v>154</v>
      </c>
    </row>
    <row r="46">
      <c r="F46" s="0" t="s">
        <v>155</v>
      </c>
    </row>
    <row r="47">
      <c r="F47" s="0" t="s">
        <v>156</v>
      </c>
    </row>
    <row r="48">
      <c r="F48" s="0" t="s">
        <v>157</v>
      </c>
    </row>
    <row r="49">
      <c r="F49" s="0" t="s">
        <v>158</v>
      </c>
    </row>
    <row r="50">
      <c r="F50" s="0" t="s">
        <v>159</v>
      </c>
    </row>
  </sheetData>
  <headerFooter/>
</worksheet>
</file>

<file path=xl/worksheets/sheet3.xml><?xml version="1.0" encoding="utf-8"?>
<worksheet xmlns:r="http://schemas.openxmlformats.org/officeDocument/2006/relationships" xmlns="http://schemas.openxmlformats.org/spreadsheetml/2006/main">
  <dimension ref="A1:E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s>
  <sheetData>
    <row r="1">
      <c r="A1" s="1" t="s">
        <v>160</v>
      </c>
      <c r="B1" s="0" t="s">
        <v>161</v>
      </c>
    </row>
    <row r="2">
      <c r="A2" s="1" t="s">
        <v>162</v>
      </c>
      <c r="B2" s="0" t="s">
        <v>87</v>
      </c>
    </row>
    <row r="3">
      <c r="A3" s="1" t="s">
        <v>163</v>
      </c>
      <c r="B3" s="0" t="s">
        <v>164</v>
      </c>
    </row>
    <row r="4">
      <c r="A4" s="1" t="s">
        <v>165</v>
      </c>
      <c r="B4" s="0">
        <f>IF($B$3="","NEW","Live")</f>
      </c>
    </row>
    <row r="6">
      <c r="A6" s="1" t="s">
        <v>166</v>
      </c>
    </row>
    <row r="7">
      <c r="A7" s="5" t="s">
        <v>167</v>
      </c>
      <c r="B7" s="0" t="s">
        <v>168</v>
      </c>
    </row>
    <row r="8">
      <c r="A8" s="5" t="s">
        <v>169</v>
      </c>
      <c r="B8" s="0">
        <v>15</v>
      </c>
    </row>
    <row r="9">
      <c r="A9" s="5" t="s">
        <v>170</v>
      </c>
      <c r="B9" s="0">
        <v>1</v>
      </c>
    </row>
    <row r="10">
      <c r="A10" s="5" t="s">
        <v>72</v>
      </c>
      <c r="B10" s="0" t="s">
        <v>83</v>
      </c>
    </row>
    <row r="11">
      <c r="A11" s="5" t="s">
        <v>73</v>
      </c>
      <c r="B11" s="0" t="s">
        <v>80</v>
      </c>
    </row>
    <row r="12">
      <c r="A12" s="5" t="s">
        <v>171</v>
      </c>
      <c r="B12" s="0" t="s">
        <v>80</v>
      </c>
    </row>
    <row r="13">
      <c r="A13" s="5" t="s">
        <v>75</v>
      </c>
      <c r="B13" s="0" t="s">
        <v>79</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IFERROR(AVERAGEIF(B$26:E$26,"Yes",B$54:E$54),0)</f>
      </c>
    </row>
    <row r="20">
      <c r="A20" s="0" t="s">
        <v>176</v>
      </c>
      <c r="B20" s="2">
        <f>IFERROR(AVERAGEIF(B$26:E$26,"Yes",B$32:E$32),0)</f>
      </c>
    </row>
    <row r="21">
      <c r="A21" s="0" t="s">
        <v>177</v>
      </c>
      <c r="B21" s="2">
        <f>IFERROR(AVERAGEIF(B$26:E$26,"Yes",B$55:E$55),0)</f>
      </c>
    </row>
    <row r="22">
      <c r="A22" s="0" t="s">
        <v>178</v>
      </c>
      <c r="B22" s="2">
        <f>IFERROR(AVERAGEIF(B$26:E$26,"Yes",B$52:E$52),0)</f>
      </c>
    </row>
    <row r="24">
      <c r="A24" s="1" t="s">
        <v>179</v>
      </c>
      <c r="B24" s="0" t="s">
        <v>129</v>
      </c>
      <c r="C24" s="0" t="s">
        <v>129</v>
      </c>
      <c r="D24" s="0" t="s">
        <v>136</v>
      </c>
      <c r="E24" s="0" t="s">
        <v>136</v>
      </c>
    </row>
    <row r="25">
      <c r="A25" s="0" t="s">
        <v>180</v>
      </c>
      <c r="B25" s="0" t="s">
        <v>181</v>
      </c>
      <c r="C25" s="0" t="s">
        <v>181</v>
      </c>
      <c r="D25" s="0" t="s">
        <v>182</v>
      </c>
      <c r="E25" s="0" t="s">
        <v>182</v>
      </c>
    </row>
    <row r="26">
      <c r="A26" s="0" t="s">
        <v>183</v>
      </c>
      <c r="B26" s="0" t="s">
        <v>81</v>
      </c>
      <c r="C26" s="0" t="s">
        <v>81</v>
      </c>
      <c r="D26" s="0" t="s">
        <v>87</v>
      </c>
      <c r="E26" s="0" t="s">
        <v>87</v>
      </c>
    </row>
    <row r="28">
      <c r="A28" s="1" t="s">
        <v>184</v>
      </c>
    </row>
    <row r="29">
      <c r="A29" s="0" t="s">
        <v>185</v>
      </c>
      <c r="B29" s="7">
        <v>1</v>
      </c>
      <c r="C29" s="7">
        <v>1</v>
      </c>
      <c r="D29" s="7">
        <v>1</v>
      </c>
      <c r="E29" s="7">
        <v>1</v>
      </c>
    </row>
    <row r="30">
      <c r="A30" s="0" t="s">
        <v>186</v>
      </c>
      <c r="B30" s="7">
        <v>1</v>
      </c>
      <c r="C30" s="7">
        <v>1</v>
      </c>
      <c r="D30" s="7">
        <v>1</v>
      </c>
      <c r="E30" s="7">
        <v>1</v>
      </c>
    </row>
    <row r="31">
      <c r="A31" s="0" t="s">
        <v>187</v>
      </c>
      <c r="B31" s="7">
        <v>1</v>
      </c>
      <c r="C31" s="7">
        <v>1</v>
      </c>
      <c r="D31" s="7">
        <v>1</v>
      </c>
      <c r="E31" s="7">
        <v>1</v>
      </c>
    </row>
    <row r="32">
      <c r="A32" s="0" t="s">
        <v>188</v>
      </c>
      <c r="B32" s="2">
        <v>8</v>
      </c>
      <c r="C32" s="2">
        <v>8</v>
      </c>
      <c r="D32" s="2">
        <v>0</v>
      </c>
      <c r="E32" s="2">
        <v>0</v>
      </c>
    </row>
    <row r="33">
      <c r="A33" s="0" t="s">
        <v>69</v>
      </c>
      <c r="B33" s="2">
        <f>IFERROR(VLOOKUP(B$30,range_Power,2,TRUE),0)</f>
      </c>
      <c r="C33" s="2">
        <f>IFERROR(VLOOKUP(C$30,range_Power,2,TRUE),0)</f>
      </c>
      <c r="D33" s="2">
        <f>IFERROR(VLOOKUP(D$30,range_Power,2,TRUE),0)</f>
      </c>
      <c r="E33" s="2">
        <f>IFERROR(VLOOKUP(E$30,range_Power,2,TRUE),0)</f>
      </c>
    </row>
    <row r="34">
      <c r="A34" s="0" t="s">
        <v>189</v>
      </c>
      <c r="B34" s="2">
        <v>0</v>
      </c>
      <c r="C34" s="2">
        <v>0</v>
      </c>
      <c r="D34" s="2">
        <v>0</v>
      </c>
      <c r="E34" s="2">
        <v>0</v>
      </c>
    </row>
    <row r="35">
      <c r="A35" s="0" t="s">
        <v>190</v>
      </c>
      <c r="B35" s="2">
        <v>0</v>
      </c>
      <c r="C35" s="2">
        <v>0</v>
      </c>
      <c r="D35" s="2">
        <v>0</v>
      </c>
      <c r="E35" s="2">
        <v>0</v>
      </c>
    </row>
    <row r="36">
      <c r="A36" s="0" t="s">
        <v>191</v>
      </c>
      <c r="B36" s="2">
        <v>0</v>
      </c>
      <c r="C36" s="2">
        <v>0</v>
      </c>
      <c r="D36" s="2">
        <v>0</v>
      </c>
      <c r="E36" s="2">
        <v>0</v>
      </c>
    </row>
    <row r="37">
      <c r="A37" s="0" t="s">
        <v>192</v>
      </c>
      <c r="B37" s="2">
        <v>0</v>
      </c>
      <c r="C37" s="2">
        <v>0</v>
      </c>
      <c r="D37" s="2">
        <v>0</v>
      </c>
      <c r="E37" s="2">
        <v>0</v>
      </c>
    </row>
    <row r="38">
      <c r="A38" s="0" t="s">
        <v>193</v>
      </c>
      <c r="B38" s="2">
        <v>0</v>
      </c>
      <c r="C38" s="2">
        <v>0</v>
      </c>
      <c r="D38" s="2">
        <v>0</v>
      </c>
      <c r="E38" s="2">
        <v>0</v>
      </c>
    </row>
    <row r="39">
      <c r="A39" s="0" t="s">
        <v>194</v>
      </c>
      <c r="B39" s="2">
        <v>0</v>
      </c>
      <c r="C39" s="2">
        <v>0</v>
      </c>
      <c r="D39" s="2">
        <v>0</v>
      </c>
      <c r="E39" s="2">
        <v>0</v>
      </c>
    </row>
    <row r="40">
      <c r="A40" s="0" t="s">
        <v>195</v>
      </c>
      <c r="B40" s="2">
        <v>0</v>
      </c>
      <c r="C40" s="2">
        <v>0</v>
      </c>
      <c r="D40" s="2">
        <v>0</v>
      </c>
      <c r="E40" s="2">
        <v>0</v>
      </c>
    </row>
    <row r="41">
      <c r="A41" s="0" t="s">
        <v>196</v>
      </c>
      <c r="B41" s="2">
        <v>0</v>
      </c>
      <c r="C41" s="2">
        <v>0</v>
      </c>
      <c r="D41" s="2">
        <v>0</v>
      </c>
      <c r="E41" s="2">
        <v>0</v>
      </c>
    </row>
    <row r="42">
      <c r="A42" s="0" t="s">
        <v>197</v>
      </c>
      <c r="B42" s="2">
        <v>0</v>
      </c>
      <c r="C42" s="2">
        <v>0</v>
      </c>
      <c r="D42" s="2">
        <v>0</v>
      </c>
      <c r="E42" s="2">
        <v>0</v>
      </c>
    </row>
    <row r="43">
      <c r="A43" s="0" t="s">
        <v>198</v>
      </c>
      <c r="B43" s="2">
        <v>0</v>
      </c>
      <c r="C43" s="2">
        <v>0</v>
      </c>
      <c r="D43" s="2">
        <v>0</v>
      </c>
      <c r="E43" s="2">
        <v>0</v>
      </c>
    </row>
    <row r="44">
      <c r="A44" s="0" t="s">
        <v>199</v>
      </c>
      <c r="B44" s="2">
        <v>0</v>
      </c>
      <c r="C44" s="2">
        <v>0</v>
      </c>
      <c r="D44" s="2">
        <v>0</v>
      </c>
      <c r="E44" s="2">
        <v>0</v>
      </c>
    </row>
    <row r="45">
      <c r="A45" s="0" t="s">
        <v>200</v>
      </c>
      <c r="B45" s="2">
        <v>0</v>
      </c>
      <c r="C45" s="2">
        <v>0</v>
      </c>
      <c r="D45" s="2">
        <v>0</v>
      </c>
      <c r="E45" s="2">
        <v>0</v>
      </c>
    </row>
    <row r="46">
      <c r="A46" s="0" t="s">
        <v>201</v>
      </c>
      <c r="B46" s="2">
        <v>0</v>
      </c>
      <c r="C46" s="2">
        <v>0</v>
      </c>
      <c r="D46" s="2">
        <v>0</v>
      </c>
      <c r="E46" s="2">
        <v>0</v>
      </c>
    </row>
    <row r="47">
      <c r="A47" s="0" t="s">
        <v>202</v>
      </c>
      <c r="B47" s="2">
        <v>0</v>
      </c>
      <c r="C47" s="2">
        <v>0</v>
      </c>
      <c r="D47" s="2">
        <v>0</v>
      </c>
      <c r="E47" s="2">
        <v>0</v>
      </c>
    </row>
    <row r="48">
      <c r="A48" s="0" t="s">
        <v>203</v>
      </c>
      <c r="B48" s="2">
        <v>0</v>
      </c>
      <c r="C48" s="2">
        <v>0</v>
      </c>
      <c r="D48" s="2">
        <v>0</v>
      </c>
      <c r="E48" s="2">
        <v>0</v>
      </c>
    </row>
    <row r="49">
      <c r="A49" s="0" t="s">
        <v>204</v>
      </c>
      <c r="B49" s="2">
        <v>0</v>
      </c>
      <c r="C49" s="2">
        <v>0</v>
      </c>
      <c r="D49" s="2">
        <v>0</v>
      </c>
      <c r="E49" s="2">
        <v>0</v>
      </c>
    </row>
    <row r="50">
      <c r="A50" s="0" t="s">
        <v>205</v>
      </c>
      <c r="B50" s="2">
        <v>0</v>
      </c>
      <c r="C50" s="2">
        <v>0</v>
      </c>
      <c r="D50" s="2">
        <v>0</v>
      </c>
      <c r="E50" s="2">
        <v>0</v>
      </c>
    </row>
    <row r="51">
      <c r="A51" s="0" t="s">
        <v>206</v>
      </c>
      <c r="B51" s="2">
        <v>0</v>
      </c>
      <c r="C51" s="2">
        <v>0</v>
      </c>
      <c r="D51" s="2">
        <v>1</v>
      </c>
      <c r="E51" s="2">
        <v>1</v>
      </c>
    </row>
    <row r="52">
      <c r="A52" s="0" t="s">
        <v>207</v>
      </c>
      <c r="B52" s="2">
        <v>0</v>
      </c>
      <c r="C52" s="2">
        <v>0</v>
      </c>
      <c r="D52" s="2">
        <v>0</v>
      </c>
      <c r="E52" s="2">
        <v>0</v>
      </c>
    </row>
    <row r="53">
      <c r="A53" s="0" t="s">
        <v>208</v>
      </c>
      <c r="B53" s="7">
        <v>0</v>
      </c>
      <c r="C53" s="7">
        <v>0</v>
      </c>
      <c r="D53" s="7">
        <v>0</v>
      </c>
      <c r="E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row>
    <row r="55">
      <c r="A55" s="0" t="s">
        <v>210</v>
      </c>
      <c r="B55" s="2">
        <f>B$54-B$32*pw_Damage-B$33-B$52*pw_Summon</f>
      </c>
      <c r="C55" s="2">
        <f>C$54-C$32*pw_Damage-C$33-C$52*pw_Summon</f>
      </c>
      <c r="D55" s="2">
        <f>D$54-D$32*pw_Damage-D$33-D$52*pw_Summon</f>
      </c>
      <c r="E55" s="2">
        <f>E$54-E$32*pw_Damage-E$33-E$52*pw_Summon</f>
      </c>
    </row>
    <row r="57">
      <c r="A57" s="1" t="s">
        <v>211</v>
      </c>
      <c r="B57" s="3"/>
    </row>
  </sheetData>
  <dataValidations count="8">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s>
  <headerFooter/>
</worksheet>
</file>

<file path=xl/worksheets/sheet4.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212</v>
      </c>
    </row>
    <row r="2">
      <c r="A2" s="1" t="s">
        <v>162</v>
      </c>
      <c r="B2" s="0" t="s">
        <v>87</v>
      </c>
    </row>
    <row r="3">
      <c r="A3" s="1" t="s">
        <v>163</v>
      </c>
      <c r="B3" s="0" t="s">
        <v>213</v>
      </c>
    </row>
    <row r="4">
      <c r="A4" s="1" t="s">
        <v>165</v>
      </c>
      <c r="B4" s="0">
        <f>IF($B$3="","NEW","Live")</f>
      </c>
    </row>
    <row r="6">
      <c r="A6" s="1" t="s">
        <v>166</v>
      </c>
    </row>
    <row r="7">
      <c r="A7" s="5" t="s">
        <v>167</v>
      </c>
      <c r="B7" s="0" t="s">
        <v>212</v>
      </c>
    </row>
    <row r="8">
      <c r="A8" s="5" t="s">
        <v>169</v>
      </c>
      <c r="B8" s="0">
        <v>15</v>
      </c>
    </row>
    <row r="9">
      <c r="A9" s="5" t="s">
        <v>170</v>
      </c>
      <c r="B9" s="0">
        <v>1</v>
      </c>
    </row>
    <row r="10">
      <c r="A10" s="5" t="s">
        <v>72</v>
      </c>
      <c r="B10" s="0" t="s">
        <v>83</v>
      </c>
    </row>
    <row r="11">
      <c r="A11" s="5" t="s">
        <v>73</v>
      </c>
      <c r="B11" s="0" t="s">
        <v>117</v>
      </c>
    </row>
    <row r="12">
      <c r="A12" s="5" t="s">
        <v>171</v>
      </c>
      <c r="B12" s="0" t="s">
        <v>80</v>
      </c>
    </row>
    <row r="13">
      <c r="A13" s="5" t="s">
        <v>75</v>
      </c>
      <c r="B13" s="0" t="s">
        <v>97</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93</v>
      </c>
      <c r="C24" s="0" t="s">
        <v>93</v>
      </c>
      <c r="D24" s="0" t="s">
        <v>93</v>
      </c>
      <c r="E24" s="0" t="s">
        <v>93</v>
      </c>
      <c r="F24" s="0" t="s">
        <v>137</v>
      </c>
    </row>
    <row r="25">
      <c r="A25" s="0" t="s">
        <v>180</v>
      </c>
      <c r="B25" s="0" t="s">
        <v>214</v>
      </c>
      <c r="C25" s="0" t="s">
        <v>214</v>
      </c>
      <c r="D25" s="0" t="s">
        <v>214</v>
      </c>
      <c r="E25" s="0" t="s">
        <v>214</v>
      </c>
      <c r="F25" s="0" t="s">
        <v>215</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2</v>
      </c>
    </row>
    <row r="31">
      <c r="A31" s="0" t="s">
        <v>187</v>
      </c>
      <c r="B31" s="7">
        <v>1</v>
      </c>
      <c r="C31" s="7">
        <v>1</v>
      </c>
      <c r="D31" s="7">
        <v>1</v>
      </c>
      <c r="E31" s="7">
        <v>1</v>
      </c>
      <c r="F31" s="7">
        <v>1</v>
      </c>
    </row>
    <row r="32">
      <c r="A32" s="0" t="s">
        <v>188</v>
      </c>
      <c r="B32" s="2">
        <v>5</v>
      </c>
      <c r="C32" s="2">
        <v>5</v>
      </c>
      <c r="D32" s="2">
        <v>5</v>
      </c>
      <c r="E32" s="2">
        <v>5</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2</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5.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216</v>
      </c>
    </row>
    <row r="2">
      <c r="A2" s="1" t="s">
        <v>162</v>
      </c>
      <c r="B2" s="0" t="s">
        <v>87</v>
      </c>
    </row>
    <row r="3">
      <c r="A3" s="1" t="s">
        <v>163</v>
      </c>
      <c r="B3" s="0" t="s">
        <v>217</v>
      </c>
    </row>
    <row r="4">
      <c r="A4" s="1" t="s">
        <v>165</v>
      </c>
      <c r="B4" s="0">
        <f>IF($B$3="","NEW","Live")</f>
      </c>
    </row>
    <row r="6">
      <c r="A6" s="1" t="s">
        <v>166</v>
      </c>
    </row>
    <row r="7">
      <c r="A7" s="5" t="s">
        <v>167</v>
      </c>
      <c r="B7" s="0" t="s">
        <v>216</v>
      </c>
    </row>
    <row r="8">
      <c r="A8" s="5" t="s">
        <v>169</v>
      </c>
      <c r="B8" s="0">
        <v>40</v>
      </c>
    </row>
    <row r="9">
      <c r="A9" s="5" t="s">
        <v>170</v>
      </c>
      <c r="B9" s="0">
        <v>1</v>
      </c>
    </row>
    <row r="10">
      <c r="A10" s="5" t="s">
        <v>72</v>
      </c>
      <c r="B10" s="0" t="s">
        <v>83</v>
      </c>
    </row>
    <row r="11">
      <c r="A11" s="5" t="s">
        <v>73</v>
      </c>
      <c r="B11" s="0" t="s">
        <v>84</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121</v>
      </c>
      <c r="C24" s="0" t="s">
        <v>121</v>
      </c>
      <c r="D24" s="0" t="s">
        <v>121</v>
      </c>
      <c r="E24" s="0" t="s">
        <v>121</v>
      </c>
      <c r="F24" s="0" t="s">
        <v>136</v>
      </c>
    </row>
    <row r="25">
      <c r="A25" s="0" t="s">
        <v>180</v>
      </c>
      <c r="B25" s="0" t="s">
        <v>218</v>
      </c>
      <c r="C25" s="0" t="s">
        <v>218</v>
      </c>
      <c r="D25" s="0" t="s">
        <v>218</v>
      </c>
      <c r="E25" s="0" t="s">
        <v>218</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4</v>
      </c>
      <c r="C32" s="2">
        <v>4</v>
      </c>
      <c r="D32" s="2">
        <v>4</v>
      </c>
      <c r="E32" s="2">
        <v>4</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4</v>
      </c>
      <c r="C36" s="2">
        <v>4</v>
      </c>
      <c r="D36" s="2">
        <v>4</v>
      </c>
      <c r="E36" s="2">
        <v>4</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6.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219</v>
      </c>
    </row>
    <row r="2">
      <c r="A2" s="1" t="s">
        <v>162</v>
      </c>
      <c r="B2" s="0" t="s">
        <v>87</v>
      </c>
    </row>
    <row r="3">
      <c r="A3" s="1" t="s">
        <v>163</v>
      </c>
      <c r="B3" s="0" t="s">
        <v>220</v>
      </c>
    </row>
    <row r="4">
      <c r="A4" s="1" t="s">
        <v>165</v>
      </c>
      <c r="B4" s="0">
        <f>IF($B$3="","NEW","Live")</f>
      </c>
    </row>
    <row r="6">
      <c r="A6" s="1" t="s">
        <v>166</v>
      </c>
    </row>
    <row r="7">
      <c r="A7" s="5" t="s">
        <v>167</v>
      </c>
      <c r="B7" s="0" t="s">
        <v>89</v>
      </c>
    </row>
    <row r="8">
      <c r="A8" s="5" t="s">
        <v>169</v>
      </c>
      <c r="B8" s="0">
        <v>15</v>
      </c>
    </row>
    <row r="9">
      <c r="A9" s="5" t="s">
        <v>170</v>
      </c>
      <c r="B9" s="0">
        <v>1</v>
      </c>
    </row>
    <row r="10">
      <c r="A10" s="5" t="s">
        <v>72</v>
      </c>
      <c r="B10" s="0" t="s">
        <v>89</v>
      </c>
    </row>
    <row r="11">
      <c r="A11" s="5" t="s">
        <v>73</v>
      </c>
      <c r="B11" s="0" t="s">
        <v>99</v>
      </c>
    </row>
    <row r="12">
      <c r="A12" s="5" t="s">
        <v>171</v>
      </c>
      <c r="B12" s="0" t="s">
        <v>80</v>
      </c>
    </row>
    <row r="13">
      <c r="A13" s="5" t="s">
        <v>75</v>
      </c>
      <c r="B13" s="0" t="s">
        <v>92</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128</v>
      </c>
      <c r="C24" s="0" t="s">
        <v>128</v>
      </c>
      <c r="D24" s="0" t="s">
        <v>128</v>
      </c>
      <c r="E24" s="0" t="s">
        <v>128</v>
      </c>
      <c r="F24" s="0" t="s">
        <v>136</v>
      </c>
    </row>
    <row r="25">
      <c r="A25" s="0" t="s">
        <v>180</v>
      </c>
      <c r="B25" s="0" t="s">
        <v>214</v>
      </c>
      <c r="C25" s="0" t="s">
        <v>214</v>
      </c>
      <c r="D25" s="0" t="s">
        <v>214</v>
      </c>
      <c r="E25" s="0" t="s">
        <v>214</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6</v>
      </c>
      <c r="C30" s="7">
        <v>6</v>
      </c>
      <c r="D30" s="7">
        <v>6</v>
      </c>
      <c r="E30" s="7">
        <v>6</v>
      </c>
      <c r="F30" s="7">
        <v>1</v>
      </c>
    </row>
    <row r="31">
      <c r="A31" s="0" t="s">
        <v>187</v>
      </c>
      <c r="B31" s="7">
        <v>1</v>
      </c>
      <c r="C31" s="7">
        <v>1</v>
      </c>
      <c r="D31" s="7">
        <v>1</v>
      </c>
      <c r="E31" s="7">
        <v>1</v>
      </c>
      <c r="F31" s="7">
        <v>1</v>
      </c>
    </row>
    <row r="32">
      <c r="A32" s="0" t="s">
        <v>188</v>
      </c>
      <c r="B32" s="2">
        <v>5</v>
      </c>
      <c r="C32" s="2">
        <v>5</v>
      </c>
      <c r="D32" s="2">
        <v>5</v>
      </c>
      <c r="E32" s="2">
        <v>5</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7.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221</v>
      </c>
    </row>
    <row r="2">
      <c r="A2" s="1" t="s">
        <v>162</v>
      </c>
      <c r="B2" s="0" t="s">
        <v>87</v>
      </c>
    </row>
    <row r="3">
      <c r="A3" s="1" t="s">
        <v>163</v>
      </c>
      <c r="B3" s="0" t="s">
        <v>222</v>
      </c>
    </row>
    <row r="4">
      <c r="A4" s="1" t="s">
        <v>165</v>
      </c>
      <c r="B4" s="0">
        <f>IF($B$3="","NEW","Live")</f>
      </c>
    </row>
    <row r="6">
      <c r="A6" s="1" t="s">
        <v>166</v>
      </c>
    </row>
    <row r="7">
      <c r="A7" s="5" t="s">
        <v>167</v>
      </c>
      <c r="B7" s="0" t="s">
        <v>223</v>
      </c>
    </row>
    <row r="8">
      <c r="A8" s="5" t="s">
        <v>169</v>
      </c>
      <c r="B8" s="0">
        <v>10</v>
      </c>
    </row>
    <row r="9">
      <c r="A9" s="5" t="s">
        <v>170</v>
      </c>
      <c r="B9" s="0">
        <v>1</v>
      </c>
    </row>
    <row r="10">
      <c r="A10" s="5" t="s">
        <v>72</v>
      </c>
      <c r="B10" s="0" t="s">
        <v>89</v>
      </c>
    </row>
    <row r="11">
      <c r="A11" s="5" t="s">
        <v>73</v>
      </c>
      <c r="B11" s="0" t="s">
        <v>90</v>
      </c>
    </row>
    <row r="12">
      <c r="A12" s="5" t="s">
        <v>171</v>
      </c>
      <c r="B12" s="0" t="s">
        <v>80</v>
      </c>
    </row>
    <row r="13">
      <c r="A13" s="5" t="s">
        <v>75</v>
      </c>
      <c r="B13" s="0" t="s">
        <v>92</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159</v>
      </c>
      <c r="C24" s="0" t="s">
        <v>159</v>
      </c>
      <c r="D24" s="0" t="s">
        <v>159</v>
      </c>
      <c r="E24" s="0" t="s">
        <v>159</v>
      </c>
      <c r="F24" s="0" t="s">
        <v>136</v>
      </c>
    </row>
    <row r="25">
      <c r="A25" s="0" t="s">
        <v>180</v>
      </c>
      <c r="B25" s="0" t="s">
        <v>224</v>
      </c>
      <c r="C25" s="0" t="s">
        <v>224</v>
      </c>
      <c r="D25" s="0" t="s">
        <v>224</v>
      </c>
      <c r="E25" s="0" t="s">
        <v>224</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4</v>
      </c>
      <c r="C30" s="7">
        <v>4</v>
      </c>
      <c r="D30" s="7">
        <v>4</v>
      </c>
      <c r="E30" s="7">
        <v>4</v>
      </c>
      <c r="F30" s="7">
        <v>1</v>
      </c>
    </row>
    <row r="31">
      <c r="A31" s="0" t="s">
        <v>187</v>
      </c>
      <c r="B31" s="7">
        <v>1</v>
      </c>
      <c r="C31" s="7">
        <v>1</v>
      </c>
      <c r="D31" s="7">
        <v>1</v>
      </c>
      <c r="E31" s="7">
        <v>1</v>
      </c>
      <c r="F31" s="7">
        <v>1</v>
      </c>
    </row>
    <row r="32">
      <c r="A32" s="0" t="s">
        <v>188</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8.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225</v>
      </c>
    </row>
    <row r="2">
      <c r="A2" s="1" t="s">
        <v>162</v>
      </c>
      <c r="B2" s="0" t="s">
        <v>87</v>
      </c>
    </row>
    <row r="3">
      <c r="A3" s="1" t="s">
        <v>163</v>
      </c>
      <c r="B3" s="0" t="s">
        <v>226</v>
      </c>
    </row>
    <row r="4">
      <c r="A4" s="1" t="s">
        <v>165</v>
      </c>
      <c r="B4" s="0">
        <f>IF($B$3="","NEW","Live")</f>
      </c>
    </row>
    <row r="6">
      <c r="A6" s="1" t="s">
        <v>166</v>
      </c>
    </row>
    <row r="7">
      <c r="A7" s="5" t="s">
        <v>167</v>
      </c>
      <c r="B7" s="0" t="s">
        <v>225</v>
      </c>
    </row>
    <row r="8">
      <c r="A8" s="5" t="s">
        <v>169</v>
      </c>
      <c r="B8" s="0">
        <v>14</v>
      </c>
    </row>
    <row r="9">
      <c r="A9" s="5" t="s">
        <v>170</v>
      </c>
      <c r="B9" s="0">
        <v>2</v>
      </c>
    </row>
    <row r="10">
      <c r="A10" s="5" t="s">
        <v>72</v>
      </c>
      <c r="B10" s="0" t="s">
        <v>83</v>
      </c>
    </row>
    <row r="11">
      <c r="A11" s="5" t="s">
        <v>73</v>
      </c>
      <c r="B11" s="0" t="s">
        <v>117</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88</v>
      </c>
      <c r="C24" s="0" t="s">
        <v>88</v>
      </c>
      <c r="D24" s="0" t="s">
        <v>88</v>
      </c>
      <c r="E24" s="0" t="s">
        <v>88</v>
      </c>
      <c r="F24" s="0" t="s">
        <v>136</v>
      </c>
    </row>
    <row r="25">
      <c r="A25" s="0" t="s">
        <v>180</v>
      </c>
      <c r="B25" s="0" t="s">
        <v>227</v>
      </c>
      <c r="C25" s="0" t="s">
        <v>227</v>
      </c>
      <c r="D25" s="0" t="s">
        <v>227</v>
      </c>
      <c r="E25" s="0" t="s">
        <v>227</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4</v>
      </c>
      <c r="C32" s="2">
        <v>4</v>
      </c>
      <c r="D32" s="2">
        <v>4</v>
      </c>
      <c r="E32" s="2">
        <v>4</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9.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228</v>
      </c>
    </row>
    <row r="2">
      <c r="A2" s="1" t="s">
        <v>162</v>
      </c>
      <c r="B2" s="0" t="s">
        <v>87</v>
      </c>
    </row>
    <row r="3">
      <c r="A3" s="1" t="s">
        <v>163</v>
      </c>
      <c r="B3" s="0" t="s">
        <v>229</v>
      </c>
    </row>
    <row r="4">
      <c r="A4" s="1" t="s">
        <v>165</v>
      </c>
      <c r="B4" s="0">
        <f>IF($B$3="","NEW","Live")</f>
      </c>
    </row>
    <row r="6">
      <c r="A6" s="1" t="s">
        <v>166</v>
      </c>
    </row>
    <row r="7">
      <c r="A7" s="5" t="s">
        <v>167</v>
      </c>
      <c r="B7" s="0" t="s">
        <v>228</v>
      </c>
    </row>
    <row r="8">
      <c r="A8" s="5" t="s">
        <v>169</v>
      </c>
      <c r="B8" s="0">
        <v>30</v>
      </c>
    </row>
    <row r="9">
      <c r="A9" s="5" t="s">
        <v>170</v>
      </c>
      <c r="B9" s="0">
        <v>1</v>
      </c>
    </row>
    <row r="10">
      <c r="A10" s="5" t="s">
        <v>72</v>
      </c>
      <c r="B10" s="0" t="s">
        <v>83</v>
      </c>
    </row>
    <row r="11">
      <c r="A11" s="5" t="s">
        <v>73</v>
      </c>
      <c r="B11" s="0" t="s">
        <v>84</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107</v>
      </c>
      <c r="C24" s="0" t="s">
        <v>107</v>
      </c>
      <c r="D24" s="0" t="s">
        <v>107</v>
      </c>
      <c r="E24" s="0" t="s">
        <v>107</v>
      </c>
      <c r="F24" s="0" t="s">
        <v>136</v>
      </c>
    </row>
    <row r="25">
      <c r="A25" s="0" t="s">
        <v>180</v>
      </c>
      <c r="B25" s="0" t="s">
        <v>214</v>
      </c>
      <c r="C25" s="0" t="s">
        <v>214</v>
      </c>
      <c r="D25" s="0" t="s">
        <v>214</v>
      </c>
      <c r="E25" s="0" t="s">
        <v>214</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5</v>
      </c>
      <c r="C32" s="2">
        <v>5</v>
      </c>
      <c r="D32" s="2">
        <v>5</v>
      </c>
      <c r="E32" s="2">
        <v>5</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0.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230</v>
      </c>
    </row>
    <row r="2">
      <c r="A2" s="1" t="s">
        <v>162</v>
      </c>
      <c r="B2" s="0" t="s">
        <v>87</v>
      </c>
    </row>
    <row r="3">
      <c r="A3" s="1" t="s">
        <v>163</v>
      </c>
      <c r="B3" s="0" t="s">
        <v>231</v>
      </c>
    </row>
    <row r="4">
      <c r="A4" s="1" t="s">
        <v>165</v>
      </c>
      <c r="B4" s="0">
        <f>IF($B$3="","NEW","Live")</f>
      </c>
    </row>
    <row r="6">
      <c r="A6" s="1" t="s">
        <v>166</v>
      </c>
    </row>
    <row r="7">
      <c r="A7" s="5" t="s">
        <v>167</v>
      </c>
      <c r="B7" s="0" t="s">
        <v>232</v>
      </c>
    </row>
    <row r="8">
      <c r="A8" s="5" t="s">
        <v>169</v>
      </c>
      <c r="B8" s="0">
        <v>22</v>
      </c>
    </row>
    <row r="9">
      <c r="A9" s="5" t="s">
        <v>170</v>
      </c>
      <c r="B9" s="0">
        <v>1</v>
      </c>
    </row>
    <row r="10">
      <c r="A10" s="5" t="s">
        <v>72</v>
      </c>
      <c r="B10" s="0" t="s">
        <v>83</v>
      </c>
    </row>
    <row r="11">
      <c r="A11" s="5" t="s">
        <v>73</v>
      </c>
      <c r="B11" s="0" t="s">
        <v>102</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133</v>
      </c>
      <c r="C24" s="0" t="s">
        <v>133</v>
      </c>
      <c r="D24" s="0" t="s">
        <v>133</v>
      </c>
      <c r="E24" s="0" t="s">
        <v>133</v>
      </c>
      <c r="F24" s="0" t="s">
        <v>136</v>
      </c>
    </row>
    <row r="25">
      <c r="A25" s="0" t="s">
        <v>180</v>
      </c>
      <c r="B25" s="0" t="s">
        <v>233</v>
      </c>
      <c r="C25" s="0" t="s">
        <v>233</v>
      </c>
      <c r="D25" s="0" t="s">
        <v>233</v>
      </c>
      <c r="E25" s="0" t="s">
        <v>233</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6</v>
      </c>
      <c r="C32" s="2">
        <v>6</v>
      </c>
      <c r="D32" s="2">
        <v>6</v>
      </c>
      <c r="E32" s="2">
        <v>6</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1.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234</v>
      </c>
    </row>
    <row r="2">
      <c r="A2" s="1" t="s">
        <v>162</v>
      </c>
      <c r="B2" s="0" t="s">
        <v>87</v>
      </c>
    </row>
    <row r="3">
      <c r="A3" s="1" t="s">
        <v>163</v>
      </c>
      <c r="B3" s="0" t="s">
        <v>235</v>
      </c>
    </row>
    <row r="4">
      <c r="A4" s="1" t="s">
        <v>165</v>
      </c>
      <c r="B4" s="0">
        <f>IF($B$3="","NEW","Live")</f>
      </c>
    </row>
    <row r="6">
      <c r="A6" s="1" t="s">
        <v>166</v>
      </c>
    </row>
    <row r="7">
      <c r="A7" s="5" t="s">
        <v>167</v>
      </c>
      <c r="B7" s="0" t="s">
        <v>236</v>
      </c>
    </row>
    <row r="8">
      <c r="A8" s="5" t="s">
        <v>169</v>
      </c>
      <c r="B8" s="0">
        <v>12</v>
      </c>
    </row>
    <row r="9">
      <c r="A9" s="5" t="s">
        <v>170</v>
      </c>
      <c r="B9" s="0">
        <v>2</v>
      </c>
    </row>
    <row r="10">
      <c r="A10" s="5" t="s">
        <v>72</v>
      </c>
      <c r="B10" s="0" t="s">
        <v>83</v>
      </c>
    </row>
    <row r="11">
      <c r="A11" s="5" t="s">
        <v>73</v>
      </c>
      <c r="B11" s="0" t="s">
        <v>117</v>
      </c>
    </row>
    <row r="12">
      <c r="A12" s="5" t="s">
        <v>171</v>
      </c>
      <c r="B12" s="0" t="s">
        <v>80</v>
      </c>
    </row>
    <row r="13">
      <c r="A13" s="5" t="s">
        <v>75</v>
      </c>
      <c r="B13" s="0" t="s">
        <v>92</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140</v>
      </c>
      <c r="C24" s="0" t="s">
        <v>140</v>
      </c>
      <c r="D24" s="0" t="s">
        <v>140</v>
      </c>
      <c r="E24" s="0" t="s">
        <v>140</v>
      </c>
      <c r="F24" s="0" t="s">
        <v>136</v>
      </c>
    </row>
    <row r="25">
      <c r="A25" s="0" t="s">
        <v>180</v>
      </c>
      <c r="B25" s="0" t="s">
        <v>237</v>
      </c>
      <c r="C25" s="0" t="s">
        <v>237</v>
      </c>
      <c r="D25" s="0" t="s">
        <v>237</v>
      </c>
      <c r="E25" s="0" t="s">
        <v>237</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1</v>
      </c>
      <c r="C41" s="2">
        <v>1</v>
      </c>
      <c r="D41" s="2">
        <v>1</v>
      </c>
      <c r="E41" s="2">
        <v>1</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2.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238</v>
      </c>
    </row>
    <row r="2">
      <c r="A2" s="1" t="s">
        <v>162</v>
      </c>
      <c r="B2" s="0" t="s">
        <v>87</v>
      </c>
    </row>
    <row r="3">
      <c r="A3" s="1" t="s">
        <v>163</v>
      </c>
      <c r="B3" s="0" t="s">
        <v>239</v>
      </c>
    </row>
    <row r="4">
      <c r="A4" s="1" t="s">
        <v>165</v>
      </c>
      <c r="B4" s="0">
        <f>IF($B$3="","NEW","Live")</f>
      </c>
    </row>
    <row r="6">
      <c r="A6" s="1" t="s">
        <v>166</v>
      </c>
    </row>
    <row r="7">
      <c r="A7" s="5" t="s">
        <v>167</v>
      </c>
      <c r="B7" s="0" t="s">
        <v>238</v>
      </c>
    </row>
    <row r="8">
      <c r="A8" s="5" t="s">
        <v>169</v>
      </c>
      <c r="B8" s="0">
        <v>26</v>
      </c>
    </row>
    <row r="9">
      <c r="A9" s="5" t="s">
        <v>170</v>
      </c>
      <c r="B9" s="0">
        <v>1</v>
      </c>
    </row>
    <row r="10">
      <c r="A10" s="5" t="s">
        <v>72</v>
      </c>
      <c r="B10" s="0" t="s">
        <v>83</v>
      </c>
    </row>
    <row r="11">
      <c r="A11" s="5" t="s">
        <v>73</v>
      </c>
      <c r="B11" s="0" t="s">
        <v>84</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119</v>
      </c>
      <c r="C24" s="0" t="s">
        <v>119</v>
      </c>
      <c r="D24" s="0" t="s">
        <v>119</v>
      </c>
      <c r="E24" s="0" t="s">
        <v>119</v>
      </c>
      <c r="F24" s="0" t="s">
        <v>136</v>
      </c>
    </row>
    <row r="25">
      <c r="A25" s="0" t="s">
        <v>180</v>
      </c>
      <c r="B25" s="0" t="s">
        <v>240</v>
      </c>
      <c r="C25" s="0" t="s">
        <v>240</v>
      </c>
      <c r="D25" s="0" t="s">
        <v>240</v>
      </c>
      <c r="E25" s="0" t="s">
        <v>240</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7</v>
      </c>
      <c r="C32" s="2">
        <v>7</v>
      </c>
      <c r="D32" s="2">
        <v>7</v>
      </c>
      <c r="E32" s="2">
        <v>7</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3.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241</v>
      </c>
    </row>
    <row r="2">
      <c r="A2" s="1" t="s">
        <v>162</v>
      </c>
      <c r="B2" s="0" t="s">
        <v>87</v>
      </c>
    </row>
    <row r="3">
      <c r="A3" s="1" t="s">
        <v>163</v>
      </c>
      <c r="B3" s="0" t="s">
        <v>242</v>
      </c>
    </row>
    <row r="4">
      <c r="A4" s="1" t="s">
        <v>165</v>
      </c>
      <c r="B4" s="0">
        <f>IF($B$3="","NEW","Live")</f>
      </c>
    </row>
    <row r="6">
      <c r="A6" s="1" t="s">
        <v>166</v>
      </c>
    </row>
    <row r="7">
      <c r="A7" s="5" t="s">
        <v>167</v>
      </c>
      <c r="B7" s="0" t="s">
        <v>241</v>
      </c>
    </row>
    <row r="8">
      <c r="A8" s="5" t="s">
        <v>169</v>
      </c>
      <c r="B8" s="0">
        <v>13</v>
      </c>
    </row>
    <row r="9">
      <c r="A9" s="5" t="s">
        <v>170</v>
      </c>
      <c r="B9" s="0">
        <v>1</v>
      </c>
    </row>
    <row r="10">
      <c r="A10" s="5" t="s">
        <v>72</v>
      </c>
      <c r="B10" s="0" t="s">
        <v>89</v>
      </c>
    </row>
    <row r="11">
      <c r="A11" s="5" t="s">
        <v>73</v>
      </c>
      <c r="B11" s="0" t="s">
        <v>84</v>
      </c>
    </row>
    <row r="12">
      <c r="A12" s="5" t="s">
        <v>171</v>
      </c>
      <c r="B12" s="0" t="s">
        <v>115</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154</v>
      </c>
      <c r="C24" s="0" t="s">
        <v>154</v>
      </c>
      <c r="D24" s="0" t="s">
        <v>154</v>
      </c>
      <c r="E24" s="0" t="s">
        <v>154</v>
      </c>
      <c r="F24" s="0" t="s">
        <v>136</v>
      </c>
    </row>
    <row r="25">
      <c r="A25" s="0" t="s">
        <v>180</v>
      </c>
      <c r="B25" s="0" t="s">
        <v>243</v>
      </c>
      <c r="C25" s="0" t="s">
        <v>243</v>
      </c>
      <c r="D25" s="0" t="s">
        <v>243</v>
      </c>
      <c r="E25" s="0" t="s">
        <v>243</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3</v>
      </c>
      <c r="C30" s="7">
        <v>3</v>
      </c>
      <c r="D30" s="7">
        <v>3</v>
      </c>
      <c r="E30" s="7">
        <v>3</v>
      </c>
      <c r="F30" s="7">
        <v>1</v>
      </c>
    </row>
    <row r="31">
      <c r="A31" s="0" t="s">
        <v>187</v>
      </c>
      <c r="B31" s="7">
        <v>9</v>
      </c>
      <c r="C31" s="7">
        <v>9</v>
      </c>
      <c r="D31" s="7">
        <v>9</v>
      </c>
      <c r="E31" s="7">
        <v>9</v>
      </c>
      <c r="F31" s="7">
        <v>1</v>
      </c>
    </row>
    <row r="32">
      <c r="A32" s="0" t="s">
        <v>188</v>
      </c>
      <c r="B32" s="2">
        <v>0</v>
      </c>
      <c r="C32" s="2">
        <v>0</v>
      </c>
      <c r="D32" s="2">
        <v>0</v>
      </c>
      <c r="E32" s="2">
        <v>0</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6</v>
      </c>
      <c r="C34" s="2">
        <v>6</v>
      </c>
      <c r="D34" s="2">
        <v>6</v>
      </c>
      <c r="E34" s="2">
        <v>6</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4.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244</v>
      </c>
    </row>
    <row r="2">
      <c r="A2" s="1" t="s">
        <v>162</v>
      </c>
      <c r="B2" s="0" t="s">
        <v>87</v>
      </c>
    </row>
    <row r="3">
      <c r="A3" s="1" t="s">
        <v>163</v>
      </c>
      <c r="B3" s="0" t="s">
        <v>245</v>
      </c>
    </row>
    <row r="4">
      <c r="A4" s="1" t="s">
        <v>165</v>
      </c>
      <c r="B4" s="0">
        <f>IF($B$3="","NEW","Live")</f>
      </c>
    </row>
    <row r="6">
      <c r="A6" s="1" t="s">
        <v>166</v>
      </c>
    </row>
    <row r="7">
      <c r="A7" s="5" t="s">
        <v>167</v>
      </c>
      <c r="B7" s="0" t="s">
        <v>244</v>
      </c>
    </row>
    <row r="8">
      <c r="A8" s="5" t="s">
        <v>169</v>
      </c>
      <c r="B8" s="0">
        <v>6</v>
      </c>
    </row>
    <row r="9">
      <c r="A9" s="5" t="s">
        <v>170</v>
      </c>
      <c r="B9" s="0">
        <v>1</v>
      </c>
    </row>
    <row r="10">
      <c r="A10" s="5" t="s">
        <v>72</v>
      </c>
      <c r="B10" s="0" t="s">
        <v>83</v>
      </c>
    </row>
    <row r="11">
      <c r="A11" s="5" t="s">
        <v>73</v>
      </c>
      <c r="B11" s="0" t="s">
        <v>84</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144</v>
      </c>
      <c r="C24" s="0" t="s">
        <v>144</v>
      </c>
      <c r="D24" s="0" t="s">
        <v>144</v>
      </c>
      <c r="E24" s="0" t="s">
        <v>144</v>
      </c>
      <c r="F24" s="0" t="s">
        <v>136</v>
      </c>
    </row>
    <row r="25">
      <c r="A25" s="0" t="s">
        <v>180</v>
      </c>
      <c r="B25" s="0" t="s">
        <v>246</v>
      </c>
      <c r="C25" s="0" t="s">
        <v>246</v>
      </c>
      <c r="D25" s="0" t="s">
        <v>246</v>
      </c>
      <c r="E25" s="0" t="s">
        <v>246</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2</v>
      </c>
      <c r="C32" s="2">
        <v>2</v>
      </c>
      <c r="D32" s="2">
        <v>2</v>
      </c>
      <c r="E32" s="2">
        <v>2</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5.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247</v>
      </c>
    </row>
    <row r="2">
      <c r="A2" s="1" t="s">
        <v>162</v>
      </c>
      <c r="B2" s="0" t="s">
        <v>87</v>
      </c>
    </row>
    <row r="3">
      <c r="A3" s="1" t="s">
        <v>163</v>
      </c>
      <c r="B3" s="0" t="s">
        <v>248</v>
      </c>
    </row>
    <row r="4">
      <c r="A4" s="1" t="s">
        <v>165</v>
      </c>
      <c r="B4" s="0">
        <f>IF($B$3="","NEW","Live")</f>
      </c>
    </row>
    <row r="6">
      <c r="A6" s="1" t="s">
        <v>166</v>
      </c>
    </row>
    <row r="7">
      <c r="A7" s="5" t="s">
        <v>167</v>
      </c>
      <c r="B7" s="0" t="s">
        <v>249</v>
      </c>
    </row>
    <row r="8">
      <c r="A8" s="5" t="s">
        <v>169</v>
      </c>
      <c r="B8" s="0">
        <v>11</v>
      </c>
    </row>
    <row r="9">
      <c r="A9" s="5" t="s">
        <v>170</v>
      </c>
      <c r="B9" s="0">
        <v>2</v>
      </c>
    </row>
    <row r="10">
      <c r="A10" s="5" t="s">
        <v>72</v>
      </c>
      <c r="B10" s="0" t="s">
        <v>83</v>
      </c>
    </row>
    <row r="11">
      <c r="A11" s="5" t="s">
        <v>73</v>
      </c>
      <c r="B11" s="0" t="s">
        <v>117</v>
      </c>
    </row>
    <row r="12">
      <c r="A12" s="5" t="s">
        <v>171</v>
      </c>
      <c r="B12" s="0" t="s">
        <v>115</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139</v>
      </c>
      <c r="C24" s="0" t="s">
        <v>139</v>
      </c>
      <c r="D24" s="0" t="s">
        <v>139</v>
      </c>
      <c r="E24" s="0" t="s">
        <v>139</v>
      </c>
      <c r="F24" s="0" t="s">
        <v>136</v>
      </c>
    </row>
    <row r="25">
      <c r="A25" s="0" t="s">
        <v>180</v>
      </c>
      <c r="B25" s="0" t="s">
        <v>250</v>
      </c>
      <c r="C25" s="0" t="s">
        <v>250</v>
      </c>
      <c r="D25" s="0" t="s">
        <v>250</v>
      </c>
      <c r="E25" s="0" t="s">
        <v>250</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2</v>
      </c>
      <c r="C32" s="2">
        <v>2</v>
      </c>
      <c r="D32" s="2">
        <v>2</v>
      </c>
      <c r="E32" s="2">
        <v>2</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6</v>
      </c>
      <c r="C34" s="2">
        <v>6</v>
      </c>
      <c r="D34" s="2">
        <v>6</v>
      </c>
      <c r="E34" s="2">
        <v>6</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6.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251</v>
      </c>
    </row>
    <row r="2">
      <c r="A2" s="1" t="s">
        <v>162</v>
      </c>
      <c r="B2" s="0" t="s">
        <v>87</v>
      </c>
    </row>
    <row r="3">
      <c r="A3" s="1" t="s">
        <v>163</v>
      </c>
      <c r="B3" s="0" t="s">
        <v>252</v>
      </c>
    </row>
    <row r="4">
      <c r="A4" s="1" t="s">
        <v>165</v>
      </c>
      <c r="B4" s="0">
        <f>IF($B$3="","NEW","Live")</f>
      </c>
    </row>
    <row r="6">
      <c r="A6" s="1" t="s">
        <v>166</v>
      </c>
    </row>
    <row r="7">
      <c r="A7" s="5" t="s">
        <v>167</v>
      </c>
      <c r="B7" s="0" t="s">
        <v>251</v>
      </c>
    </row>
    <row r="8">
      <c r="A8" s="5" t="s">
        <v>169</v>
      </c>
      <c r="B8" s="0">
        <v>9</v>
      </c>
    </row>
    <row r="9">
      <c r="A9" s="5" t="s">
        <v>170</v>
      </c>
      <c r="B9" s="0">
        <v>2</v>
      </c>
    </row>
    <row r="10">
      <c r="A10" s="5" t="s">
        <v>72</v>
      </c>
      <c r="B10" s="0" t="s">
        <v>83</v>
      </c>
    </row>
    <row r="11">
      <c r="A11" s="5" t="s">
        <v>73</v>
      </c>
      <c r="B11" s="0" t="s">
        <v>117</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132</v>
      </c>
      <c r="C24" s="0" t="s">
        <v>132</v>
      </c>
      <c r="D24" s="0" t="s">
        <v>132</v>
      </c>
      <c r="E24" s="0" t="s">
        <v>132</v>
      </c>
      <c r="F24" s="0" t="s">
        <v>136</v>
      </c>
    </row>
    <row r="25">
      <c r="A25" s="0" t="s">
        <v>180</v>
      </c>
      <c r="B25" s="0" t="s">
        <v>253</v>
      </c>
      <c r="C25" s="0" t="s">
        <v>253</v>
      </c>
      <c r="D25" s="0" t="s">
        <v>253</v>
      </c>
      <c r="E25" s="0" t="s">
        <v>253</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2</v>
      </c>
      <c r="C32" s="2">
        <v>2</v>
      </c>
      <c r="D32" s="2">
        <v>2</v>
      </c>
      <c r="E32" s="2">
        <v>2</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3</v>
      </c>
      <c r="C34" s="2">
        <v>3</v>
      </c>
      <c r="D34" s="2">
        <v>3</v>
      </c>
      <c r="E34" s="2">
        <v>3</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7.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168</v>
      </c>
    </row>
    <row r="2">
      <c r="A2" s="1" t="s">
        <v>162</v>
      </c>
      <c r="B2" s="0" t="s">
        <v>87</v>
      </c>
    </row>
    <row r="3">
      <c r="A3" s="1" t="s">
        <v>163</v>
      </c>
      <c r="B3" s="0" t="s">
        <v>254</v>
      </c>
    </row>
    <row r="4">
      <c r="A4" s="1" t="s">
        <v>165</v>
      </c>
      <c r="B4" s="0">
        <f>IF($B$3="","NEW","Live")</f>
      </c>
    </row>
    <row r="6">
      <c r="A6" s="1" t="s">
        <v>166</v>
      </c>
    </row>
    <row r="7">
      <c r="A7" s="5" t="s">
        <v>167</v>
      </c>
      <c r="B7" s="0" t="s">
        <v>168</v>
      </c>
    </row>
    <row r="8">
      <c r="A8" s="5" t="s">
        <v>169</v>
      </c>
      <c r="B8" s="0">
        <v>25</v>
      </c>
    </row>
    <row r="9">
      <c r="A9" s="5" t="s">
        <v>170</v>
      </c>
      <c r="B9" s="0">
        <v>1</v>
      </c>
    </row>
    <row r="10">
      <c r="A10" s="5" t="s">
        <v>72</v>
      </c>
      <c r="B10" s="0" t="s">
        <v>83</v>
      </c>
    </row>
    <row r="11">
      <c r="A11" s="5" t="s">
        <v>73</v>
      </c>
      <c r="B11" s="0" t="s">
        <v>84</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101</v>
      </c>
      <c r="C24" s="0" t="s">
        <v>101</v>
      </c>
      <c r="D24" s="0" t="s">
        <v>101</v>
      </c>
      <c r="E24" s="0" t="s">
        <v>101</v>
      </c>
      <c r="F24" s="0" t="s">
        <v>136</v>
      </c>
    </row>
    <row r="25">
      <c r="A25" s="0" t="s">
        <v>180</v>
      </c>
      <c r="B25" s="0" t="s">
        <v>255</v>
      </c>
      <c r="C25" s="0" t="s">
        <v>255</v>
      </c>
      <c r="D25" s="0" t="s">
        <v>255</v>
      </c>
      <c r="E25" s="0" t="s">
        <v>255</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5</v>
      </c>
      <c r="C36" s="2">
        <v>5</v>
      </c>
      <c r="D36" s="2">
        <v>5</v>
      </c>
      <c r="E36" s="2">
        <v>5</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8.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256</v>
      </c>
    </row>
    <row r="2">
      <c r="A2" s="1" t="s">
        <v>162</v>
      </c>
      <c r="B2" s="0" t="s">
        <v>87</v>
      </c>
    </row>
    <row r="3">
      <c r="A3" s="1" t="s">
        <v>163</v>
      </c>
      <c r="B3" s="0" t="s">
        <v>257</v>
      </c>
    </row>
    <row r="4">
      <c r="A4" s="1" t="s">
        <v>165</v>
      </c>
      <c r="B4" s="0">
        <f>IF($B$3="","NEW","Live")</f>
      </c>
    </row>
    <row r="6">
      <c r="A6" s="1" t="s">
        <v>166</v>
      </c>
    </row>
    <row r="7">
      <c r="A7" s="5" t="s">
        <v>167</v>
      </c>
      <c r="B7" s="0" t="s">
        <v>258</v>
      </c>
    </row>
    <row r="8">
      <c r="A8" s="5" t="s">
        <v>169</v>
      </c>
      <c r="B8" s="0">
        <v>35</v>
      </c>
    </row>
    <row r="9">
      <c r="A9" s="5" t="s">
        <v>170</v>
      </c>
      <c r="B9" s="0">
        <v>1</v>
      </c>
    </row>
    <row r="10">
      <c r="A10" s="5" t="s">
        <v>72</v>
      </c>
      <c r="B10" s="0" t="s">
        <v>83</v>
      </c>
    </row>
    <row r="11">
      <c r="A11" s="5" t="s">
        <v>73</v>
      </c>
      <c r="B11" s="0" t="s">
        <v>114</v>
      </c>
    </row>
    <row r="12">
      <c r="A12" s="5" t="s">
        <v>171</v>
      </c>
      <c r="B12" s="0" t="s">
        <v>91</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129</v>
      </c>
      <c r="C24" s="0" t="s">
        <v>136</v>
      </c>
      <c r="D24" s="0" t="s">
        <v>129</v>
      </c>
      <c r="E24" s="0" t="s">
        <v>129</v>
      </c>
      <c r="F24" s="0" t="s">
        <v>129</v>
      </c>
    </row>
    <row r="25">
      <c r="A25" s="0" t="s">
        <v>180</v>
      </c>
      <c r="B25" s="0" t="s">
        <v>181</v>
      </c>
      <c r="C25" s="0" t="s">
        <v>182</v>
      </c>
      <c r="D25" s="0" t="s">
        <v>181</v>
      </c>
      <c r="E25" s="0" t="s">
        <v>181</v>
      </c>
      <c r="F25" s="0" t="s">
        <v>181</v>
      </c>
    </row>
    <row r="26">
      <c r="A26" s="0" t="s">
        <v>183</v>
      </c>
      <c r="B26" s="0" t="s">
        <v>81</v>
      </c>
      <c r="C26" s="0" t="s">
        <v>87</v>
      </c>
      <c r="D26" s="0" t="s">
        <v>81</v>
      </c>
      <c r="E26" s="0" t="s">
        <v>81</v>
      </c>
      <c r="F26" s="0" t="s">
        <v>81</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8</v>
      </c>
      <c r="C32" s="2">
        <v>0</v>
      </c>
      <c r="D32" s="2">
        <v>8</v>
      </c>
      <c r="E32" s="2">
        <v>8</v>
      </c>
      <c r="F32" s="2">
        <v>8</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1</v>
      </c>
      <c r="D51" s="2">
        <v>0</v>
      </c>
      <c r="E51" s="2">
        <v>0</v>
      </c>
      <c r="F51" s="2">
        <v>0</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9.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259</v>
      </c>
    </row>
    <row r="2">
      <c r="A2" s="1" t="s">
        <v>162</v>
      </c>
      <c r="B2" s="0" t="s">
        <v>87</v>
      </c>
    </row>
    <row r="3">
      <c r="A3" s="1" t="s">
        <v>163</v>
      </c>
      <c r="B3" s="0" t="s">
        <v>260</v>
      </c>
    </row>
    <row r="4">
      <c r="A4" s="1" t="s">
        <v>165</v>
      </c>
      <c r="B4" s="0">
        <f>IF($B$3="","NEW","Live")</f>
      </c>
    </row>
    <row r="6">
      <c r="A6" s="1" t="s">
        <v>166</v>
      </c>
    </row>
    <row r="7">
      <c r="A7" s="5" t="s">
        <v>167</v>
      </c>
      <c r="B7" s="0" t="s">
        <v>259</v>
      </c>
    </row>
    <row r="8">
      <c r="A8" s="5" t="s">
        <v>169</v>
      </c>
      <c r="B8" s="0">
        <v>7</v>
      </c>
    </row>
    <row r="9">
      <c r="A9" s="5" t="s">
        <v>170</v>
      </c>
      <c r="B9" s="0">
        <v>1</v>
      </c>
    </row>
    <row r="10">
      <c r="A10" s="5" t="s">
        <v>72</v>
      </c>
      <c r="B10" s="0" t="s">
        <v>83</v>
      </c>
    </row>
    <row r="11">
      <c r="A11" s="5" t="s">
        <v>73</v>
      </c>
      <c r="B11" s="0" t="s">
        <v>95</v>
      </c>
    </row>
    <row r="12">
      <c r="A12" s="5" t="s">
        <v>171</v>
      </c>
      <c r="B12" s="0" t="s">
        <v>80</v>
      </c>
    </row>
    <row r="13">
      <c r="A13" s="5" t="s">
        <v>75</v>
      </c>
      <c r="B13" s="0" t="s">
        <v>92</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104</v>
      </c>
      <c r="C24" s="0" t="s">
        <v>104</v>
      </c>
      <c r="D24" s="0" t="s">
        <v>104</v>
      </c>
      <c r="E24" s="0" t="s">
        <v>104</v>
      </c>
      <c r="F24" s="0" t="s">
        <v>136</v>
      </c>
    </row>
    <row r="25">
      <c r="A25" s="0" t="s">
        <v>180</v>
      </c>
      <c r="B25" s="0" t="s">
        <v>261</v>
      </c>
      <c r="C25" s="0" t="s">
        <v>261</v>
      </c>
      <c r="D25" s="0" t="s">
        <v>261</v>
      </c>
      <c r="E25" s="0" t="s">
        <v>261</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3</v>
      </c>
      <c r="C30" s="7">
        <v>3</v>
      </c>
      <c r="D30" s="7">
        <v>3</v>
      </c>
      <c r="E30" s="7">
        <v>3</v>
      </c>
      <c r="F30" s="7">
        <v>1</v>
      </c>
    </row>
    <row r="31">
      <c r="A31" s="0" t="s">
        <v>187</v>
      </c>
      <c r="B31" s="7">
        <v>1</v>
      </c>
      <c r="C31" s="7">
        <v>1</v>
      </c>
      <c r="D31" s="7">
        <v>1</v>
      </c>
      <c r="E31" s="7">
        <v>1</v>
      </c>
      <c r="F31" s="7">
        <v>1</v>
      </c>
    </row>
    <row r="32">
      <c r="A32" s="0" t="s">
        <v>188</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1</v>
      </c>
      <c r="C42" s="2">
        <v>1</v>
      </c>
      <c r="D42" s="2">
        <v>1</v>
      </c>
      <c r="E42" s="2">
        <v>1</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0.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262</v>
      </c>
    </row>
    <row r="2">
      <c r="A2" s="1" t="s">
        <v>162</v>
      </c>
      <c r="B2" s="0" t="s">
        <v>87</v>
      </c>
    </row>
    <row r="3">
      <c r="A3" s="1" t="s">
        <v>163</v>
      </c>
      <c r="B3" s="0" t="s">
        <v>263</v>
      </c>
    </row>
    <row r="4">
      <c r="A4" s="1" t="s">
        <v>165</v>
      </c>
      <c r="B4" s="0">
        <f>IF($B$3="","NEW","Live")</f>
      </c>
    </row>
    <row r="6">
      <c r="A6" s="1" t="s">
        <v>166</v>
      </c>
    </row>
    <row r="7">
      <c r="A7" s="5" t="s">
        <v>167</v>
      </c>
      <c r="B7" s="0" t="s">
        <v>262</v>
      </c>
    </row>
    <row r="8">
      <c r="A8" s="5" t="s">
        <v>169</v>
      </c>
      <c r="B8" s="0">
        <v>20</v>
      </c>
    </row>
    <row r="9">
      <c r="A9" s="5" t="s">
        <v>170</v>
      </c>
      <c r="B9" s="0">
        <v>1</v>
      </c>
    </row>
    <row r="10">
      <c r="A10" s="5" t="s">
        <v>72</v>
      </c>
      <c r="B10" s="0" t="s">
        <v>83</v>
      </c>
    </row>
    <row r="11">
      <c r="A11" s="5" t="s">
        <v>73</v>
      </c>
      <c r="B11" s="0" t="s">
        <v>84</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130</v>
      </c>
      <c r="C24" s="0" t="s">
        <v>130</v>
      </c>
      <c r="D24" s="0" t="s">
        <v>130</v>
      </c>
      <c r="E24" s="0" t="s">
        <v>130</v>
      </c>
      <c r="F24" s="0" t="s">
        <v>136</v>
      </c>
    </row>
    <row r="25">
      <c r="A25" s="0" t="s">
        <v>180</v>
      </c>
      <c r="B25" s="0" t="s">
        <v>264</v>
      </c>
      <c r="C25" s="0" t="s">
        <v>264</v>
      </c>
      <c r="D25" s="0" t="s">
        <v>264</v>
      </c>
      <c r="E25" s="0" t="s">
        <v>264</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1</v>
      </c>
      <c r="C44" s="2">
        <v>1</v>
      </c>
      <c r="D44" s="2">
        <v>1</v>
      </c>
      <c r="E44" s="2">
        <v>1</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1.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265</v>
      </c>
    </row>
    <row r="2">
      <c r="A2" s="1" t="s">
        <v>162</v>
      </c>
      <c r="B2" s="0" t="s">
        <v>87</v>
      </c>
    </row>
    <row r="3">
      <c r="A3" s="1" t="s">
        <v>163</v>
      </c>
      <c r="B3" s="0" t="s">
        <v>266</v>
      </c>
    </row>
    <row r="4">
      <c r="A4" s="1" t="s">
        <v>165</v>
      </c>
      <c r="B4" s="0">
        <f>IF($B$3="","NEW","Live")</f>
      </c>
    </row>
    <row r="6">
      <c r="A6" s="1" t="s">
        <v>166</v>
      </c>
    </row>
    <row r="7">
      <c r="A7" s="5" t="s">
        <v>167</v>
      </c>
      <c r="B7" s="0" t="s">
        <v>267</v>
      </c>
    </row>
    <row r="8">
      <c r="A8" s="5" t="s">
        <v>169</v>
      </c>
      <c r="B8" s="0">
        <v>16</v>
      </c>
    </row>
    <row r="9">
      <c r="A9" s="5" t="s">
        <v>170</v>
      </c>
      <c r="B9" s="0">
        <v>1</v>
      </c>
    </row>
    <row r="10">
      <c r="A10" s="5" t="s">
        <v>72</v>
      </c>
      <c r="B10" s="0" t="s">
        <v>83</v>
      </c>
    </row>
    <row r="11">
      <c r="A11" s="5" t="s">
        <v>73</v>
      </c>
      <c r="B11" s="0" t="s">
        <v>84</v>
      </c>
    </row>
    <row r="12">
      <c r="A12" s="5" t="s">
        <v>171</v>
      </c>
      <c r="B12" s="0" t="s">
        <v>80</v>
      </c>
    </row>
    <row r="13">
      <c r="A13" s="5" t="s">
        <v>75</v>
      </c>
      <c r="B13" s="0" t="s">
        <v>86</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152</v>
      </c>
      <c r="C24" s="0" t="s">
        <v>152</v>
      </c>
      <c r="D24" s="0" t="s">
        <v>152</v>
      </c>
      <c r="E24" s="0" t="s">
        <v>152</v>
      </c>
      <c r="F24" s="0" t="s">
        <v>136</v>
      </c>
    </row>
    <row r="25">
      <c r="A25" s="0" t="s">
        <v>180</v>
      </c>
      <c r="B25" s="0" t="s">
        <v>224</v>
      </c>
      <c r="C25" s="0" t="s">
        <v>224</v>
      </c>
      <c r="D25" s="0" t="s">
        <v>224</v>
      </c>
      <c r="E25" s="0" t="s">
        <v>224</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9</v>
      </c>
      <c r="C31" s="7">
        <v>9</v>
      </c>
      <c r="D31" s="7">
        <v>9</v>
      </c>
      <c r="E31" s="7">
        <v>9</v>
      </c>
      <c r="F31" s="7">
        <v>1</v>
      </c>
    </row>
    <row r="32">
      <c r="A32" s="0" t="s">
        <v>188</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2.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268</v>
      </c>
    </row>
    <row r="2">
      <c r="A2" s="1" t="s">
        <v>162</v>
      </c>
      <c r="B2" s="0" t="s">
        <v>87</v>
      </c>
    </row>
    <row r="3">
      <c r="A3" s="1" t="s">
        <v>163</v>
      </c>
      <c r="B3" s="0" t="s">
        <v>269</v>
      </c>
    </row>
    <row r="4">
      <c r="A4" s="1" t="s">
        <v>165</v>
      </c>
      <c r="B4" s="0">
        <f>IF($B$3="","NEW","Live")</f>
      </c>
    </row>
    <row r="6">
      <c r="A6" s="1" t="s">
        <v>166</v>
      </c>
    </row>
    <row r="7">
      <c r="A7" s="5" t="s">
        <v>167</v>
      </c>
      <c r="B7" s="0" t="s">
        <v>270</v>
      </c>
    </row>
    <row r="8">
      <c r="A8" s="5" t="s">
        <v>169</v>
      </c>
      <c r="B8" s="0">
        <v>9</v>
      </c>
    </row>
    <row r="9">
      <c r="A9" s="5" t="s">
        <v>170</v>
      </c>
      <c r="B9" s="0">
        <v>2</v>
      </c>
    </row>
    <row r="10">
      <c r="A10" s="5" t="s">
        <v>72</v>
      </c>
      <c r="B10" s="0" t="s">
        <v>83</v>
      </c>
    </row>
    <row r="11">
      <c r="A11" s="5" t="s">
        <v>73</v>
      </c>
      <c r="B11" s="0" t="s">
        <v>117</v>
      </c>
    </row>
    <row r="12">
      <c r="A12" s="5" t="s">
        <v>171</v>
      </c>
      <c r="B12" s="0" t="s">
        <v>80</v>
      </c>
    </row>
    <row r="13">
      <c r="A13" s="5" t="s">
        <v>75</v>
      </c>
      <c r="B13" s="0" t="s">
        <v>92</v>
      </c>
    </row>
    <row r="15">
      <c r="A15" s="1" t="s">
        <v>172</v>
      </c>
      <c r="B15" s="0">
        <v>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134</v>
      </c>
      <c r="C24" s="0" t="s">
        <v>134</v>
      </c>
      <c r="D24" s="0" t="s">
        <v>134</v>
      </c>
      <c r="E24" s="0" t="s">
        <v>134</v>
      </c>
      <c r="F24" s="0" t="s">
        <v>136</v>
      </c>
    </row>
    <row r="25">
      <c r="A25" s="0" t="s">
        <v>180</v>
      </c>
      <c r="B25" s="0" t="s">
        <v>271</v>
      </c>
      <c r="C25" s="0" t="s">
        <v>271</v>
      </c>
      <c r="D25" s="0" t="s">
        <v>271</v>
      </c>
      <c r="E25" s="0" t="s">
        <v>271</v>
      </c>
      <c r="F25" s="0" t="s">
        <v>182</v>
      </c>
    </row>
    <row r="26">
      <c r="A26" s="0" t="s">
        <v>183</v>
      </c>
      <c r="B26" s="0" t="s">
        <v>81</v>
      </c>
      <c r="C26" s="0" t="s">
        <v>81</v>
      </c>
      <c r="D26" s="0" t="s">
        <v>81</v>
      </c>
      <c r="E26" s="0" t="s">
        <v>81</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3</v>
      </c>
      <c r="C35" s="2">
        <v>3</v>
      </c>
      <c r="D35" s="2">
        <v>3</v>
      </c>
      <c r="E35" s="2">
        <v>3</v>
      </c>
      <c r="F35" s="2">
        <v>0</v>
      </c>
    </row>
    <row r="36">
      <c r="A36" s="0" t="s">
        <v>191</v>
      </c>
      <c r="B36" s="2">
        <v>0</v>
      </c>
      <c r="C36" s="2">
        <v>0</v>
      </c>
      <c r="D36" s="2">
        <v>0</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0</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3.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160</v>
      </c>
      <c r="B1" s="0" t="s">
        <v>272</v>
      </c>
    </row>
    <row r="2">
      <c r="A2" s="1" t="s">
        <v>162</v>
      </c>
      <c r="B2" s="0" t="s">
        <v>87</v>
      </c>
    </row>
    <row r="3">
      <c r="A3" s="1" t="s">
        <v>163</v>
      </c>
      <c r="B3" s="0" t="s">
        <v>273</v>
      </c>
    </row>
    <row r="4">
      <c r="A4" s="1" t="s">
        <v>165</v>
      </c>
      <c r="B4" s="0">
        <f>IF($B$3="","NEW","Live")</f>
      </c>
    </row>
    <row r="6">
      <c r="A6" s="1" t="s">
        <v>166</v>
      </c>
    </row>
    <row r="7">
      <c r="A7" s="5" t="s">
        <v>167</v>
      </c>
      <c r="B7" s="0" t="s">
        <v>274</v>
      </c>
    </row>
    <row r="8">
      <c r="A8" s="5" t="s">
        <v>169</v>
      </c>
      <c r="B8" s="0">
        <v>1</v>
      </c>
    </row>
    <row r="9">
      <c r="A9" s="5" t="s">
        <v>170</v>
      </c>
      <c r="B9" s="0">
        <v>1</v>
      </c>
    </row>
    <row r="10">
      <c r="A10" s="5" t="s">
        <v>72</v>
      </c>
      <c r="B10" s="0" t="s">
        <v>83</v>
      </c>
    </row>
    <row r="11">
      <c r="A11" s="5" t="s">
        <v>73</v>
      </c>
      <c r="B11" s="0" t="s">
        <v>84</v>
      </c>
    </row>
    <row r="12">
      <c r="A12" s="5" t="s">
        <v>171</v>
      </c>
      <c r="B12" s="0" t="s">
        <v>80</v>
      </c>
    </row>
    <row r="13">
      <c r="A13" s="5" t="s">
        <v>75</v>
      </c>
      <c r="B13" s="0" t="s">
        <v>86</v>
      </c>
    </row>
    <row r="15">
      <c r="A15" s="1" t="s">
        <v>172</v>
      </c>
    </row>
    <row r="16">
      <c r="A16" s="1" t="s">
        <v>173</v>
      </c>
      <c r="B16" s="2">
        <f>IF($B$8="","",ROUND(($B$19*$B$9*pw_ActionScale+$B$8*pw_Health)/pw_Divisor,3))</f>
      </c>
    </row>
    <row r="17">
      <c r="A17" s="0" t="s">
        <v>174</v>
      </c>
      <c r="B17" s="2">
        <f>IF($B$15="","",ROUND($B$16-$B$15,3))</f>
      </c>
    </row>
    <row r="18">
      <c r="B18" s="2"/>
    </row>
    <row r="19">
      <c r="A19" s="0" t="s">
        <v>175</v>
      </c>
      <c r="B19" s="2">
        <f>IFERROR(AVERAGEIF(B$26:F$26,"Yes",B$54:F$54),0)</f>
      </c>
    </row>
    <row r="20">
      <c r="A20" s="0" t="s">
        <v>176</v>
      </c>
      <c r="B20" s="2">
        <f>IFERROR(AVERAGEIF(B$26:F$26,"Yes",B$32:F$32),0)</f>
      </c>
    </row>
    <row r="21">
      <c r="A21" s="0" t="s">
        <v>177</v>
      </c>
      <c r="B21" s="2">
        <f>IFERROR(AVERAGEIF(B$26:F$26,"Yes",B$55:F$55),0)</f>
      </c>
    </row>
    <row r="22">
      <c r="A22" s="0" t="s">
        <v>178</v>
      </c>
      <c r="B22" s="2">
        <f>IFERROR(AVERAGEIF(B$26:F$26,"Yes",B$52:F$52),0)</f>
      </c>
    </row>
    <row r="24">
      <c r="A24" s="1" t="s">
        <v>179</v>
      </c>
      <c r="B24" s="0" t="s">
        <v>101</v>
      </c>
      <c r="C24" s="0" t="s">
        <v>101</v>
      </c>
      <c r="D24" s="0" t="s">
        <v>101</v>
      </c>
      <c r="E24" s="0" t="s">
        <v>136</v>
      </c>
      <c r="F24" s="0" t="s">
        <v>136</v>
      </c>
    </row>
    <row r="25">
      <c r="A25" s="0" t="s">
        <v>180</v>
      </c>
      <c r="B25" s="0" t="s">
        <v>255</v>
      </c>
      <c r="C25" s="0" t="s">
        <v>255</v>
      </c>
      <c r="D25" s="0" t="s">
        <v>255</v>
      </c>
      <c r="E25" s="0" t="s">
        <v>182</v>
      </c>
      <c r="F25" s="0" t="s">
        <v>182</v>
      </c>
    </row>
    <row r="26">
      <c r="A26" s="0" t="s">
        <v>183</v>
      </c>
      <c r="B26" s="0" t="s">
        <v>81</v>
      </c>
      <c r="C26" s="0" t="s">
        <v>81</v>
      </c>
      <c r="D26" s="0" t="s">
        <v>81</v>
      </c>
      <c r="E26" s="0" t="s">
        <v>87</v>
      </c>
      <c r="F26" s="0" t="s">
        <v>87</v>
      </c>
    </row>
    <row r="28">
      <c r="A28" s="1" t="s">
        <v>184</v>
      </c>
    </row>
    <row r="29">
      <c r="A29" s="0" t="s">
        <v>185</v>
      </c>
      <c r="B29" s="7">
        <v>1</v>
      </c>
      <c r="C29" s="7">
        <v>1</v>
      </c>
      <c r="D29" s="7">
        <v>1</v>
      </c>
      <c r="E29" s="7">
        <v>1</v>
      </c>
      <c r="F29" s="7">
        <v>1</v>
      </c>
    </row>
    <row r="30">
      <c r="A30" s="0" t="s">
        <v>186</v>
      </c>
      <c r="B30" s="7">
        <v>1</v>
      </c>
      <c r="C30" s="7">
        <v>1</v>
      </c>
      <c r="D30" s="7">
        <v>1</v>
      </c>
      <c r="E30" s="7">
        <v>1</v>
      </c>
      <c r="F30" s="7">
        <v>1</v>
      </c>
    </row>
    <row r="31">
      <c r="A31" s="0" t="s">
        <v>187</v>
      </c>
      <c r="B31" s="7">
        <v>1</v>
      </c>
      <c r="C31" s="7">
        <v>1</v>
      </c>
      <c r="D31" s="7">
        <v>1</v>
      </c>
      <c r="E31" s="7">
        <v>1</v>
      </c>
      <c r="F31" s="7">
        <v>1</v>
      </c>
    </row>
    <row r="32">
      <c r="A32" s="0" t="s">
        <v>188</v>
      </c>
      <c r="B32" s="2">
        <v>3</v>
      </c>
      <c r="C32" s="2">
        <v>3</v>
      </c>
      <c r="D32" s="2">
        <v>3</v>
      </c>
      <c r="E32" s="2">
        <v>0</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189</v>
      </c>
      <c r="B34" s="2">
        <v>0</v>
      </c>
      <c r="C34" s="2">
        <v>0</v>
      </c>
      <c r="D34" s="2">
        <v>0</v>
      </c>
      <c r="E34" s="2">
        <v>0</v>
      </c>
      <c r="F34" s="2">
        <v>0</v>
      </c>
    </row>
    <row r="35">
      <c r="A35" s="0" t="s">
        <v>190</v>
      </c>
      <c r="B35" s="2">
        <v>0</v>
      </c>
      <c r="C35" s="2">
        <v>0</v>
      </c>
      <c r="D35" s="2">
        <v>0</v>
      </c>
      <c r="E35" s="2">
        <v>0</v>
      </c>
      <c r="F35" s="2">
        <v>0</v>
      </c>
    </row>
    <row r="36">
      <c r="A36" s="0" t="s">
        <v>191</v>
      </c>
      <c r="B36" s="2">
        <v>5</v>
      </c>
      <c r="C36" s="2">
        <v>5</v>
      </c>
      <c r="D36" s="2">
        <v>5</v>
      </c>
      <c r="E36" s="2">
        <v>0</v>
      </c>
      <c r="F36" s="2">
        <v>0</v>
      </c>
    </row>
    <row r="37">
      <c r="A37" s="0" t="s">
        <v>192</v>
      </c>
      <c r="B37" s="2">
        <v>0</v>
      </c>
      <c r="C37" s="2">
        <v>0</v>
      </c>
      <c r="D37" s="2">
        <v>0</v>
      </c>
      <c r="E37" s="2">
        <v>0</v>
      </c>
      <c r="F37" s="2">
        <v>0</v>
      </c>
    </row>
    <row r="38">
      <c r="A38" s="0" t="s">
        <v>193</v>
      </c>
      <c r="B38" s="2">
        <v>0</v>
      </c>
      <c r="C38" s="2">
        <v>0</v>
      </c>
      <c r="D38" s="2">
        <v>0</v>
      </c>
      <c r="E38" s="2">
        <v>0</v>
      </c>
      <c r="F38" s="2">
        <v>0</v>
      </c>
    </row>
    <row r="39">
      <c r="A39" s="0" t="s">
        <v>194</v>
      </c>
      <c r="B39" s="2">
        <v>0</v>
      </c>
      <c r="C39" s="2">
        <v>0</v>
      </c>
      <c r="D39" s="2">
        <v>0</v>
      </c>
      <c r="E39" s="2">
        <v>0</v>
      </c>
      <c r="F39" s="2">
        <v>0</v>
      </c>
    </row>
    <row r="40">
      <c r="A40" s="0" t="s">
        <v>195</v>
      </c>
      <c r="B40" s="2">
        <v>0</v>
      </c>
      <c r="C40" s="2">
        <v>0</v>
      </c>
      <c r="D40" s="2">
        <v>0</v>
      </c>
      <c r="E40" s="2">
        <v>0</v>
      </c>
      <c r="F40" s="2">
        <v>0</v>
      </c>
    </row>
    <row r="41">
      <c r="A41" s="0" t="s">
        <v>196</v>
      </c>
      <c r="B41" s="2">
        <v>0</v>
      </c>
      <c r="C41" s="2">
        <v>0</v>
      </c>
      <c r="D41" s="2">
        <v>0</v>
      </c>
      <c r="E41" s="2">
        <v>0</v>
      </c>
      <c r="F41" s="2">
        <v>0</v>
      </c>
    </row>
    <row r="42">
      <c r="A42" s="0" t="s">
        <v>197</v>
      </c>
      <c r="B42" s="2">
        <v>0</v>
      </c>
      <c r="C42" s="2">
        <v>0</v>
      </c>
      <c r="D42" s="2">
        <v>0</v>
      </c>
      <c r="E42" s="2">
        <v>0</v>
      </c>
      <c r="F42" s="2">
        <v>0</v>
      </c>
    </row>
    <row r="43">
      <c r="A43" s="0" t="s">
        <v>198</v>
      </c>
      <c r="B43" s="2">
        <v>0</v>
      </c>
      <c r="C43" s="2">
        <v>0</v>
      </c>
      <c r="D43" s="2">
        <v>0</v>
      </c>
      <c r="E43" s="2">
        <v>0</v>
      </c>
      <c r="F43" s="2">
        <v>0</v>
      </c>
    </row>
    <row r="44">
      <c r="A44" s="0" t="s">
        <v>199</v>
      </c>
      <c r="B44" s="2">
        <v>0</v>
      </c>
      <c r="C44" s="2">
        <v>0</v>
      </c>
      <c r="D44" s="2">
        <v>0</v>
      </c>
      <c r="E44" s="2">
        <v>0</v>
      </c>
      <c r="F44" s="2">
        <v>0</v>
      </c>
    </row>
    <row r="45">
      <c r="A45" s="0" t="s">
        <v>200</v>
      </c>
      <c r="B45" s="2">
        <v>0</v>
      </c>
      <c r="C45" s="2">
        <v>0</v>
      </c>
      <c r="D45" s="2">
        <v>0</v>
      </c>
      <c r="E45" s="2">
        <v>0</v>
      </c>
      <c r="F45" s="2">
        <v>0</v>
      </c>
    </row>
    <row r="46">
      <c r="A46" s="0" t="s">
        <v>201</v>
      </c>
      <c r="B46" s="2">
        <v>0</v>
      </c>
      <c r="C46" s="2">
        <v>0</v>
      </c>
      <c r="D46" s="2">
        <v>0</v>
      </c>
      <c r="E46" s="2">
        <v>0</v>
      </c>
      <c r="F46" s="2">
        <v>0</v>
      </c>
    </row>
    <row r="47">
      <c r="A47" s="0" t="s">
        <v>202</v>
      </c>
      <c r="B47" s="2">
        <v>0</v>
      </c>
      <c r="C47" s="2">
        <v>0</v>
      </c>
      <c r="D47" s="2">
        <v>0</v>
      </c>
      <c r="E47" s="2">
        <v>0</v>
      </c>
      <c r="F47" s="2">
        <v>0</v>
      </c>
    </row>
    <row r="48">
      <c r="A48" s="0" t="s">
        <v>203</v>
      </c>
      <c r="B48" s="2">
        <v>0</v>
      </c>
      <c r="C48" s="2">
        <v>0</v>
      </c>
      <c r="D48" s="2">
        <v>0</v>
      </c>
      <c r="E48" s="2">
        <v>0</v>
      </c>
      <c r="F48" s="2">
        <v>0</v>
      </c>
    </row>
    <row r="49">
      <c r="A49" s="0" t="s">
        <v>204</v>
      </c>
      <c r="B49" s="2">
        <v>0</v>
      </c>
      <c r="C49" s="2">
        <v>0</v>
      </c>
      <c r="D49" s="2">
        <v>0</v>
      </c>
      <c r="E49" s="2">
        <v>0</v>
      </c>
      <c r="F49" s="2">
        <v>0</v>
      </c>
    </row>
    <row r="50">
      <c r="A50" s="0" t="s">
        <v>205</v>
      </c>
      <c r="B50" s="2">
        <v>0</v>
      </c>
      <c r="C50" s="2">
        <v>0</v>
      </c>
      <c r="D50" s="2">
        <v>0</v>
      </c>
      <c r="E50" s="2">
        <v>0</v>
      </c>
      <c r="F50" s="2">
        <v>0</v>
      </c>
    </row>
    <row r="51">
      <c r="A51" s="0" t="s">
        <v>206</v>
      </c>
      <c r="B51" s="2">
        <v>0</v>
      </c>
      <c r="C51" s="2">
        <v>0</v>
      </c>
      <c r="D51" s="2">
        <v>0</v>
      </c>
      <c r="E51" s="2">
        <v>1</v>
      </c>
      <c r="F51" s="2">
        <v>1</v>
      </c>
    </row>
    <row r="52">
      <c r="A52" s="0" t="s">
        <v>207</v>
      </c>
      <c r="B52" s="2">
        <v>0</v>
      </c>
      <c r="C52" s="2">
        <v>0</v>
      </c>
      <c r="D52" s="2">
        <v>0</v>
      </c>
      <c r="E52" s="2">
        <v>0</v>
      </c>
      <c r="F52" s="2">
        <v>0</v>
      </c>
    </row>
    <row r="53">
      <c r="A53" s="0" t="s">
        <v>208</v>
      </c>
      <c r="B53" s="7">
        <v>0</v>
      </c>
      <c r="C53" s="7">
        <v>0</v>
      </c>
      <c r="D53" s="7">
        <v>0</v>
      </c>
      <c r="E53" s="7">
        <v>0</v>
      </c>
      <c r="F53" s="7">
        <v>0</v>
      </c>
    </row>
    <row r="54">
      <c r="A54" s="1" t="s">
        <v>209</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210</v>
      </c>
      <c r="B55" s="2">
        <f>B$54-B$32*pw_Damage-B$33-B$52*pw_Summon</f>
      </c>
      <c r="C55" s="2">
        <f>C$54-C$32*pw_Damage-C$33-C$52*pw_Summon</f>
      </c>
      <c r="D55" s="2">
        <f>D$54-D$32*pw_Damage-D$33-D$52*pw_Summon</f>
      </c>
      <c r="E55" s="2">
        <f>E$54-E$32*pw_Damage-E$33-E$52*pw_Summon</f>
      </c>
      <c r="F55" s="2">
        <f>F$54-F$32*pw_Damage-F$33-F$52*pw_Summon</f>
      </c>
    </row>
    <row r="57">
      <c r="A57" s="1" t="s">
        <v>211</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4.xml><?xml version="1.0" encoding="utf-8"?>
<worksheet xmlns:r="http://schemas.openxmlformats.org/officeDocument/2006/relationships" xmlns="http://schemas.openxmlformats.org/spreadsheetml/2006/main">
  <dimension ref="A1:Q22"/>
  <sheetViews>
    <sheetView workbookViewId="0" tabSelected="0">
      <pane xSplit="1" ySplit="1" topLeftCell="B2" state="frozen" activePane="bottomRight"/>
      <selection pane="topRight" activeCell="B1" sqref="B1"/>
      <selection pane="bottomLeft" activeCell="A2" sqref="A2"/>
      <selection pane="bottomRight" activeCell="A1" sqref="A1"/>
    </sheetView>
  </sheetViews>
  <sheetFormatPr defaultRowHeight="15"/>
  <cols>
    <col min="1" max="1" width="22" customWidth="1"/>
    <col min="7" max="7" width="18" customWidth="1"/>
  </cols>
  <sheetData>
    <row r="1">
      <c r="A1" s="1" t="s">
        <v>275</v>
      </c>
      <c r="B1" s="1" t="s">
        <v>162</v>
      </c>
      <c r="C1" s="1" t="s">
        <v>75</v>
      </c>
      <c r="D1" s="1" t="s">
        <v>169</v>
      </c>
      <c r="E1" s="1" t="s">
        <v>276</v>
      </c>
      <c r="F1" s="1" t="s">
        <v>72</v>
      </c>
      <c r="G1" s="1" t="s">
        <v>73</v>
      </c>
      <c r="H1" s="1" t="s">
        <v>277</v>
      </c>
      <c r="I1" s="1" t="s">
        <v>278</v>
      </c>
      <c r="J1" s="1" t="s">
        <v>279</v>
      </c>
      <c r="K1" s="1" t="s">
        <v>280</v>
      </c>
      <c r="L1" s="1" t="s">
        <v>281</v>
      </c>
      <c r="M1" s="1" t="s">
        <v>282</v>
      </c>
      <c r="N1" s="1" t="s">
        <v>283</v>
      </c>
      <c r="O1" s="1" t="s">
        <v>284</v>
      </c>
      <c r="P1" s="1" t="s">
        <v>285</v>
      </c>
      <c r="Q1" s="1" t="s">
        <v>286</v>
      </c>
    </row>
    <row r="2">
      <c r="A2" s="0" t="s">
        <v>212</v>
      </c>
      <c r="B2" s="0" t="s">
        <v>87</v>
      </c>
      <c r="C2" s="0">
        <f>'Bat'!B13</f>
      </c>
      <c r="D2" s="0">
        <f>'Bat'!B8</f>
      </c>
      <c r="E2" s="0">
        <f>'Bat'!B9</f>
      </c>
      <c r="F2" s="0">
        <f>'Bat'!B10</f>
      </c>
      <c r="G2" s="0">
        <f>'Bat'!B11</f>
      </c>
      <c r="H2" s="0">
        <v>5</v>
      </c>
      <c r="I2" s="2">
        <f>'Bat'!B20</f>
      </c>
      <c r="J2" s="2">
        <f>'Bat'!B21</f>
      </c>
      <c r="K2" s="2">
        <f>'Bat'!B22</f>
      </c>
      <c r="L2" s="2">
        <f>'Bat'!B19</f>
      </c>
      <c r="M2" s="2">
        <f>'Bat'!B16</f>
      </c>
      <c r="N2" s="2">
        <f>'Bat'!B15</f>
      </c>
      <c r="O2" s="2">
        <f>IF(N2="",M2,N2)</f>
      </c>
      <c r="P2" s="2">
        <f>'Bat'!B17</f>
      </c>
      <c r="Q2" s="0">
        <f>IF(P2="","",IF(ABS(P2)&lt;=M2*pw_Tolerance,"OK",IF(P2&gt;0,"OVER","UNDER")))</f>
      </c>
    </row>
    <row r="3">
      <c r="A3" s="0" t="s">
        <v>272</v>
      </c>
      <c r="B3" s="0" t="s">
        <v>87</v>
      </c>
      <c r="C3" s="0">
        <f>'BrittleSkeleton'!B13</f>
      </c>
      <c r="D3" s="0">
        <f>'BrittleSkeleton'!B8</f>
      </c>
      <c r="E3" s="0">
        <f>'BrittleSkeleton'!B9</f>
      </c>
      <c r="F3" s="0">
        <f>'BrittleSkeleton'!B10</f>
      </c>
      <c r="G3" s="0">
        <f>'BrittleSkeleton'!B11</f>
      </c>
      <c r="H3" s="0">
        <v>5</v>
      </c>
      <c r="I3" s="2">
        <f>'BrittleSkeleton'!B20</f>
      </c>
      <c r="J3" s="2">
        <f>'BrittleSkeleton'!B21</f>
      </c>
      <c r="K3" s="2">
        <f>'BrittleSkeleton'!B22</f>
      </c>
      <c r="L3" s="2">
        <f>'BrittleSkeleton'!B19</f>
      </c>
      <c r="M3" s="2">
        <f>'BrittleSkeleton'!B16</f>
      </c>
      <c r="N3" s="2">
        <f>'BrittleSkeleton'!B15</f>
      </c>
      <c r="O3" s="2">
        <f>IF(N3="",M3,N3)</f>
      </c>
      <c r="P3" s="2">
        <f>'BrittleSkeleton'!B17</f>
      </c>
      <c r="Q3" s="0">
        <f>IF(P3="","",IF(ABS(P3)&lt;=M3*pw_Tolerance,"OK",IF(P3&gt;0,"OVER","UNDER")))</f>
      </c>
    </row>
    <row r="4">
      <c r="A4" s="0" t="s">
        <v>216</v>
      </c>
      <c r="B4" s="0" t="s">
        <v>87</v>
      </c>
      <c r="C4" s="0">
        <f>'Crab'!B13</f>
      </c>
      <c r="D4" s="0">
        <f>'Crab'!B8</f>
      </c>
      <c r="E4" s="0">
        <f>'Crab'!B9</f>
      </c>
      <c r="F4" s="0">
        <f>'Crab'!B10</f>
      </c>
      <c r="G4" s="0">
        <f>'Crab'!B11</f>
      </c>
      <c r="H4" s="0">
        <v>5</v>
      </c>
      <c r="I4" s="2">
        <f>'Crab'!B20</f>
      </c>
      <c r="J4" s="2">
        <f>'Crab'!B21</f>
      </c>
      <c r="K4" s="2">
        <f>'Crab'!B22</f>
      </c>
      <c r="L4" s="2">
        <f>'Crab'!B19</f>
      </c>
      <c r="M4" s="2">
        <f>'Crab'!B16</f>
      </c>
      <c r="N4" s="2">
        <f>'Crab'!B15</f>
      </c>
      <c r="O4" s="2">
        <f>IF(N4="",M4,N4)</f>
      </c>
      <c r="P4" s="2">
        <f>'Crab'!B17</f>
      </c>
      <c r="Q4" s="0">
        <f>IF(P4="","",IF(ABS(P4)&lt;=M4*pw_Tolerance,"OK",IF(P4&gt;0,"OVER","UNDER")))</f>
      </c>
    </row>
    <row r="5">
      <c r="A5" s="0" t="s">
        <v>219</v>
      </c>
      <c r="B5" s="0" t="s">
        <v>87</v>
      </c>
      <c r="C5" s="0">
        <f>'EnemyRanger'!B13</f>
      </c>
      <c r="D5" s="0">
        <f>'EnemyRanger'!B8</f>
      </c>
      <c r="E5" s="0">
        <f>'EnemyRanger'!B9</f>
      </c>
      <c r="F5" s="0">
        <f>'EnemyRanger'!B10</f>
      </c>
      <c r="G5" s="0">
        <f>'EnemyRanger'!B11</f>
      </c>
      <c r="H5" s="0">
        <v>5</v>
      </c>
      <c r="I5" s="2">
        <f>'EnemyRanger'!B20</f>
      </c>
      <c r="J5" s="2">
        <f>'EnemyRanger'!B21</f>
      </c>
      <c r="K5" s="2">
        <f>'EnemyRanger'!B22</f>
      </c>
      <c r="L5" s="2">
        <f>'EnemyRanger'!B19</f>
      </c>
      <c r="M5" s="2">
        <f>'EnemyRanger'!B16</f>
      </c>
      <c r="N5" s="2">
        <f>'EnemyRanger'!B15</f>
      </c>
      <c r="O5" s="2">
        <f>IF(N5="",M5,N5)</f>
      </c>
      <c r="P5" s="2">
        <f>'EnemyRanger'!B17</f>
      </c>
      <c r="Q5" s="0">
        <f>IF(P5="","",IF(ABS(P5)&lt;=M5*pw_Tolerance,"OK",IF(P5&gt;0,"OVER","UNDER")))</f>
      </c>
    </row>
    <row r="6">
      <c r="A6" s="0" t="s">
        <v>221</v>
      </c>
      <c r="B6" s="0" t="s">
        <v>87</v>
      </c>
      <c r="C6" s="0">
        <f>'FlyingEye'!B13</f>
      </c>
      <c r="D6" s="0">
        <f>'FlyingEye'!B8</f>
      </c>
      <c r="E6" s="0">
        <f>'FlyingEye'!B9</f>
      </c>
      <c r="F6" s="0">
        <f>'FlyingEye'!B10</f>
      </c>
      <c r="G6" s="0">
        <f>'FlyingEye'!B11</f>
      </c>
      <c r="H6" s="0">
        <v>5</v>
      </c>
      <c r="I6" s="2">
        <f>'FlyingEye'!B20</f>
      </c>
      <c r="J6" s="2">
        <f>'FlyingEye'!B21</f>
      </c>
      <c r="K6" s="2">
        <f>'FlyingEye'!B22</f>
      </c>
      <c r="L6" s="2">
        <f>'FlyingEye'!B19</f>
      </c>
      <c r="M6" s="2">
        <f>'FlyingEye'!B16</f>
      </c>
      <c r="N6" s="2">
        <f>'FlyingEye'!B15</f>
      </c>
      <c r="O6" s="2">
        <f>IF(N6="",M6,N6)</f>
      </c>
      <c r="P6" s="2">
        <f>'FlyingEye'!B17</f>
      </c>
      <c r="Q6" s="0">
        <f>IF(P6="","",IF(ABS(P6)&lt;=M6*pw_Tolerance,"OK",IF(P6&gt;0,"OVER","UNDER")))</f>
      </c>
    </row>
    <row r="7">
      <c r="A7" s="0" t="s">
        <v>225</v>
      </c>
      <c r="B7" s="0" t="s">
        <v>87</v>
      </c>
      <c r="C7" s="0">
        <f>'Goblin'!B13</f>
      </c>
      <c r="D7" s="0">
        <f>'Goblin'!B8</f>
      </c>
      <c r="E7" s="0">
        <f>'Goblin'!B9</f>
      </c>
      <c r="F7" s="0">
        <f>'Goblin'!B10</f>
      </c>
      <c r="G7" s="0">
        <f>'Goblin'!B11</f>
      </c>
      <c r="H7" s="0">
        <v>5</v>
      </c>
      <c r="I7" s="2">
        <f>'Goblin'!B20</f>
      </c>
      <c r="J7" s="2">
        <f>'Goblin'!B21</f>
      </c>
      <c r="K7" s="2">
        <f>'Goblin'!B22</f>
      </c>
      <c r="L7" s="2">
        <f>'Goblin'!B19</f>
      </c>
      <c r="M7" s="2">
        <f>'Goblin'!B16</f>
      </c>
      <c r="N7" s="2">
        <f>'Goblin'!B15</f>
      </c>
      <c r="O7" s="2">
        <f>IF(N7="",M7,N7)</f>
      </c>
      <c r="P7" s="2">
        <f>'Goblin'!B17</f>
      </c>
      <c r="Q7" s="0">
        <f>IF(P7="","",IF(ABS(P7)&lt;=M7*pw_Tolerance,"OK",IF(P7&gt;0,"OVER","UNDER")))</f>
      </c>
    </row>
    <row r="8">
      <c r="A8" s="0" t="s">
        <v>228</v>
      </c>
      <c r="B8" s="0" t="s">
        <v>87</v>
      </c>
      <c r="C8" s="0">
        <f>'Golem'!B13</f>
      </c>
      <c r="D8" s="0">
        <f>'Golem'!B8</f>
      </c>
      <c r="E8" s="0">
        <f>'Golem'!B9</f>
      </c>
      <c r="F8" s="0">
        <f>'Golem'!B10</f>
      </c>
      <c r="G8" s="0">
        <f>'Golem'!B11</f>
      </c>
      <c r="H8" s="0">
        <v>5</v>
      </c>
      <c r="I8" s="2">
        <f>'Golem'!B20</f>
      </c>
      <c r="J8" s="2">
        <f>'Golem'!B21</f>
      </c>
      <c r="K8" s="2">
        <f>'Golem'!B22</f>
      </c>
      <c r="L8" s="2">
        <f>'Golem'!B19</f>
      </c>
      <c r="M8" s="2">
        <f>'Golem'!B16</f>
      </c>
      <c r="N8" s="2">
        <f>'Golem'!B15</f>
      </c>
      <c r="O8" s="2">
        <f>IF(N8="",M8,N8)</f>
      </c>
      <c r="P8" s="2">
        <f>'Golem'!B17</f>
      </c>
      <c r="Q8" s="0">
        <f>IF(P8="","",IF(ABS(P8)&lt;=M8*pw_Tolerance,"OK",IF(P8&gt;0,"OVER","UNDER")))</f>
      </c>
    </row>
    <row r="9">
      <c r="A9" s="0" t="s">
        <v>230</v>
      </c>
      <c r="B9" s="0" t="s">
        <v>87</v>
      </c>
      <c r="C9" s="0">
        <f>'HeavyBandit'!B13</f>
      </c>
      <c r="D9" s="0">
        <f>'HeavyBandit'!B8</f>
      </c>
      <c r="E9" s="0">
        <f>'HeavyBandit'!B9</f>
      </c>
      <c r="F9" s="0">
        <f>'HeavyBandit'!B10</f>
      </c>
      <c r="G9" s="0">
        <f>'HeavyBandit'!B11</f>
      </c>
      <c r="H9" s="0">
        <v>5</v>
      </c>
      <c r="I9" s="2">
        <f>'HeavyBandit'!B20</f>
      </c>
      <c r="J9" s="2">
        <f>'HeavyBandit'!B21</f>
      </c>
      <c r="K9" s="2">
        <f>'HeavyBandit'!B22</f>
      </c>
      <c r="L9" s="2">
        <f>'HeavyBandit'!B19</f>
      </c>
      <c r="M9" s="2">
        <f>'HeavyBandit'!B16</f>
      </c>
      <c r="N9" s="2">
        <f>'HeavyBandit'!B15</f>
      </c>
      <c r="O9" s="2">
        <f>IF(N9="",M9,N9)</f>
      </c>
      <c r="P9" s="2">
        <f>'HeavyBandit'!B17</f>
      </c>
      <c r="Q9" s="0">
        <f>IF(P9="","",IF(ABS(P9)&lt;=M9*pw_Tolerance,"OK",IF(P9&gt;0,"OVER","UNDER")))</f>
      </c>
    </row>
    <row r="10">
      <c r="A10" s="0" t="s">
        <v>234</v>
      </c>
      <c r="B10" s="0" t="s">
        <v>87</v>
      </c>
      <c r="C10" s="0">
        <f>'LightBandit'!B13</f>
      </c>
      <c r="D10" s="0">
        <f>'LightBandit'!B8</f>
      </c>
      <c r="E10" s="0">
        <f>'LightBandit'!B9</f>
      </c>
      <c r="F10" s="0">
        <f>'LightBandit'!B10</f>
      </c>
      <c r="G10" s="0">
        <f>'LightBandit'!B11</f>
      </c>
      <c r="H10" s="0">
        <v>5</v>
      </c>
      <c r="I10" s="2">
        <f>'LightBandit'!B20</f>
      </c>
      <c r="J10" s="2">
        <f>'LightBandit'!B21</f>
      </c>
      <c r="K10" s="2">
        <f>'LightBandit'!B22</f>
      </c>
      <c r="L10" s="2">
        <f>'LightBandit'!B19</f>
      </c>
      <c r="M10" s="2">
        <f>'LightBandit'!B16</f>
      </c>
      <c r="N10" s="2">
        <f>'LightBandit'!B15</f>
      </c>
      <c r="O10" s="2">
        <f>IF(N10="",M10,N10)</f>
      </c>
      <c r="P10" s="2">
        <f>'LightBandit'!B17</f>
      </c>
      <c r="Q10" s="0">
        <f>IF(P10="","",IF(ABS(P10)&lt;=M10*pw_Tolerance,"OK",IF(P10&gt;0,"OVER","UNDER")))</f>
      </c>
    </row>
    <row r="11">
      <c r="A11" s="0" t="s">
        <v>238</v>
      </c>
      <c r="B11" s="0" t="s">
        <v>87</v>
      </c>
      <c r="C11" s="0">
        <f>'Mimic'!B13</f>
      </c>
      <c r="D11" s="0">
        <f>'Mimic'!B8</f>
      </c>
      <c r="E11" s="0">
        <f>'Mimic'!B9</f>
      </c>
      <c r="F11" s="0">
        <f>'Mimic'!B10</f>
      </c>
      <c r="G11" s="0">
        <f>'Mimic'!B11</f>
      </c>
      <c r="H11" s="0">
        <v>5</v>
      </c>
      <c r="I11" s="2">
        <f>'Mimic'!B20</f>
      </c>
      <c r="J11" s="2">
        <f>'Mimic'!B21</f>
      </c>
      <c r="K11" s="2">
        <f>'Mimic'!B22</f>
      </c>
      <c r="L11" s="2">
        <f>'Mimic'!B19</f>
      </c>
      <c r="M11" s="2">
        <f>'Mimic'!B16</f>
      </c>
      <c r="N11" s="2">
        <f>'Mimic'!B15</f>
      </c>
      <c r="O11" s="2">
        <f>IF(N11="",M11,N11)</f>
      </c>
      <c r="P11" s="2">
        <f>'Mimic'!B17</f>
      </c>
      <c r="Q11" s="0">
        <f>IF(P11="","",IF(ABS(P11)&lt;=M11*pw_Tolerance,"OK",IF(P11&gt;0,"OVER","UNDER")))</f>
      </c>
    </row>
    <row r="12">
      <c r="A12" s="0" t="s">
        <v>241</v>
      </c>
      <c r="B12" s="0" t="s">
        <v>87</v>
      </c>
      <c r="C12" s="0">
        <f>'Mushroom'!B13</f>
      </c>
      <c r="D12" s="0">
        <f>'Mushroom'!B8</f>
      </c>
      <c r="E12" s="0">
        <f>'Mushroom'!B9</f>
      </c>
      <c r="F12" s="0">
        <f>'Mushroom'!B10</f>
      </c>
      <c r="G12" s="0">
        <f>'Mushroom'!B11</f>
      </c>
      <c r="H12" s="0">
        <v>5</v>
      </c>
      <c r="I12" s="2">
        <f>'Mushroom'!B20</f>
      </c>
      <c r="J12" s="2">
        <f>'Mushroom'!B21</f>
      </c>
      <c r="K12" s="2">
        <f>'Mushroom'!B22</f>
      </c>
      <c r="L12" s="2">
        <f>'Mushroom'!B19</f>
      </c>
      <c r="M12" s="2">
        <f>'Mushroom'!B16</f>
      </c>
      <c r="N12" s="2">
        <f>'Mushroom'!B15</f>
      </c>
      <c r="O12" s="2">
        <f>IF(N12="",M12,N12)</f>
      </c>
      <c r="P12" s="2">
        <f>'Mushroom'!B17</f>
      </c>
      <c r="Q12" s="0">
        <f>IF(P12="","",IF(ABS(P12)&lt;=M12*pw_Tolerance,"OK",IF(P12&gt;0,"OVER","UNDER")))</f>
      </c>
    </row>
    <row r="13">
      <c r="A13" s="0" t="s">
        <v>244</v>
      </c>
      <c r="B13" s="0" t="s">
        <v>87</v>
      </c>
      <c r="C13" s="0">
        <f>'Pebble'!B13</f>
      </c>
      <c r="D13" s="0">
        <f>'Pebble'!B8</f>
      </c>
      <c r="E13" s="0">
        <f>'Pebble'!B9</f>
      </c>
      <c r="F13" s="0">
        <f>'Pebble'!B10</f>
      </c>
      <c r="G13" s="0">
        <f>'Pebble'!B11</f>
      </c>
      <c r="H13" s="0">
        <v>5</v>
      </c>
      <c r="I13" s="2">
        <f>'Pebble'!B20</f>
      </c>
      <c r="J13" s="2">
        <f>'Pebble'!B21</f>
      </c>
      <c r="K13" s="2">
        <f>'Pebble'!B22</f>
      </c>
      <c r="L13" s="2">
        <f>'Pebble'!B19</f>
      </c>
      <c r="M13" s="2">
        <f>'Pebble'!B16</f>
      </c>
      <c r="N13" s="2">
        <f>'Pebble'!B15</f>
      </c>
      <c r="O13" s="2">
        <f>IF(N13="",M13,N13)</f>
      </c>
      <c r="P13" s="2">
        <f>'Pebble'!B17</f>
      </c>
      <c r="Q13" s="0">
        <f>IF(P13="","",IF(ABS(P13)&lt;=M13*pw_Tolerance,"OK",IF(P13&gt;0,"OVER","UNDER")))</f>
      </c>
    </row>
    <row r="14">
      <c r="A14" s="0" t="s">
        <v>247</v>
      </c>
      <c r="B14" s="0" t="s">
        <v>87</v>
      </c>
      <c r="C14" s="0">
        <f>'PlagueRat'!B13</f>
      </c>
      <c r="D14" s="0">
        <f>'PlagueRat'!B8</f>
      </c>
      <c r="E14" s="0">
        <f>'PlagueRat'!B9</f>
      </c>
      <c r="F14" s="0">
        <f>'PlagueRat'!B10</f>
      </c>
      <c r="G14" s="0">
        <f>'PlagueRat'!B11</f>
      </c>
      <c r="H14" s="0">
        <v>5</v>
      </c>
      <c r="I14" s="2">
        <f>'PlagueRat'!B20</f>
      </c>
      <c r="J14" s="2">
        <f>'PlagueRat'!B21</f>
      </c>
      <c r="K14" s="2">
        <f>'PlagueRat'!B22</f>
      </c>
      <c r="L14" s="2">
        <f>'PlagueRat'!B19</f>
      </c>
      <c r="M14" s="2">
        <f>'PlagueRat'!B16</f>
      </c>
      <c r="N14" s="2">
        <f>'PlagueRat'!B15</f>
      </c>
      <c r="O14" s="2">
        <f>IF(N14="",M14,N14)</f>
      </c>
      <c r="P14" s="2">
        <f>'PlagueRat'!B17</f>
      </c>
      <c r="Q14" s="0">
        <f>IF(P14="","",IF(ABS(P14)&lt;=M14*pw_Tolerance,"OK",IF(P14&gt;0,"OVER","UNDER")))</f>
      </c>
    </row>
    <row r="15">
      <c r="A15" s="0" t="s">
        <v>251</v>
      </c>
      <c r="B15" s="0" t="s">
        <v>87</v>
      </c>
      <c r="C15" s="0">
        <f>'Rat'!B13</f>
      </c>
      <c r="D15" s="0">
        <f>'Rat'!B8</f>
      </c>
      <c r="E15" s="0">
        <f>'Rat'!B9</f>
      </c>
      <c r="F15" s="0">
        <f>'Rat'!B10</f>
      </c>
      <c r="G15" s="0">
        <f>'Rat'!B11</f>
      </c>
      <c r="H15" s="0">
        <v>5</v>
      </c>
      <c r="I15" s="2">
        <f>'Rat'!B20</f>
      </c>
      <c r="J15" s="2">
        <f>'Rat'!B21</f>
      </c>
      <c r="K15" s="2">
        <f>'Rat'!B22</f>
      </c>
      <c r="L15" s="2">
        <f>'Rat'!B19</f>
      </c>
      <c r="M15" s="2">
        <f>'Rat'!B16</f>
      </c>
      <c r="N15" s="2">
        <f>'Rat'!B15</f>
      </c>
      <c r="O15" s="2">
        <f>IF(N15="",M15,N15)</f>
      </c>
      <c r="P15" s="2">
        <f>'Rat'!B17</f>
      </c>
      <c r="Q15" s="0">
        <f>IF(P15="","",IF(ABS(P15)&lt;=M15*pw_Tolerance,"OK",IF(P15&gt;0,"OVER","UNDER")))</f>
      </c>
    </row>
    <row r="16">
      <c r="A16" s="0" t="s">
        <v>168</v>
      </c>
      <c r="B16" s="0" t="s">
        <v>87</v>
      </c>
      <c r="C16" s="0">
        <f>'Skeleton'!B13</f>
      </c>
      <c r="D16" s="0">
        <f>'Skeleton'!B8</f>
      </c>
      <c r="E16" s="0">
        <f>'Skeleton'!B9</f>
      </c>
      <c r="F16" s="0">
        <f>'Skeleton'!B10</f>
      </c>
      <c r="G16" s="0">
        <f>'Skeleton'!B11</f>
      </c>
      <c r="H16" s="0">
        <v>5</v>
      </c>
      <c r="I16" s="2">
        <f>'Skeleton'!B20</f>
      </c>
      <c r="J16" s="2">
        <f>'Skeleton'!B21</f>
      </c>
      <c r="K16" s="2">
        <f>'Skeleton'!B22</f>
      </c>
      <c r="L16" s="2">
        <f>'Skeleton'!B19</f>
      </c>
      <c r="M16" s="2">
        <f>'Skeleton'!B16</f>
      </c>
      <c r="N16" s="2">
        <f>'Skeleton'!B15</f>
      </c>
      <c r="O16" s="2">
        <f>IF(N16="",M16,N16)</f>
      </c>
      <c r="P16" s="2">
        <f>'Skeleton'!B17</f>
      </c>
      <c r="Q16" s="0">
        <f>IF(P16="","",IF(ABS(P16)&lt;=M16*pw_Tolerance,"OK",IF(P16&gt;0,"OVER","UNDER")))</f>
      </c>
    </row>
    <row r="17">
      <c r="A17" s="0" t="s">
        <v>161</v>
      </c>
      <c r="B17" s="0" t="s">
        <v>87</v>
      </c>
      <c r="C17" s="0">
        <f>'SkeletonAlly'!B13</f>
      </c>
      <c r="D17" s="0">
        <f>'SkeletonAlly'!B8</f>
      </c>
      <c r="E17" s="0">
        <f>'SkeletonAlly'!B9</f>
      </c>
      <c r="F17" s="0">
        <f>'SkeletonAlly'!B10</f>
      </c>
      <c r="G17" s="0">
        <f>'SkeletonAlly'!B11</f>
      </c>
      <c r="H17" s="0">
        <v>4</v>
      </c>
      <c r="I17" s="2">
        <f>'SkeletonAlly'!B20</f>
      </c>
      <c r="J17" s="2">
        <f>'SkeletonAlly'!B21</f>
      </c>
      <c r="K17" s="2">
        <f>'SkeletonAlly'!B22</f>
      </c>
      <c r="L17" s="2">
        <f>'SkeletonAlly'!B19</f>
      </c>
      <c r="M17" s="2">
        <f>'SkeletonAlly'!B16</f>
      </c>
      <c r="N17" s="2">
        <f>'SkeletonAlly'!B15</f>
      </c>
      <c r="O17" s="2">
        <f>IF(N17="",M17,N17)</f>
      </c>
      <c r="P17" s="2">
        <f>'SkeletonAlly'!B17</f>
      </c>
      <c r="Q17" s="0">
        <f>IF(P17="","",IF(ABS(P17)&lt;=M17*pw_Tolerance,"OK",IF(P17&gt;0,"OVER","UNDER")))</f>
      </c>
    </row>
    <row r="18">
      <c r="A18" s="0" t="s">
        <v>256</v>
      </c>
      <c r="B18" s="0" t="s">
        <v>87</v>
      </c>
      <c r="C18" s="0">
        <f>'SkeletonWarrior'!B13</f>
      </c>
      <c r="D18" s="0">
        <f>'SkeletonWarrior'!B8</f>
      </c>
      <c r="E18" s="0">
        <f>'SkeletonWarrior'!B9</f>
      </c>
      <c r="F18" s="0">
        <f>'SkeletonWarrior'!B10</f>
      </c>
      <c r="G18" s="0">
        <f>'SkeletonWarrior'!B11</f>
      </c>
      <c r="H18" s="0">
        <v>5</v>
      </c>
      <c r="I18" s="2">
        <f>'SkeletonWarrior'!B20</f>
      </c>
      <c r="J18" s="2">
        <f>'SkeletonWarrior'!B21</f>
      </c>
      <c r="K18" s="2">
        <f>'SkeletonWarrior'!B22</f>
      </c>
      <c r="L18" s="2">
        <f>'SkeletonWarrior'!B19</f>
      </c>
      <c r="M18" s="2">
        <f>'SkeletonWarrior'!B16</f>
      </c>
      <c r="N18" s="2">
        <f>'SkeletonWarrior'!B15</f>
      </c>
      <c r="O18" s="2">
        <f>IF(N18="",M18,N18)</f>
      </c>
      <c r="P18" s="2">
        <f>'SkeletonWarrior'!B17</f>
      </c>
      <c r="Q18" s="0">
        <f>IF(P18="","",IF(ABS(P18)&lt;=M18*pw_Tolerance,"OK",IF(P18&gt;0,"OVER","UNDER")))</f>
      </c>
    </row>
    <row r="19">
      <c r="A19" s="0" t="s">
        <v>259</v>
      </c>
      <c r="B19" s="0" t="s">
        <v>87</v>
      </c>
      <c r="C19" s="0">
        <f>'Skull'!B13</f>
      </c>
      <c r="D19" s="0">
        <f>'Skull'!B8</f>
      </c>
      <c r="E19" s="0">
        <f>'Skull'!B9</f>
      </c>
      <c r="F19" s="0">
        <f>'Skull'!B10</f>
      </c>
      <c r="G19" s="0">
        <f>'Skull'!B11</f>
      </c>
      <c r="H19" s="0">
        <v>5</v>
      </c>
      <c r="I19" s="2">
        <f>'Skull'!B20</f>
      </c>
      <c r="J19" s="2">
        <f>'Skull'!B21</f>
      </c>
      <c r="K19" s="2">
        <f>'Skull'!B22</f>
      </c>
      <c r="L19" s="2">
        <f>'Skull'!B19</f>
      </c>
      <c r="M19" s="2">
        <f>'Skull'!B16</f>
      </c>
      <c r="N19" s="2">
        <f>'Skull'!B15</f>
      </c>
      <c r="O19" s="2">
        <f>IF(N19="",M19,N19)</f>
      </c>
      <c r="P19" s="2">
        <f>'Skull'!B17</f>
      </c>
      <c r="Q19" s="0">
        <f>IF(P19="","",IF(ABS(P19)&lt;=M19*pw_Tolerance,"OK",IF(P19&gt;0,"OVER","UNDER")))</f>
      </c>
    </row>
    <row r="20">
      <c r="A20" s="0" t="s">
        <v>262</v>
      </c>
      <c r="B20" s="0" t="s">
        <v>87</v>
      </c>
      <c r="C20" s="0">
        <f>'Slime'!B13</f>
      </c>
      <c r="D20" s="0">
        <f>'Slime'!B8</f>
      </c>
      <c r="E20" s="0">
        <f>'Slime'!B9</f>
      </c>
      <c r="F20" s="0">
        <f>'Slime'!B10</f>
      </c>
      <c r="G20" s="0">
        <f>'Slime'!B11</f>
      </c>
      <c r="H20" s="0">
        <v>5</v>
      </c>
      <c r="I20" s="2">
        <f>'Slime'!B20</f>
      </c>
      <c r="J20" s="2">
        <f>'Slime'!B21</f>
      </c>
      <c r="K20" s="2">
        <f>'Slime'!B22</f>
      </c>
      <c r="L20" s="2">
        <f>'Slime'!B19</f>
      </c>
      <c r="M20" s="2">
        <f>'Slime'!B16</f>
      </c>
      <c r="N20" s="2">
        <f>'Slime'!B15</f>
      </c>
      <c r="O20" s="2">
        <f>IF(N20="",M20,N20)</f>
      </c>
      <c r="P20" s="2">
        <f>'Slime'!B17</f>
      </c>
      <c r="Q20" s="0">
        <f>IF(P20="","",IF(ABS(P20)&lt;=M20*pw_Tolerance,"OK",IF(P20&gt;0,"OVER","UNDER")))</f>
      </c>
    </row>
    <row r="21">
      <c r="A21" s="0" t="s">
        <v>265</v>
      </c>
      <c r="B21" s="0" t="s">
        <v>87</v>
      </c>
      <c r="C21" s="0">
        <f>'SpikedSlime'!B13</f>
      </c>
      <c r="D21" s="0">
        <f>'SpikedSlime'!B8</f>
      </c>
      <c r="E21" s="0">
        <f>'SpikedSlime'!B9</f>
      </c>
      <c r="F21" s="0">
        <f>'SpikedSlime'!B10</f>
      </c>
      <c r="G21" s="0">
        <f>'SpikedSlime'!B11</f>
      </c>
      <c r="H21" s="0">
        <v>5</v>
      </c>
      <c r="I21" s="2">
        <f>'SpikedSlime'!B20</f>
      </c>
      <c r="J21" s="2">
        <f>'SpikedSlime'!B21</f>
      </c>
      <c r="K21" s="2">
        <f>'SpikedSlime'!B22</f>
      </c>
      <c r="L21" s="2">
        <f>'SpikedSlime'!B19</f>
      </c>
      <c r="M21" s="2">
        <f>'SpikedSlime'!B16</f>
      </c>
      <c r="N21" s="2">
        <f>'SpikedSlime'!B15</f>
      </c>
      <c r="O21" s="2">
        <f>IF(N21="",M21,N21)</f>
      </c>
      <c r="P21" s="2">
        <f>'SpikedSlime'!B17</f>
      </c>
      <c r="Q21" s="0">
        <f>IF(P21="","",IF(ABS(P21)&lt;=M21*pw_Tolerance,"OK",IF(P21&gt;0,"OVER","UNDER")))</f>
      </c>
    </row>
    <row r="22">
      <c r="A22" s="0" t="s">
        <v>268</v>
      </c>
      <c r="B22" s="0" t="s">
        <v>87</v>
      </c>
      <c r="C22" s="0">
        <f>'VampireBat'!B13</f>
      </c>
      <c r="D22" s="0">
        <f>'VampireBat'!B8</f>
      </c>
      <c r="E22" s="0">
        <f>'VampireBat'!B9</f>
      </c>
      <c r="F22" s="0">
        <f>'VampireBat'!B10</f>
      </c>
      <c r="G22" s="0">
        <f>'VampireBat'!B11</f>
      </c>
      <c r="H22" s="0">
        <v>5</v>
      </c>
      <c r="I22" s="2">
        <f>'VampireBat'!B20</f>
      </c>
      <c r="J22" s="2">
        <f>'VampireBat'!B21</f>
      </c>
      <c r="K22" s="2">
        <f>'VampireBat'!B22</f>
      </c>
      <c r="L22" s="2">
        <f>'VampireBat'!B19</f>
      </c>
      <c r="M22" s="2">
        <f>'VampireBat'!B16</f>
      </c>
      <c r="N22" s="2">
        <f>'VampireBat'!B15</f>
      </c>
      <c r="O22" s="2">
        <f>IF(N22="",M22,N22)</f>
      </c>
      <c r="P22" s="2">
        <f>'VampireBat'!B17</f>
      </c>
      <c r="Q22" s="0">
        <f>IF(P22="","",IF(ABS(P22)&lt;=M22*pw_Tolerance,"OK",IF(P22&gt;0,"OVER","UNDER")))</f>
      </c>
    </row>
  </sheetData>
  <autoFilter ref="A1:Q22"/>
  <conditionalFormatting sqref="Q2:Q22">
    <cfRule priority="1" type="cellIs" operator="equal" dxfId="0">
      <formula>"OVER"</formula>
    </cfRule>
    <cfRule priority="2" type="cellIs" operator="equal" dxfId="1">
      <formula>"UNDER"</formula>
    </cfRule>
    <cfRule priority="3" type="cellIs" operator="equal" dxfId="2">
      <formula>"OK"</formula>
    </cfRule>
  </conditionalFormatting>
  <headerFooter/>
</worksheet>
</file>

<file path=xl/worksheets/sheet25.xml><?xml version="1.0" encoding="utf-8"?>
<worksheet xmlns:r="http://schemas.openxmlformats.org/officeDocument/2006/relationships" xmlns="http://schemas.openxmlformats.org/spreadsheetml/2006/main">
  <dimension ref="A1:B27"/>
  <sheetViews>
    <sheetView workbookViewId="0" tabSelected="0"/>
  </sheetViews>
  <sheetFormatPr defaultRowHeight="15"/>
  <cols>
    <col min="1" max="1" width="28" customWidth="1"/>
    <col min="2" max="2" width="110" customWidth="1" style="3"/>
  </cols>
  <sheetData>
    <row r="1">
      <c r="A1" s="8" t="s">
        <v>287</v>
      </c>
    </row>
    <row r="2">
      <c r="A2" s="0" t="s">
        <v>80</v>
      </c>
    </row>
    <row r="3">
      <c r="A3" s="0" t="s">
        <v>288</v>
      </c>
    </row>
    <row r="4">
      <c r="A4" s="0" t="s">
        <v>80</v>
      </c>
    </row>
    <row r="5">
      <c r="A5" s="9" t="s">
        <v>289</v>
      </c>
    </row>
    <row r="6">
      <c r="A6" s="1" t="s">
        <v>290</v>
      </c>
      <c r="B6" s="3" t="s">
        <v>291</v>
      </c>
    </row>
    <row r="7">
      <c r="A7" s="1" t="s">
        <v>292</v>
      </c>
      <c r="B7" s="3" t="s">
        <v>293</v>
      </c>
    </row>
    <row r="8">
      <c r="A8" s="1" t="s">
        <v>294</v>
      </c>
      <c r="B8" s="3" t="s">
        <v>295</v>
      </c>
    </row>
    <row r="9">
      <c r="A9" s="1" t="s">
        <v>296</v>
      </c>
      <c r="B9" s="3" t="s">
        <v>297</v>
      </c>
    </row>
    <row r="10">
      <c r="A10" s="1" t="s">
        <v>298</v>
      </c>
      <c r="B10" s="3" t="s">
        <v>299</v>
      </c>
    </row>
    <row r="11">
      <c r="A11" s="0" t="s">
        <v>80</v>
      </c>
    </row>
    <row r="12">
      <c r="A12" s="9" t="s">
        <v>300</v>
      </c>
    </row>
    <row r="13">
      <c r="A13" s="1" t="s">
        <v>172</v>
      </c>
      <c r="B13" s="3" t="s">
        <v>301</v>
      </c>
    </row>
    <row r="14">
      <c r="A14" s="1" t="s">
        <v>173</v>
      </c>
      <c r="B14" s="3" t="s">
        <v>302</v>
      </c>
    </row>
    <row r="15">
      <c r="A15" s="1" t="s">
        <v>75</v>
      </c>
      <c r="B15" s="3" t="s">
        <v>303</v>
      </c>
    </row>
    <row r="16">
      <c r="A16" s="1" t="s">
        <v>183</v>
      </c>
      <c r="B16" s="3" t="s">
        <v>304</v>
      </c>
    </row>
    <row r="17">
      <c r="A17" s="1" t="s">
        <v>207</v>
      </c>
      <c r="B17" s="3" t="s">
        <v>305</v>
      </c>
    </row>
    <row r="18">
      <c r="A18" s="0" t="s">
        <v>80</v>
      </c>
    </row>
    <row r="19">
      <c r="A19" s="9" t="s">
        <v>306</v>
      </c>
    </row>
    <row r="20">
      <c r="A20" s="1" t="s">
        <v>307</v>
      </c>
      <c r="B20" s="3" t="s">
        <v>308</v>
      </c>
    </row>
    <row r="21">
      <c r="A21" s="1" t="s">
        <v>179</v>
      </c>
      <c r="B21" s="3" t="s">
        <v>309</v>
      </c>
    </row>
    <row r="22">
      <c r="A22" s="1" t="s">
        <v>310</v>
      </c>
      <c r="B22" s="3" t="s">
        <v>311</v>
      </c>
    </row>
    <row r="23">
      <c r="A23" s="1" t="s">
        <v>312</v>
      </c>
      <c r="B23" s="3" t="s">
        <v>313</v>
      </c>
    </row>
    <row r="24">
      <c r="A24" s="1" t="s">
        <v>314</v>
      </c>
      <c r="B24" s="3" t="s">
        <v>315</v>
      </c>
    </row>
    <row r="25">
      <c r="A25" s="1" t="s">
        <v>316</v>
      </c>
      <c r="B25" s="3" t="s">
        <v>317</v>
      </c>
    </row>
    <row r="26">
      <c r="A26" s="1" t="s">
        <v>318</v>
      </c>
      <c r="B26" s="3" t="s">
        <v>319</v>
      </c>
    </row>
    <row r="27">
      <c r="A27" s="1" t="s">
        <v>320</v>
      </c>
      <c r="B27" s="3" t="s">
        <v>321</v>
      </c>
    </row>
  </sheetData>
  <headerFooter/>
</worksheet>
</file>