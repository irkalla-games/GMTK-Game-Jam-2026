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activeTab="0"/>
  </bookViews>
  <sheets>
    <sheet name="README" sheetId="25" r:id="rId26"/>
    <sheet name="PowerLevel" sheetId="1" r:id="rId1"/>
    <sheet name="Roster" sheetId="24" r:id="rId25"/>
    <sheet name="Bat" sheetId="4" r:id="rId5"/>
    <sheet name="BrittleSkeleton" sheetId="23" r:id="rId24"/>
    <sheet name="Crab" sheetId="5" r:id="rId6"/>
    <sheet name="EnemyRanger" sheetId="6" r:id="rId7"/>
    <sheet name="FlyingEye" sheetId="7" r:id="rId8"/>
    <sheet name="Goblin" sheetId="8" r:id="rId9"/>
    <sheet name="Golem" sheetId="9" r:id="rId10"/>
    <sheet name="HeavyBandit" sheetId="10" r:id="rId11"/>
    <sheet name="LightBandit" sheetId="11" r:id="rId12"/>
    <sheet name="Mimic" sheetId="12" r:id="rId13"/>
    <sheet name="Mushroom" sheetId="13" r:id="rId14"/>
    <sheet name="Pebble" sheetId="14" r:id="rId15"/>
    <sheet name="PlagueRat" sheetId="15" r:id="rId16"/>
    <sheet name="Rat" sheetId="16" r:id="rId17"/>
    <sheet name="Skeleton" sheetId="17" r:id="rId18"/>
    <sheet name="SkeletonAlly" sheetId="3" r:id="rId4"/>
    <sheet name="SkeletonWarrior" sheetId="18" r:id="rId19"/>
    <sheet name="Skull" sheetId="19" r:id="rId20"/>
    <sheet name="Slime" sheetId="20" r:id="rId21"/>
    <sheet name="SpikedSlime" sheetId="21" r:id="rId22"/>
    <sheet name="VampireBat" sheetId="22" r:id="rId23"/>
    <sheet name="Enums" sheetId="2" r:id="rId3"/>
  </sheets>
  <definedNames>
    <definedName name="pw_Damage">'PowerLevel'!$B$2</definedName>
    <definedName name="pw_Poison">'PowerLevel'!$B$3</definedName>
    <definedName name="pw_Shield">'PowerLevel'!$B$4</definedName>
    <definedName name="pw_Block">'PowerLevel'!$B$5</definedName>
    <definedName name="pw_Teleport">'PowerLevel'!$B$6</definedName>
    <definedName name="pw_Move">'PowerLevel'!$B$7</definedName>
    <definedName name="pw_Health">'PowerLevel'!$B$8</definedName>
    <definedName name="pw_Divisor">'PowerLevel'!$B$9</definedName>
    <definedName name="pw_Heal">'PowerLevel'!$B$10</definedName>
    <definedName name="pw_Strength">'PowerLevel'!$B$11</definedName>
    <definedName name="pw_DoubleNextAttack">'PowerLevel'!$B$12</definedName>
    <definedName name="pw_PoisonBlade">'PowerLevel'!$B$13</definedName>
    <definedName name="pw_Parry">'PowerLevel'!$B$14</definedName>
    <definedName name="pw_Dodge">'PowerLevel'!$B$15</definedName>
    <definedName name="pw_DoubleShield">'PowerLevel'!$B$16</definedName>
    <definedName name="pw_Frozen">'PowerLevel'!$B$17</definedName>
    <definedName name="pw_Rooted">'PowerLevel'!$B$18</definedName>
    <definedName name="pw_Weaken">'PowerLevel'!$B$19</definedName>
    <definedName name="pw_Vulnerable">'PowerLevel'!$B$20</definedName>
    <definedName name="pw_Taunt">'PowerLevel'!$B$21</definedName>
    <definedName name="pw_Stealth">'PowerLevel'!$B$22</definedName>
    <definedName name="pw_Summon">'PowerLevel'!$B$23</definedName>
    <definedName name="pw_SummonHorizon">'PowerLevel'!$B$24</definedName>
    <definedName name="pw_TotemActivations">'PowerLevel'!$B$25</definedName>
    <definedName name="pw_Area">'PowerLevel'!$B$26</definedName>
    <definedName name="pw_Horizon">'PowerLevel'!$B$27</definedName>
    <definedName name="pw_Draw">'PowerLevel'!$B$28</definedName>
    <definedName name="pw_Energy">'PowerLevel'!$B$29</definedName>
    <definedName name="pw_TileEffect">'PowerLevel'!$B$30</definedName>
    <definedName name="pw_SelfDamage">'PowerLevel'!$B$31</definedName>
    <definedName name="pw_ActionScale">'PowerLevel'!$B$32</definedName>
    <definedName name="pw_Tolerance">'PowerLevel'!$B$33</definedName>
    <definedName name="range_Power">'PowerLevel'!$A$38:$B$43</definedName>
    <definedName name="list_Brain">'Enums'!$A$2:$A$5</definedName>
    <definedName name="list_Targeting">'Enums'!$B$2:$B$18</definedName>
    <definedName name="list_Loot">'Enums'!$C$2:$C$14</definedName>
    <definedName name="list_Role">'Enums'!$D$2:$D$5</definedName>
    <definedName name="list_Bool">'Enums'!$E$2:$E$3</definedName>
    <definedName name="list_EnemyCard">'Enums'!$F$2:$F$55</definedName>
    <definedName name="pow_SkeletonAlly">'SkeletonAlly'!$B$16</definedName>
    <definedName name="pow_Bat">'Bat'!$B$16</definedName>
    <definedName name="pow_Crab">'Crab'!$B$16</definedName>
    <definedName name="pow_EnemyRanger">'EnemyRanger'!$B$16</definedName>
    <definedName name="pow_FlyingEye">'FlyingEye'!$B$16</definedName>
    <definedName name="pow_Goblin">'Goblin'!$B$16</definedName>
    <definedName name="pow_Golem">'Golem'!$B$16</definedName>
    <definedName name="pow_HeavyBandit">'HeavyBandit'!$B$16</definedName>
    <definedName name="pow_LightBandit">'LightBandit'!$B$16</definedName>
    <definedName name="pow_Mimic">'Mimic'!$B$16</definedName>
    <definedName name="pow_Mushroom">'Mushroom'!$B$16</definedName>
    <definedName name="pow_Pebble">'Pebble'!$B$16</definedName>
    <definedName name="pow_PlagueRat">'PlagueRat'!$B$16</definedName>
    <definedName name="pow_Rat">'Rat'!$B$16</definedName>
    <definedName name="pow_Skeleton">'Skeleton'!$B$16</definedName>
    <definedName name="pow_SkeletonWarrior">'SkeletonWarrior'!$B$16</definedName>
    <definedName name="pow_Skull">'Skull'!$B$16</definedName>
    <definedName name="pow_Slime">'Slime'!$B$16</definedName>
    <definedName name="pow_SpikedSlime">'SpikedSlime'!$B$16</definedName>
    <definedName name="pow_VampireBat">'VampireBat'!$B$16</definedName>
    <definedName name="pow_BrittleSkeleton">'BrittleSkeleton'!$B$16</definedName>
    <definedName name="_xlnm._FilterDatabase" localSheetId="2" hidden="1">'Roster'!$A$1:$T$22</definedName>
  </definedNames>
  <calcPr fullCalcOnLoad="1"/>
</workbook>
</file>

<file path=xl/sharedStrings.xml><?xml version="1.0" encoding="utf-8"?>
<sst xmlns="http://schemas.openxmlformats.org/spreadsheetml/2006/main" count="337" uniqueCount="337">
  <si>
    <t>Term</t>
  </si>
  <si>
    <t>Value</t>
  </si>
  <si>
    <t>What this counts</t>
  </si>
  <si>
    <t>pw_Damage</t>
  </si>
  <si>
    <t>The numeraire. One point of damage to a hero = 1 power.</t>
  </si>
  <si>
    <t>pw_Poison</t>
  </si>
  <si>
    <t>Per point of lifetime damage-over-time (the triangular total of the stacks applied, not the stack count itself).</t>
  </si>
  <si>
    <t>pw_Shield</t>
  </si>
  <si>
    <t>Per point. ShieldStatus is wiped at OnTurnStart, so it only ever blocks one round.</t>
  </si>
  <si>
    <t>pw_Block</t>
  </si>
  <si>
    <t>Per point actually prevented (BlockStatus.AmountPerHit is a const 5, so a charge is worth 5 of these).</t>
  </si>
  <si>
    <t>pw_Teleport</t>
  </si>
  <si>
    <t>Reserved for a future teleport/swap effect - no enemy card uses this yet.</t>
  </si>
  <si>
    <t>pw_Move</t>
  </si>
  <si>
    <t>Per tile of forced repositioning (Move / Swap). "Move 2" is one Move card whose range reaches 2 tiles.</t>
  </si>
  <si>
    <t>pw_Health</t>
  </si>
  <si>
    <t>Per point of max health.</t>
  </si>
  <si>
    <t>pw_Divisor</t>
  </si>
  <si>
    <t>Everything above is summed and divided by this to land in the same range as Brandon's hand-authored numbers.</t>
  </si>
  <si>
    <t>pw_Heal</t>
  </si>
  <si>
    <t>Only useful once already damaged, so worth less than the same number as damage.</t>
  </si>
  <si>
    <t>pw_Strength</t>
  </si>
  <si>
    <t>Per stack per future attack this enemy is assumed to still make (see pw_Horizon).</t>
  </si>
  <si>
    <t>pw_DoubleNextAttack</t>
  </si>
  <si>
    <t>Per stack. Roughly one extra average hit.</t>
  </si>
  <si>
    <t>pw_PoisonBlade</t>
  </si>
  <si>
    <t>Per stack - the weapon-poison variant, scored the same as Poison stacks.</t>
  </si>
  <si>
    <t>pw_Parry</t>
  </si>
  <si>
    <t>Per charge. Negates a hit and reflects it - prevention plus a second attack.</t>
  </si>
  <si>
    <t>pw_Dodge</t>
  </si>
  <si>
    <t>Per charge. A fully avoided hit, but only ever one hit.</t>
  </si>
  <si>
    <t>pw_DoubleShield</t>
  </si>
  <si>
    <t>Per stack.</t>
  </si>
  <si>
    <t>pw_Frozen</t>
  </si>
  <si>
    <t>Per turn. Denies a whole hero turn - the single strongest thing an enemy card can do to a player.</t>
  </si>
  <si>
    <t>pw_Rooted</t>
  </si>
  <si>
    <t>Per turn. Denies movement only, so worth less than Frozen.</t>
  </si>
  <si>
    <t>pw_Weaken</t>
  </si>
  <si>
    <t>Per stack per future hero attack this is assumed to still reduce (see pw_Horizon).</t>
  </si>
  <si>
    <t>pw_Vulnerable</t>
  </si>
  <si>
    <t>Per stack per future hit this enemy is assumed to still amplify (see pw_Horizon). Symmetric with Weaken.</t>
  </si>
  <si>
    <t>pw_Taunt</t>
  </si>
  <si>
    <t>Per turn forced onto the party.</t>
  </si>
  <si>
    <t>pw_Stealth</t>
  </si>
  <si>
    <t>Per turn this enemy cannot be targeted.</t>
  </si>
  <si>
    <t>pw_Summon</t>
  </si>
  <si>
    <t>Multiplier on the summoned body's own Estimated Power Level (Totems use their Totem Power instead) - see the Roster tab.</t>
  </si>
  <si>
    <t>pw_SummonHorizon</t>
  </si>
  <si>
    <t>Turns a limited-lifetime summon is assumed worth. A permanent summon (lifetimeTurns 0) always scores in full; a summon lasting fewer turns than this is scaled down by lifetime/this.</t>
  </si>
  <si>
    <t>pw_TotemActivations</t>
  </si>
  <si>
    <t>How many times a totem's auras/reactions are assumed to pay out over its life - the same 3 Export-CardSheet.ps1 hardcodes for the card workbook, now tunable here.</t>
  </si>
  <si>
    <t>pw_Area</t>
  </si>
  <si>
    <t>Per extra tile an area-effect card's footprint covers, beyond the one tile it aims at.</t>
  </si>
  <si>
    <t>pw_Horizon</t>
  </si>
  <si>
    <t>How many future attacks a Strength/Weaken/Vulnerable stack is assumed to affect. Also gates how long a Poison Blade weapon-buff is assumed to keep landing.</t>
  </si>
  <si>
    <t>pw_Draw</t>
  </si>
  <si>
    <t>Per card. Enemies rarely draw, but a few summon/ritual cards do.</t>
  </si>
  <si>
    <t>pw_Energy</t>
  </si>
  <si>
    <t>Reserved - no enemy card currently grants energy.</t>
  </si>
  <si>
    <t>pw_TileEffect</t>
  </si>
  <si>
    <t>Per point of an unblockable tile-hazard's total payout (Wall of Flames magnitude * turns).</t>
  </si>
  <si>
    <t>pw_SelfDamage</t>
  </si>
  <si>
    <t>Per point. Negative - a card that hurts its own owner is a cost, not a benefit.</t>
  </si>
  <si>
    <t>pw_ActionScale</t>
  </si>
  <si>
    <t>Multiplies Average Card Power * Actions Per Turn before it is added to Health. 1 assumes every action in a turn is, on average, as strong as the deck's average card.</t>
  </si>
  <si>
    <t>pw_Tolerance</t>
  </si>
  <si>
    <t>How far Estimated Power Level may sit from Brandon's before the Roster tab flags it OVER/UNDER.</t>
  </si>
  <si>
    <t>Edit the Value column - every body tab and the Roster tab recalculate. Nothing here is baked into the export script.</t>
  </si>
  <si>
    <t>Range Power</t>
  </si>
  <si>
    <t>Range</t>
  </si>
  <si>
    <t>Power</t>
  </si>
  <si>
    <t>Looked up by nearest Range at or below a card's own Range Max - add a row for a new value; anything past the last row scores the same as it.</t>
  </si>
  <si>
    <t>Brain</t>
  </si>
  <si>
    <t>Targeting</t>
  </si>
  <si>
    <t>Loot</t>
  </si>
  <si>
    <t>Role</t>
  </si>
  <si>
    <t>Bool</t>
  </si>
  <si>
    <t>EnemyCard</t>
  </si>
  <si>
    <t>Drives the dropdowns on every body tab. Regenerated on every export.</t>
  </si>
  <si>
    <t>None</t>
  </si>
  <si>
    <t/>
  </si>
  <si>
    <t>Yes</t>
  </si>
  <si>
    <t>ArcaneLance</t>
  </si>
  <si>
    <t>Warrior</t>
  </si>
  <si>
    <t>Closest</t>
  </si>
  <si>
    <t>BlackKnightDrop</t>
  </si>
  <si>
    <t>Frontline</t>
  </si>
  <si>
    <t>No</t>
  </si>
  <si>
    <t>Backstab</t>
  </si>
  <si>
    <t>Ranger</t>
  </si>
  <si>
    <t>ClosestIgnoreTotem</t>
  </si>
  <si>
    <t>EarlyGame</t>
  </si>
  <si>
    <t>Backline</t>
  </si>
  <si>
    <t>Bite</t>
  </si>
  <si>
    <t>Summoner</t>
  </si>
  <si>
    <t>Furthest</t>
  </si>
  <si>
    <t>EarlyLevelReward</t>
  </si>
  <si>
    <t>Both</t>
  </si>
  <si>
    <t>BlackGuard</t>
  </si>
  <si>
    <t>Random</t>
  </si>
  <si>
    <t>EvilKingDrop</t>
  </si>
  <si>
    <t>BoneBulwark</t>
  </si>
  <si>
    <t>RangerTargeting</t>
  </si>
  <si>
    <t>EvilKnightDrop</t>
  </si>
  <si>
    <t>BoneChill</t>
  </si>
  <si>
    <t>Strongest</t>
  </si>
  <si>
    <t>EvilWizard2Drop</t>
  </si>
  <si>
    <t>BoulderSmash</t>
  </si>
  <si>
    <t>StrongestIgnoreTotem</t>
  </si>
  <si>
    <t>EvilWizard3Drop</t>
  </si>
  <si>
    <t>CallTheDamned</t>
  </si>
  <si>
    <t>Totem15Closest</t>
  </si>
  <si>
    <t>EvilWizardDrop</t>
  </si>
  <si>
    <t>CallTheSwarm</t>
  </si>
  <si>
    <t>Totem20Furthest</t>
  </si>
  <si>
    <t>PoisonSkeleton</t>
  </si>
  <si>
    <t>Chomp</t>
  </si>
  <si>
    <t>Totem20Random</t>
  </si>
  <si>
    <t>ReaperDrop</t>
  </si>
  <si>
    <t>ClawAttack</t>
  </si>
  <si>
    <t>Totem30Closest</t>
  </si>
  <si>
    <t>ReinforcedGolemDrop</t>
  </si>
  <si>
    <t>ConjureOoze</t>
  </si>
  <si>
    <t>TotemClosest</t>
  </si>
  <si>
    <t>TutorialTotemDrop</t>
  </si>
  <si>
    <t>DarkBolt</t>
  </si>
  <si>
    <t>TotemFurthest</t>
  </si>
  <si>
    <t>DeathsToll</t>
  </si>
  <si>
    <t>TotemWeakest</t>
  </si>
  <si>
    <t>DreadCleave</t>
  </si>
  <si>
    <t>WarriorTargeting</t>
  </si>
  <si>
    <t>EmberShroud</t>
  </si>
  <si>
    <t>Weakest</t>
  </si>
  <si>
    <t>EnemyArrow</t>
  </si>
  <si>
    <t>EnemySlash</t>
  </si>
  <si>
    <t>Engulf</t>
  </si>
  <si>
    <t>ExecutionersBlow</t>
  </si>
  <si>
    <t>Gnaw</t>
  </si>
  <si>
    <t>GraveTithe</t>
  </si>
  <si>
    <t>HeavySwing</t>
  </si>
  <si>
    <t>LifeLeech</t>
  </si>
  <si>
    <t>MeteorFall</t>
  </si>
  <si>
    <t>MoveInnate</t>
  </si>
  <si>
    <t>MoveInnate2</t>
  </si>
  <si>
    <t>Overflow</t>
  </si>
  <si>
    <t>PlagueBite</t>
  </si>
  <si>
    <t>QuickCut</t>
  </si>
  <si>
    <t>RaiseDead</t>
  </si>
  <si>
    <t>Rally</t>
  </si>
  <si>
    <t>Riposte</t>
  </si>
  <si>
    <t>Roll</t>
  </si>
  <si>
    <t>RoyalCommand</t>
  </si>
  <si>
    <t>RoyalGuard</t>
  </si>
  <si>
    <t>SeismicSlam</t>
  </si>
  <si>
    <t>ShadowWard</t>
  </si>
  <si>
    <t>ShieldBash</t>
  </si>
  <si>
    <t>Slash+</t>
  </si>
  <si>
    <t>SoulDrain</t>
  </si>
  <si>
    <t>SoulReap</t>
  </si>
  <si>
    <t>SoulSwap</t>
  </si>
  <si>
    <t>SpikeBurst</t>
  </si>
  <si>
    <t>SplinterOff</t>
  </si>
  <si>
    <t>SporeCloud</t>
  </si>
  <si>
    <t>StoneSkin</t>
  </si>
  <si>
    <t>SummonImp</t>
  </si>
  <si>
    <t>SummonPebble</t>
  </si>
  <si>
    <t>SummonSkeletonWarrior</t>
  </si>
  <si>
    <t>TeleportInnate</t>
  </si>
  <si>
    <t>VenomCut</t>
  </si>
  <si>
    <t>VoidBarrier</t>
  </si>
  <si>
    <t>WitheringGaze</t>
  </si>
  <si>
    <t>Enemy Name</t>
  </si>
  <si>
    <t>SkeletonAlly</t>
  </si>
  <si>
    <t>Boss</t>
  </si>
  <si>
    <t>GUID</t>
  </si>
  <si>
    <t>eaade4b777fd45447af03588cf3692e5</t>
  </si>
  <si>
    <t>Sync</t>
  </si>
  <si>
    <t>Stats (synced to Unity)</t>
  </si>
  <si>
    <t>Display Name</t>
  </si>
  <si>
    <t>Skeleton</t>
  </si>
  <si>
    <t>Health</t>
  </si>
  <si>
    <t>Actions Per Turn</t>
  </si>
  <si>
    <t>Loot Table</t>
  </si>
  <si>
    <t>Brandon's Power Level</t>
  </si>
  <si>
    <t>Estimated Power Level</t>
  </si>
  <si>
    <t>Delta (Estimated - Brandon's)</t>
  </si>
  <si>
    <t>Average Card Power</t>
  </si>
  <si>
    <t>Average Damage</t>
  </si>
  <si>
    <t>Average Status Power</t>
  </si>
  <si>
    <t>Average Summon Power</t>
  </si>
  <si>
    <t>Deck</t>
  </si>
  <si>
    <t>Actions from Card</t>
  </si>
  <si>
    <t>8 damage</t>
  </si>
  <si>
    <t>Move 1</t>
  </si>
  <si>
    <t>Counted</t>
  </si>
  <si>
    <t>Card Facts</t>
  </si>
  <si>
    <t>Cost</t>
  </si>
  <si>
    <t>Range Max</t>
  </si>
  <si>
    <t>Tiles Hit</t>
  </si>
  <si>
    <t>Damage</t>
  </si>
  <si>
    <t>Poison Total</t>
  </si>
  <si>
    <t>Heal</t>
  </si>
  <si>
    <t>Shield</t>
  </si>
  <si>
    <t>Block Total</t>
  </si>
  <si>
    <t>Parry</t>
  </si>
  <si>
    <t>Dodge</t>
  </si>
  <si>
    <t>Strength</t>
  </si>
  <si>
    <t>Weaken</t>
  </si>
  <si>
    <t>Vulnerable</t>
  </si>
  <si>
    <t>Frozen</t>
  </si>
  <si>
    <t>Rooted</t>
  </si>
  <si>
    <t>Taunt</t>
  </si>
  <si>
    <t>Stealth</t>
  </si>
  <si>
    <t>Poison Blade</t>
  </si>
  <si>
    <t>Double Next Attack</t>
  </si>
  <si>
    <t>Double Shield</t>
  </si>
  <si>
    <t>Draw</t>
  </si>
  <si>
    <t>Move Tiles</t>
  </si>
  <si>
    <t>Summon Power</t>
  </si>
  <si>
    <t>Cooldown</t>
  </si>
  <si>
    <t>Card Power</t>
  </si>
  <si>
    <t>Status Power</t>
  </si>
  <si>
    <t>Notes</t>
  </si>
  <si>
    <t>Bat</t>
  </si>
  <si>
    <t>51cc0c0b40e7b264ebdf1dc4594559a6</t>
  </si>
  <si>
    <t>5 damage</t>
  </si>
  <si>
    <t>Move 2</t>
  </si>
  <si>
    <t>Crab</t>
  </si>
  <si>
    <t>f80d9dc6173669245bd4782952cd1667</t>
  </si>
  <si>
    <t>4 damage, Shield 4</t>
  </si>
  <si>
    <t>EnemyRanger</t>
  </si>
  <si>
    <t>e40f592bea6dbd64693626dad514798b</t>
  </si>
  <si>
    <t>5 damage, Vulnerable 1</t>
  </si>
  <si>
    <t>FlyingEye</t>
  </si>
  <si>
    <t>158567c6103052b45a79feac134a4c3b</t>
  </si>
  <si>
    <t>Flying Eye</t>
  </si>
  <si>
    <t>3 damage</t>
  </si>
  <si>
    <t>Goblin</t>
  </si>
  <si>
    <t>fe7fe8169a3ae3f4ab1463af48263a1a</t>
  </si>
  <si>
    <t>Golem</t>
  </si>
  <si>
    <t>5bdb828176c88144986e3b367ffda1b4</t>
  </si>
  <si>
    <t>Summon</t>
  </si>
  <si>
    <t>HeavyBandit</t>
  </si>
  <si>
    <t>abb6f217c283d344999e3f27fa36640f</t>
  </si>
  <si>
    <t>Heavy Bandit</t>
  </si>
  <si>
    <t>6 damage, Shield 5, Block x2</t>
  </si>
  <si>
    <t>LightBandit</t>
  </si>
  <si>
    <t>df52b2ab92f38fd4eb6d6064e8197a56</t>
  </si>
  <si>
    <t>Light Bandit</t>
  </si>
  <si>
    <t>1 damage, Weaken 1</t>
  </si>
  <si>
    <t>1 damage, Poison 3</t>
  </si>
  <si>
    <t>Mimic</t>
  </si>
  <si>
    <t>022c86b9aa20aaf44806e866dd6d8971</t>
  </si>
  <si>
    <t>7 damage, Root 1t</t>
  </si>
  <si>
    <t>Mushroom</t>
  </si>
  <si>
    <t>f04aa7787f30bab4a96433807a0f06a5</t>
  </si>
  <si>
    <t>Poison 3</t>
  </si>
  <si>
    <t>Pebble</t>
  </si>
  <si>
    <t>cffb630e9ce4c0f4798ae3e294d1d8e8</t>
  </si>
  <si>
    <t>2 damage</t>
  </si>
  <si>
    <t>PlagueRat</t>
  </si>
  <si>
    <t>37960ead296e23e4ca189530884917c3</t>
  </si>
  <si>
    <t>Plague Rat</t>
  </si>
  <si>
    <t>2 damage, Poison 3</t>
  </si>
  <si>
    <t>Rat</t>
  </si>
  <si>
    <t>b9a57d66ac78e19468a62c235ce3e746</t>
  </si>
  <si>
    <t>4 damage</t>
  </si>
  <si>
    <t>909b3cba860296d47997ee7846ec93f8</t>
  </si>
  <si>
    <t>3 damage, Shield 5</t>
  </si>
  <si>
    <t>SkeletonWarrior</t>
  </si>
  <si>
    <t>d1b7793de9d268945bdf70cf0af39a94</t>
  </si>
  <si>
    <t>Skeleton Warrior</t>
  </si>
  <si>
    <t>Skull</t>
  </si>
  <si>
    <t>40cab8c86b3615741ac4bc8db8156b37</t>
  </si>
  <si>
    <t>3 damage, Vulnerable 1</t>
  </si>
  <si>
    <t>Slime</t>
  </si>
  <si>
    <t>7902e6bd6fe8b444eab36cf00a8771be</t>
  </si>
  <si>
    <t>3 damage, Weaken 1</t>
  </si>
  <si>
    <t>SpikedSlime</t>
  </si>
  <si>
    <t>a759c0567adbde54f8e686c473b037cd</t>
  </si>
  <si>
    <t>Spiked Slime</t>
  </si>
  <si>
    <t>VampireBat</t>
  </si>
  <si>
    <t>e2566430033deb14c9d648e67fdf80e4</t>
  </si>
  <si>
    <t>Vampire Bat</t>
  </si>
  <si>
    <t>3 damage, Heal 3</t>
  </si>
  <si>
    <t>BrittleSkeleton</t>
  </si>
  <si>
    <t>4cb5e72728f8d3143a2397b50dff133f</t>
  </si>
  <si>
    <t>Brittle Skeleton</t>
  </si>
  <si>
    <t>Name</t>
  </si>
  <si>
    <t>Actions</t>
  </si>
  <si>
    <t>Deck Size</t>
  </si>
  <si>
    <t>Avg Damage</t>
  </si>
  <si>
    <t>Avg Status</t>
  </si>
  <si>
    <t>Avg Summon</t>
  </si>
  <si>
    <t>Avg Card Power</t>
  </si>
  <si>
    <t>Estimated</t>
  </si>
  <si>
    <t>Brandon's</t>
  </si>
  <si>
    <t>Effective Power</t>
  </si>
  <si>
    <t>Delta</t>
  </si>
  <si>
    <t>Flag</t>
  </si>
  <si>
    <t>Enemy Design Workbook</t>
  </si>
  <si>
    <t>One tab per enemy, ally and totem, all built from the actual prefabs and cards under Assets/Prefabs and Assets/Data/CardData/Enemy - this workbook only READS them today. Bosses live in Docs/BossDesign.xlsx instead.</t>
  </si>
  <si>
    <t>The tabs</t>
  </si>
  <si>
    <t>PowerLevel</t>
  </si>
  <si>
    <t>The tuning surface. Every pw_* weight here is a named cell - change one and every body tab and Roster recalculate immediately, no re-export needed.</t>
  </si>
  <si>
    <t>One tab per body</t>
  </si>
  <si>
    <t>Health, Actions Per Turn, Brain, Targeting, Loot Table, Role and Deck mirror the prefab's Character component. Card Facts below the deck strip are read from each card's own CardData/CardEffect assets - edit a card's numbers on Docs/CardDesign.xlsx, not here.</t>
  </si>
  <si>
    <t>One tab per totem</t>
  </si>
  <si>
    <t>A totem has no health or deck - Totem Power is its auras and reactions, weighted the same way a body's Card Power is.</t>
  </si>
  <si>
    <t>Roster</t>
  </si>
  <si>
    <t>Every body side by side, sorted by name - the bulk-edit grid. Display Name, Health, Actions Per Turn, Brain, Targeting, Loot Table, Role and Brandon's Power Level are plain values here, synced to the matching body tab exactly like the Inspector - edit either one. Renaming a body is done by typing its new name in the Name column. Boss, Deck Size and the averages stay read-only; Estimated/Effective Power/Delta/Flag recalculate from this row's own Health/Actions/Brandon's as you type, so they never go stale while you're still editing.</t>
  </si>
  <si>
    <t>Enums</t>
  </si>
  <si>
    <t>Dropdown sources for Brain, Targeting, Loot Table and Deck cells.</t>
  </si>
  <si>
    <t>Reading a body tab</t>
  </si>
  <si>
    <t>Hand-authored ground truth - type in what a body feels like it should be worth. Preserved across re-exports.</t>
  </si>
  <si>
    <t>(Average Card Power * Actions Per Turn * pw_ActionScale + Health * pw_Health) / pw_Divisor. Tune the PowerLevel weights until Delta sits near zero for the bodies you already trust, then trust the estimate for the rest.</t>
  </si>
  <si>
    <t>Which spawn row(s) this body is eligible for - None (unconstrained), Frontline, Backline or Both. Synced to Character.battleRole; drives BattleManager.SpawnParty and EncounterRoller placement.</t>
  </si>
  <si>
    <t>No for a Move-only card or a Cooldown card - excluded from every average. Cooldown cards get scored separately later.</t>
  </si>
  <si>
    <t>A live reference to the summoned body's (or totem's) own power cell, scaled down if its lifetime is shorter than pw_SummonHorizon.</t>
  </si>
  <si>
    <t>Syncing back to Unity</t>
  </si>
  <si>
    <t>One button</t>
  </si>
  <si>
    <t>In Unity: Tools &gt; Sync Enemies With Sheet. Applies your edits - typed on a body tab OR the Roster tab, whichever you used - to the matching prefab: Display Name, Health, Actions Per Turn, Brain, Targeting, Loot Table, Role, Brandon''s Power Level and Deck. Renaming a body''s Name on the Roster tab renames the prefab too, keeping its GUID (so decks and levels still point at it). Then refreshes this workbook so anything changed in the Inspector shows up here.</t>
  </si>
  <si>
    <t>One card name per column, left to right, no gaps - the first blank cell ends the deck. Duplicates are fine and expected (four Enemy Slash cards is four cells). Pick names from the dropdown so a typo cannot silently drop a card. Only editable on the body tab - the Roster tab does not carry a Deck column.</t>
  </si>
  <si>
    <t>Never syncs anywhere - authored HERE, body tab only, and preserved across every re-export.</t>
  </si>
  <si>
    <t>Syncs between the body tab and the Roster tab - whichever one you typed in wins - but never reaches a prefab field directly. It only feeds Effective Power, which is what gets written to Character.powerLevel.</t>
  </si>
  <si>
    <t>Card Facts, Card Power, averages</t>
  </si>
  <si>
    <t>Never hand-edit - fully derived from the prefab and its cards, rebuilt on every export. On the Roster tab this is Avg Damage/Status/Summon/Card Power, Deck Size and Boss.</t>
  </si>
  <si>
    <t>Effective Power and Boss</t>
  </si>
  <si>
    <t>Not sheet columns you edit directly - Effective Power (Brandon's if set, else Estimated) and Boss (which folder the prefab lives in) are written to Character.powerLevel/isBoss one-way, every sync, regardless of whether anything else on the tab changed. A body with neither Brandon's nor a usable Estimated result is skipped with a warning and can never be drawn by EncounterRoller.</t>
  </si>
  <si>
    <t>If both sides changed</t>
  </si>
  <si>
    <t>That body is left alone on BOTH sides and named in the Unity console, the same conflict rule Docs/CardDesign.xlsx follows. Make them agree, or change only one, then sync again.</t>
  </si>
  <si>
    <t>If the body tab and Roster disagree</t>
  </si>
  <si>
    <t>Same idea, one layer earlier: whichever of the two changed since the last sync wins, but if BOTH changed - differently - since then, that body is left alone everywhere and named in the console. Make the two tabs agree, or change only one, then sync again.</t>
  </si>
  <si>
    <t>Regenerating without syncing</t>
  </si>
  <si>
    <t>Tools &gt; Enemies &gt; Refresh Sheet From Unity discards any sheet edit that has not been synced yet - only for when the sheet is known to be wrong.</t>
  </si>
  <si>
    <t>The other roster workbook</t>
  </si>
  <si>
    <t>Enemies, the ally and bosses are two separate workbooks driven by the same engine - Docs/EnemySheets.xlsx and Docs/BossDesign.xlsx - each with its own baseline and its own sync button. A prefab belongs to exactly one of them, decided by which folder it sits in under Assets/Prefabs.</t>
  </si>
</sst>
</file>

<file path=xl/styles.xml><?xml version="1.0" encoding="utf-8"?>
<styleSheet xmlns="http://schemas.openxmlformats.org/spreadsheetml/2006/main">
  <numFmts count="0"/>
  <fonts count="5">
    <font>
      <sz val="11"/>
      <name val="Calibri"/>
    </font>
    <font>
      <b/>
      <sz val="11"/>
      <name val="Calibri"/>
    </font>
    <font>
      <i/>
      <sz val="11"/>
      <name val="Calibri"/>
    </font>
    <font>
      <b/>
      <sz val="16"/>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10">
    <xf numFmtId="0" applyNumberFormat="1" fontId="0" applyFont="1" xfId="0" applyProtection="1"/>
    <xf numFmtId="0" applyNumberFormat="1" fontId="1" applyFont="1" xfId="0" applyProtection="1"/>
    <xf numFmtId="2" applyNumberFormat="1" fontId="0" applyFont="1" xfId="0" applyProtection="1"/>
    <xf numFmtId="0" applyNumberFormat="1" fontId="0" applyFont="1" xfId="0" applyProtection="1">
      <alignment wrapText="1"/>
    </xf>
    <xf numFmtId="0" applyNumberFormat="1" fontId="1" applyFont="1" xfId="0" applyProtection="1">
      <alignment wrapText="1"/>
    </xf>
    <xf numFmtId="0" applyNumberFormat="1" fontId="2" applyFont="1" xfId="0" applyProtection="1"/>
    <xf numFmtId="2" applyNumberFormat="1" fontId="1" applyFont="1" xfId="0" applyProtection="1"/>
    <xf numFmtId="1" applyNumberFormat="1" fontId="0" applyFont="1" xfId="0" applyProtection="1"/>
    <xf numFmtId="0" applyNumberFormat="1" fontId="3" applyFont="1" xfId="0" applyProtection="1"/>
    <xf numFmtId="0" applyNumberFormat="1" fontId="4" applyFont="1" xfId="0" applyProtection="1"/>
  </cellXfs>
  <cellStyles count="1">
    <cellStyle name="Normal" xfId="0" builtinId="0"/>
  </cellStyles>
  <dxfs count="3">
    <d:dxf xmlns:d="http://schemas.openxmlformats.org/spreadsheetml/2006/main">
      <font>
        <color rgb="ff9c0006"/>
      </font>
      <fill>
        <patternFill>
          <bgColor rgb="ffffc7ce"/>
        </patternFill>
      </fill>
    </d:dxf>
    <d:dxf xmlns:d="http://schemas.openxmlformats.org/spreadsheetml/2006/main">
      <font>
        <color rgb="ff9c6500"/>
      </font>
      <fill>
        <patternFill>
          <bgColor rgb="ffffeb9c"/>
        </patternFill>
      </fill>
    </d:dxf>
    <d:dxf xmlns:d="http://schemas.openxmlformats.org/spreadsheetml/2006/main">
      <font>
        <color rgb="ff006100"/>
      </font>
      <fill>
        <patternFill>
          <bgColor rgb="ffc6efce"/>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200"/>
  <sheetViews>
    <sheetView workbookViewId="0" tabSelected="0">
      <pane ySplit="1" topLeftCell="A2" state="frozen" activePane="bottomLeft"/>
      <selection pane="bottomLeft" activeCell="A1" sqref="A1"/>
    </sheetView>
  </sheetViews>
  <sheetFormatPr defaultRowHeight="15"/>
  <cols>
    <col min="1" max="1" width="20" customWidth="1"/>
    <col min="2" max="2" width="11" customWidth="1"/>
    <col min="3" max="3" width="90" customWidth="1" style="3"/>
  </cols>
  <sheetData>
    <row r="1">
      <c r="A1" s="1" t="s">
        <v>0</v>
      </c>
      <c r="B1" s="1" t="s">
        <v>1</v>
      </c>
      <c r="C1" s="4" t="s">
        <v>2</v>
      </c>
    </row>
    <row r="2">
      <c r="A2" s="0" t="s">
        <v>3</v>
      </c>
      <c r="B2" s="2">
        <v>1.5</v>
      </c>
      <c r="C2" s="3" t="s">
        <v>4</v>
      </c>
    </row>
    <row r="3">
      <c r="A3" s="0" t="s">
        <v>5</v>
      </c>
      <c r="B3" s="2">
        <v>0.9</v>
      </c>
      <c r="C3" s="3" t="s">
        <v>6</v>
      </c>
    </row>
    <row r="4">
      <c r="A4" s="0" t="s">
        <v>7</v>
      </c>
      <c r="B4" s="2">
        <v>0.5</v>
      </c>
      <c r="C4" s="3" t="s">
        <v>8</v>
      </c>
    </row>
    <row r="5">
      <c r="A5" s="0" t="s">
        <v>9</v>
      </c>
      <c r="B5" s="2">
        <v>0.5</v>
      </c>
      <c r="C5" s="3" t="s">
        <v>10</v>
      </c>
    </row>
    <row r="6">
      <c r="A6" s="0" t="s">
        <v>11</v>
      </c>
      <c r="B6" s="2">
        <v>4</v>
      </c>
      <c r="C6" s="3" t="s">
        <v>12</v>
      </c>
    </row>
    <row r="7">
      <c r="A7" s="0" t="s">
        <v>13</v>
      </c>
      <c r="B7" s="2">
        <v>1</v>
      </c>
      <c r="C7" s="3" t="s">
        <v>14</v>
      </c>
    </row>
    <row r="8">
      <c r="A8" s="0" t="s">
        <v>15</v>
      </c>
      <c r="B8" s="2">
        <v>0.5</v>
      </c>
      <c r="C8" s="3" t="s">
        <v>16</v>
      </c>
    </row>
    <row r="9">
      <c r="A9" s="0" t="s">
        <v>17</v>
      </c>
      <c r="B9" s="2">
        <v>17</v>
      </c>
      <c r="C9" s="3" t="s">
        <v>18</v>
      </c>
    </row>
    <row r="10">
      <c r="A10" s="0" t="s">
        <v>19</v>
      </c>
      <c r="B10" s="2">
        <v>0.8</v>
      </c>
      <c r="C10" s="3" t="s">
        <v>20</v>
      </c>
    </row>
    <row r="11">
      <c r="A11" s="0" t="s">
        <v>21</v>
      </c>
      <c r="B11" s="2">
        <v>0.9</v>
      </c>
      <c r="C11" s="3" t="s">
        <v>22</v>
      </c>
    </row>
    <row r="12">
      <c r="A12" s="0" t="s">
        <v>23</v>
      </c>
      <c r="B12" s="2">
        <v>3</v>
      </c>
      <c r="C12" s="3" t="s">
        <v>24</v>
      </c>
    </row>
    <row r="13">
      <c r="A13" s="0" t="s">
        <v>25</v>
      </c>
      <c r="B13" s="2">
        <v>1</v>
      </c>
      <c r="C13" s="3" t="s">
        <v>26</v>
      </c>
    </row>
    <row r="14">
      <c r="A14" s="0" t="s">
        <v>27</v>
      </c>
      <c r="B14" s="2">
        <v>1.5</v>
      </c>
      <c r="C14" s="3" t="s">
        <v>28</v>
      </c>
    </row>
    <row r="15">
      <c r="A15" s="0" t="s">
        <v>29</v>
      </c>
      <c r="B15" s="2">
        <v>1.5</v>
      </c>
      <c r="C15" s="3" t="s">
        <v>30</v>
      </c>
    </row>
    <row r="16">
      <c r="A16" s="0" t="s">
        <v>31</v>
      </c>
      <c r="B16" s="2">
        <v>2</v>
      </c>
      <c r="C16" s="3" t="s">
        <v>32</v>
      </c>
    </row>
    <row r="17">
      <c r="A17" s="0" t="s">
        <v>33</v>
      </c>
      <c r="B17" s="2">
        <v>3</v>
      </c>
      <c r="C17" s="3" t="s">
        <v>34</v>
      </c>
    </row>
    <row r="18">
      <c r="A18" s="0" t="s">
        <v>35</v>
      </c>
      <c r="B18" s="2">
        <v>1.5</v>
      </c>
      <c r="C18" s="3" t="s">
        <v>36</v>
      </c>
    </row>
    <row r="19">
      <c r="A19" s="0" t="s">
        <v>37</v>
      </c>
      <c r="B19" s="2">
        <v>0.9</v>
      </c>
      <c r="C19" s="3" t="s">
        <v>38</v>
      </c>
    </row>
    <row r="20">
      <c r="A20" s="0" t="s">
        <v>39</v>
      </c>
      <c r="B20" s="2">
        <v>0.9</v>
      </c>
      <c r="C20" s="3" t="s">
        <v>40</v>
      </c>
    </row>
    <row r="21">
      <c r="A21" s="0" t="s">
        <v>41</v>
      </c>
      <c r="B21" s="2">
        <v>1.5</v>
      </c>
      <c r="C21" s="3" t="s">
        <v>42</v>
      </c>
    </row>
    <row r="22">
      <c r="A22" s="0" t="s">
        <v>43</v>
      </c>
      <c r="B22" s="2">
        <v>1</v>
      </c>
      <c r="C22" s="3" t="s">
        <v>44</v>
      </c>
    </row>
    <row r="23">
      <c r="A23" s="0" t="s">
        <v>45</v>
      </c>
      <c r="B23" s="2">
        <v>1</v>
      </c>
      <c r="C23" s="3" t="s">
        <v>46</v>
      </c>
    </row>
    <row r="24">
      <c r="A24" s="0" t="s">
        <v>47</v>
      </c>
      <c r="B24" s="2">
        <v>5</v>
      </c>
      <c r="C24" s="3" t="s">
        <v>48</v>
      </c>
    </row>
    <row r="25">
      <c r="A25" s="0" t="s">
        <v>49</v>
      </c>
      <c r="B25" s="2">
        <v>3</v>
      </c>
      <c r="C25" s="3" t="s">
        <v>50</v>
      </c>
    </row>
    <row r="26">
      <c r="A26" s="0" t="s">
        <v>51</v>
      </c>
      <c r="B26" s="2">
        <v>0.3</v>
      </c>
      <c r="C26" s="3" t="s">
        <v>52</v>
      </c>
    </row>
    <row r="27">
      <c r="A27" s="0" t="s">
        <v>53</v>
      </c>
      <c r="B27" s="2">
        <v>3</v>
      </c>
      <c r="C27" s="3" t="s">
        <v>54</v>
      </c>
    </row>
    <row r="28">
      <c r="A28" s="0" t="s">
        <v>55</v>
      </c>
      <c r="B28" s="2">
        <v>1</v>
      </c>
      <c r="C28" s="3" t="s">
        <v>56</v>
      </c>
    </row>
    <row r="29">
      <c r="A29" s="0" t="s">
        <v>57</v>
      </c>
      <c r="B29" s="2">
        <v>1</v>
      </c>
      <c r="C29" s="3" t="s">
        <v>58</v>
      </c>
    </row>
    <row r="30">
      <c r="A30" s="0" t="s">
        <v>59</v>
      </c>
      <c r="B30" s="2">
        <v>0.5</v>
      </c>
      <c r="C30" s="3" t="s">
        <v>60</v>
      </c>
    </row>
    <row r="31">
      <c r="A31" s="0" t="s">
        <v>61</v>
      </c>
      <c r="B31" s="2">
        <v>-1</v>
      </c>
      <c r="C31" s="3" t="s">
        <v>62</v>
      </c>
    </row>
    <row r="32">
      <c r="A32" s="0" t="s">
        <v>63</v>
      </c>
      <c r="B32" s="2">
        <v>2</v>
      </c>
      <c r="C32" s="3" t="s">
        <v>64</v>
      </c>
    </row>
    <row r="33">
      <c r="A33" s="0" t="s">
        <v>65</v>
      </c>
      <c r="B33" s="2">
        <v>0.25</v>
      </c>
      <c r="C33" s="3" t="s">
        <v>66</v>
      </c>
    </row>
    <row r="34">
      <c r="B34" s="2"/>
    </row>
    <row r="35">
      <c r="A35" s="5" t="s">
        <v>67</v>
      </c>
      <c r="B35" s="2"/>
    </row>
    <row r="36">
      <c r="A36" s="1" t="s">
        <v>68</v>
      </c>
      <c r="B36" s="2"/>
    </row>
    <row r="37">
      <c r="A37" s="1" t="s">
        <v>69</v>
      </c>
      <c r="B37" s="6" t="s">
        <v>70</v>
      </c>
    </row>
    <row r="38">
      <c r="A38" s="0">
        <v>1</v>
      </c>
      <c r="B38" s="2">
        <v>0</v>
      </c>
    </row>
    <row r="39">
      <c r="A39" s="0">
        <v>2</v>
      </c>
      <c r="B39" s="2">
        <v>1.5</v>
      </c>
    </row>
    <row r="40">
      <c r="A40" s="0">
        <v>3</v>
      </c>
      <c r="B40" s="2">
        <v>5</v>
      </c>
    </row>
    <row r="41">
      <c r="A41" s="0">
        <v>4</v>
      </c>
      <c r="B41" s="2">
        <v>6</v>
      </c>
    </row>
    <row r="42">
      <c r="A42" s="0">
        <v>5</v>
      </c>
      <c r="B42" s="2">
        <v>7</v>
      </c>
    </row>
    <row r="43">
      <c r="A43" s="0">
        <v>6</v>
      </c>
      <c r="B43" s="2">
        <v>8</v>
      </c>
    </row>
    <row r="44">
      <c r="A44" s="5" t="s">
        <v>71</v>
      </c>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sheetData>
  <headerFooter/>
</worksheet>
</file>

<file path=xl/worksheets/sheet2.xml><?xml version="1.0" encoding="utf-8"?>
<worksheet xmlns:r="http://schemas.openxmlformats.org/officeDocument/2006/relationships" xmlns="http://schemas.openxmlformats.org/spreadsheetml/2006/main">
  <dimension ref="A1:G55"/>
  <sheetViews>
    <sheetView workbookViewId="0" tabSelected="0"/>
  </sheetViews>
  <sheetFormatPr defaultRowHeight="15"/>
  <cols>
    <col min="1" max="1" width="22" customWidth="1"/>
    <col min="2" max="2" width="22" customWidth="1"/>
    <col min="3" max="3" width="22" customWidth="1"/>
    <col min="4" max="4" width="22" customWidth="1"/>
    <col min="5" max="5" width="22" customWidth="1"/>
    <col min="6" max="6" width="22" customWidth="1"/>
  </cols>
  <sheetData>
    <row r="1">
      <c r="A1" s="1" t="s">
        <v>72</v>
      </c>
      <c r="B1" s="1" t="s">
        <v>73</v>
      </c>
      <c r="C1" s="1" t="s">
        <v>74</v>
      </c>
      <c r="D1" s="1" t="s">
        <v>75</v>
      </c>
      <c r="E1" s="1" t="s">
        <v>76</v>
      </c>
      <c r="F1" s="1" t="s">
        <v>77</v>
      </c>
      <c r="G1" s="5" t="s">
        <v>78</v>
      </c>
    </row>
    <row r="2">
      <c r="A2" s="0" t="s">
        <v>79</v>
      </c>
      <c r="B2" s="0" t="s">
        <v>80</v>
      </c>
      <c r="C2" s="0" t="s">
        <v>80</v>
      </c>
      <c r="D2" s="0" t="s">
        <v>79</v>
      </c>
      <c r="E2" s="0" t="s">
        <v>81</v>
      </c>
      <c r="F2" s="0" t="s">
        <v>82</v>
      </c>
    </row>
    <row r="3">
      <c r="A3" s="0" t="s">
        <v>83</v>
      </c>
      <c r="B3" s="0" t="s">
        <v>84</v>
      </c>
      <c r="C3" s="0" t="s">
        <v>85</v>
      </c>
      <c r="D3" s="0" t="s">
        <v>86</v>
      </c>
      <c r="E3" s="0" t="s">
        <v>87</v>
      </c>
      <c r="F3" s="0" t="s">
        <v>88</v>
      </c>
    </row>
    <row r="4">
      <c r="A4" s="0" t="s">
        <v>89</v>
      </c>
      <c r="B4" s="0" t="s">
        <v>90</v>
      </c>
      <c r="C4" s="0" t="s">
        <v>91</v>
      </c>
      <c r="D4" s="0" t="s">
        <v>92</v>
      </c>
      <c r="F4" s="0" t="s">
        <v>93</v>
      </c>
    </row>
    <row r="5">
      <c r="A5" s="0" t="s">
        <v>94</v>
      </c>
      <c r="B5" s="0" t="s">
        <v>95</v>
      </c>
      <c r="C5" s="0" t="s">
        <v>96</v>
      </c>
      <c r="D5" s="0" t="s">
        <v>97</v>
      </c>
      <c r="F5" s="0" t="s">
        <v>98</v>
      </c>
    </row>
    <row r="6">
      <c r="B6" s="0" t="s">
        <v>99</v>
      </c>
      <c r="C6" s="0" t="s">
        <v>100</v>
      </c>
      <c r="F6" s="0" t="s">
        <v>101</v>
      </c>
    </row>
    <row r="7">
      <c r="B7" s="0" t="s">
        <v>102</v>
      </c>
      <c r="C7" s="0" t="s">
        <v>103</v>
      </c>
      <c r="F7" s="0" t="s">
        <v>104</v>
      </c>
    </row>
    <row r="8">
      <c r="B8" s="0" t="s">
        <v>105</v>
      </c>
      <c r="C8" s="0" t="s">
        <v>106</v>
      </c>
      <c r="F8" s="0" t="s">
        <v>107</v>
      </c>
    </row>
    <row r="9">
      <c r="B9" s="0" t="s">
        <v>108</v>
      </c>
      <c r="C9" s="0" t="s">
        <v>109</v>
      </c>
      <c r="F9" s="0" t="s">
        <v>110</v>
      </c>
    </row>
    <row r="10">
      <c r="B10" s="0" t="s">
        <v>111</v>
      </c>
      <c r="C10" s="0" t="s">
        <v>112</v>
      </c>
      <c r="F10" s="0" t="s">
        <v>113</v>
      </c>
    </row>
    <row r="11">
      <c r="B11" s="0" t="s">
        <v>114</v>
      </c>
      <c r="C11" s="0" t="s">
        <v>115</v>
      </c>
      <c r="F11" s="0" t="s">
        <v>116</v>
      </c>
    </row>
    <row r="12">
      <c r="B12" s="0" t="s">
        <v>117</v>
      </c>
      <c r="C12" s="0" t="s">
        <v>118</v>
      </c>
      <c r="F12" s="0" t="s">
        <v>119</v>
      </c>
    </row>
    <row r="13">
      <c r="B13" s="0" t="s">
        <v>120</v>
      </c>
      <c r="C13" s="0" t="s">
        <v>121</v>
      </c>
      <c r="F13" s="0" t="s">
        <v>122</v>
      </c>
    </row>
    <row r="14">
      <c r="B14" s="0" t="s">
        <v>123</v>
      </c>
      <c r="C14" s="0" t="s">
        <v>124</v>
      </c>
      <c r="F14" s="0" t="s">
        <v>125</v>
      </c>
    </row>
    <row r="15">
      <c r="B15" s="0" t="s">
        <v>126</v>
      </c>
      <c r="F15" s="0" t="s">
        <v>127</v>
      </c>
    </row>
    <row r="16">
      <c r="B16" s="0" t="s">
        <v>128</v>
      </c>
      <c r="F16" s="0" t="s">
        <v>129</v>
      </c>
    </row>
    <row r="17">
      <c r="B17" s="0" t="s">
        <v>130</v>
      </c>
      <c r="F17" s="0" t="s">
        <v>131</v>
      </c>
    </row>
    <row r="18">
      <c r="B18" s="0" t="s">
        <v>132</v>
      </c>
      <c r="F18" s="0" t="s">
        <v>133</v>
      </c>
    </row>
    <row r="19">
      <c r="F19" s="0" t="s">
        <v>134</v>
      </c>
    </row>
    <row r="20">
      <c r="F20" s="0" t="s">
        <v>135</v>
      </c>
    </row>
    <row r="21">
      <c r="F21" s="0" t="s">
        <v>136</v>
      </c>
    </row>
    <row r="22">
      <c r="F22" s="0" t="s">
        <v>137</v>
      </c>
    </row>
    <row r="23">
      <c r="F23" s="0" t="s">
        <v>138</v>
      </c>
    </row>
    <row r="24">
      <c r="F24" s="0" t="s">
        <v>139</v>
      </c>
    </row>
    <row r="25">
      <c r="F25" s="0" t="s">
        <v>140</v>
      </c>
    </row>
    <row r="26">
      <c r="F26" s="0" t="s">
        <v>141</v>
      </c>
    </row>
    <row r="27">
      <c r="F27" s="0" t="s">
        <v>142</v>
      </c>
    </row>
    <row r="28">
      <c r="F28" s="0" t="s">
        <v>143</v>
      </c>
    </row>
    <row r="29">
      <c r="F29" s="0" t="s">
        <v>144</v>
      </c>
    </row>
    <row r="30">
      <c r="F30" s="0" t="s">
        <v>145</v>
      </c>
    </row>
    <row r="31">
      <c r="F31" s="0" t="s">
        <v>146</v>
      </c>
    </row>
    <row r="32">
      <c r="F32" s="0" t="s">
        <v>147</v>
      </c>
    </row>
    <row r="33">
      <c r="F33" s="0" t="s">
        <v>148</v>
      </c>
    </row>
    <row r="34">
      <c r="F34" s="0" t="s">
        <v>149</v>
      </c>
    </row>
    <row r="35">
      <c r="F35" s="0" t="s">
        <v>150</v>
      </c>
    </row>
    <row r="36">
      <c r="F36" s="0" t="s">
        <v>151</v>
      </c>
    </row>
    <row r="37">
      <c r="F37" s="0" t="s">
        <v>152</v>
      </c>
    </row>
    <row r="38">
      <c r="F38" s="0" t="s">
        <v>153</v>
      </c>
    </row>
    <row r="39">
      <c r="F39" s="0" t="s">
        <v>154</v>
      </c>
    </row>
    <row r="40">
      <c r="F40" s="0" t="s">
        <v>155</v>
      </c>
    </row>
    <row r="41">
      <c r="F41" s="0" t="s">
        <v>156</v>
      </c>
    </row>
    <row r="42">
      <c r="F42" s="0" t="s">
        <v>157</v>
      </c>
    </row>
    <row r="43">
      <c r="F43" s="0" t="s">
        <v>158</v>
      </c>
    </row>
    <row r="44">
      <c r="F44" s="0" t="s">
        <v>159</v>
      </c>
    </row>
    <row r="45">
      <c r="F45" s="0" t="s">
        <v>160</v>
      </c>
    </row>
    <row r="46">
      <c r="F46" s="0" t="s">
        <v>161</v>
      </c>
    </row>
    <row r="47">
      <c r="F47" s="0" t="s">
        <v>162</v>
      </c>
    </row>
    <row r="48">
      <c r="F48" s="0" t="s">
        <v>163</v>
      </c>
    </row>
    <row r="49">
      <c r="F49" s="0" t="s">
        <v>164</v>
      </c>
    </row>
    <row r="50">
      <c r="F50" s="0" t="s">
        <v>165</v>
      </c>
    </row>
    <row r="51">
      <c r="F51" s="0" t="s">
        <v>166</v>
      </c>
    </row>
    <row r="52">
      <c r="F52" s="0" t="s">
        <v>167</v>
      </c>
    </row>
    <row r="53">
      <c r="F53" s="0" t="s">
        <v>168</v>
      </c>
    </row>
    <row r="54">
      <c r="F54" s="0" t="s">
        <v>169</v>
      </c>
    </row>
    <row r="55">
      <c r="F55" s="0" t="s">
        <v>170</v>
      </c>
    </row>
  </sheetData>
  <headerFooter/>
</worksheet>
</file>

<file path=xl/worksheets/sheet3.xml><?xml version="1.0" encoding="utf-8"?>
<worksheet xmlns:r="http://schemas.openxmlformats.org/officeDocument/2006/relationships" xmlns="http://schemas.openxmlformats.org/spreadsheetml/2006/main">
  <dimension ref="A1:E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s>
  <sheetData>
    <row r="1">
      <c r="A1" s="1" t="s">
        <v>171</v>
      </c>
      <c r="B1" s="0" t="s">
        <v>172</v>
      </c>
    </row>
    <row r="2">
      <c r="A2" s="1" t="s">
        <v>173</v>
      </c>
      <c r="B2" s="0" t="s">
        <v>87</v>
      </c>
    </row>
    <row r="3">
      <c r="A3" s="1" t="s">
        <v>174</v>
      </c>
      <c r="B3" s="0" t="s">
        <v>175</v>
      </c>
    </row>
    <row r="4">
      <c r="A4" s="1" t="s">
        <v>176</v>
      </c>
      <c r="B4" s="0">
        <f>IF($B$3="","NEW","Live")</f>
      </c>
    </row>
    <row r="6">
      <c r="A6" s="1" t="s">
        <v>177</v>
      </c>
    </row>
    <row r="7">
      <c r="A7" s="5" t="s">
        <v>178</v>
      </c>
      <c r="B7" s="0" t="s">
        <v>179</v>
      </c>
    </row>
    <row r="8">
      <c r="A8" s="5" t="s">
        <v>180</v>
      </c>
      <c r="B8" s="0">
        <v>15</v>
      </c>
    </row>
    <row r="9">
      <c r="A9" s="5" t="s">
        <v>181</v>
      </c>
      <c r="B9" s="0">
        <v>1</v>
      </c>
    </row>
    <row r="10">
      <c r="A10" s="5" t="s">
        <v>72</v>
      </c>
      <c r="B10" s="0" t="s">
        <v>83</v>
      </c>
    </row>
    <row r="11">
      <c r="A11" s="5" t="s">
        <v>73</v>
      </c>
      <c r="B11" s="0" t="s">
        <v>80</v>
      </c>
    </row>
    <row r="12">
      <c r="A12" s="5" t="s">
        <v>182</v>
      </c>
      <c r="B12" s="0" t="s">
        <v>80</v>
      </c>
    </row>
    <row r="13">
      <c r="A13" s="5" t="s">
        <v>75</v>
      </c>
      <c r="B13" s="0" t="s">
        <v>79</v>
      </c>
    </row>
    <row r="15">
      <c r="A15" s="1" t="s">
        <v>183</v>
      </c>
      <c r="B15" s="0">
        <v>2</v>
      </c>
    </row>
    <row r="16">
      <c r="A16" s="1" t="s">
        <v>184</v>
      </c>
      <c r="B16" s="2">
        <f>IF($B$8="","",ROUND(($B$19*$B$9*pw_ActionScale+$B$8*pw_Health)/pw_Divisor,3))</f>
      </c>
    </row>
    <row r="17">
      <c r="A17" s="0" t="s">
        <v>185</v>
      </c>
      <c r="B17" s="2">
        <f>IF($B$15="","",ROUND($B$16-$B$15,3))</f>
      </c>
    </row>
    <row r="18">
      <c r="B18" s="2"/>
    </row>
    <row r="19">
      <c r="A19" s="0" t="s">
        <v>186</v>
      </c>
      <c r="B19" s="2">
        <f>IFERROR(AVERAGEIF(B$26:E$26,"Yes",B$54:E$54),0)</f>
      </c>
    </row>
    <row r="20">
      <c r="A20" s="0" t="s">
        <v>187</v>
      </c>
      <c r="B20" s="2">
        <f>IFERROR(AVERAGEIF(B$26:E$26,"Yes",B$32:E$32),0)</f>
      </c>
    </row>
    <row r="21">
      <c r="A21" s="0" t="s">
        <v>188</v>
      </c>
      <c r="B21" s="2">
        <f>IFERROR(AVERAGEIF(B$26:E$26,"Yes",B$55:E$55),0)</f>
      </c>
    </row>
    <row r="22">
      <c r="A22" s="0" t="s">
        <v>189</v>
      </c>
      <c r="B22" s="2">
        <f>IFERROR(AVERAGEIF(B$26:E$26,"Yes",B$52:E$52),0)</f>
      </c>
    </row>
    <row r="24">
      <c r="A24" s="1" t="s">
        <v>190</v>
      </c>
      <c r="B24" s="0" t="s">
        <v>134</v>
      </c>
      <c r="C24" s="0" t="s">
        <v>134</v>
      </c>
      <c r="D24" s="0" t="s">
        <v>142</v>
      </c>
      <c r="E24" s="0" t="s">
        <v>142</v>
      </c>
    </row>
    <row r="25">
      <c r="A25" s="0" t="s">
        <v>191</v>
      </c>
      <c r="B25" s="0" t="s">
        <v>192</v>
      </c>
      <c r="C25" s="0" t="s">
        <v>192</v>
      </c>
      <c r="D25" s="0" t="s">
        <v>193</v>
      </c>
      <c r="E25" s="0" t="s">
        <v>193</v>
      </c>
    </row>
    <row r="26">
      <c r="A26" s="0" t="s">
        <v>194</v>
      </c>
      <c r="B26" s="0" t="s">
        <v>81</v>
      </c>
      <c r="C26" s="0" t="s">
        <v>81</v>
      </c>
      <c r="D26" s="0" t="s">
        <v>87</v>
      </c>
      <c r="E26" s="0" t="s">
        <v>87</v>
      </c>
    </row>
    <row r="28">
      <c r="A28" s="1" t="s">
        <v>195</v>
      </c>
    </row>
    <row r="29">
      <c r="A29" s="0" t="s">
        <v>196</v>
      </c>
      <c r="B29" s="7">
        <v>1</v>
      </c>
      <c r="C29" s="7">
        <v>1</v>
      </c>
      <c r="D29" s="7">
        <v>1</v>
      </c>
      <c r="E29" s="7">
        <v>1</v>
      </c>
    </row>
    <row r="30">
      <c r="A30" s="0" t="s">
        <v>197</v>
      </c>
      <c r="B30" s="7">
        <v>1</v>
      </c>
      <c r="C30" s="7">
        <v>1</v>
      </c>
      <c r="D30" s="7">
        <v>1</v>
      </c>
      <c r="E30" s="7">
        <v>1</v>
      </c>
    </row>
    <row r="31">
      <c r="A31" s="0" t="s">
        <v>198</v>
      </c>
      <c r="B31" s="7">
        <v>1</v>
      </c>
      <c r="C31" s="7">
        <v>1</v>
      </c>
      <c r="D31" s="7">
        <v>1</v>
      </c>
      <c r="E31" s="7">
        <v>1</v>
      </c>
    </row>
    <row r="32">
      <c r="A32" s="0" t="s">
        <v>199</v>
      </c>
      <c r="B32" s="2">
        <v>8</v>
      </c>
      <c r="C32" s="2">
        <v>8</v>
      </c>
      <c r="D32" s="2">
        <v>0</v>
      </c>
      <c r="E32" s="2">
        <v>0</v>
      </c>
    </row>
    <row r="33">
      <c r="A33" s="0" t="s">
        <v>69</v>
      </c>
      <c r="B33" s="2">
        <f>IFERROR(VLOOKUP(B$30,range_Power,2,TRUE),0)</f>
      </c>
      <c r="C33" s="2">
        <f>IFERROR(VLOOKUP(C$30,range_Power,2,TRUE),0)</f>
      </c>
      <c r="D33" s="2">
        <f>IFERROR(VLOOKUP(D$30,range_Power,2,TRUE),0)</f>
      </c>
      <c r="E33" s="2">
        <f>IFERROR(VLOOKUP(E$30,range_Power,2,TRUE),0)</f>
      </c>
    </row>
    <row r="34">
      <c r="A34" s="0" t="s">
        <v>200</v>
      </c>
      <c r="B34" s="2">
        <v>0</v>
      </c>
      <c r="C34" s="2">
        <v>0</v>
      </c>
      <c r="D34" s="2">
        <v>0</v>
      </c>
      <c r="E34" s="2">
        <v>0</v>
      </c>
    </row>
    <row r="35">
      <c r="A35" s="0" t="s">
        <v>201</v>
      </c>
      <c r="B35" s="2">
        <v>0</v>
      </c>
      <c r="C35" s="2">
        <v>0</v>
      </c>
      <c r="D35" s="2">
        <v>0</v>
      </c>
      <c r="E35" s="2">
        <v>0</v>
      </c>
    </row>
    <row r="36">
      <c r="A36" s="0" t="s">
        <v>202</v>
      </c>
      <c r="B36" s="2">
        <v>0</v>
      </c>
      <c r="C36" s="2">
        <v>0</v>
      </c>
      <c r="D36" s="2">
        <v>0</v>
      </c>
      <c r="E36" s="2">
        <v>0</v>
      </c>
    </row>
    <row r="37">
      <c r="A37" s="0" t="s">
        <v>203</v>
      </c>
      <c r="B37" s="2">
        <v>0</v>
      </c>
      <c r="C37" s="2">
        <v>0</v>
      </c>
      <c r="D37" s="2">
        <v>0</v>
      </c>
      <c r="E37" s="2">
        <v>0</v>
      </c>
    </row>
    <row r="38">
      <c r="A38" s="0" t="s">
        <v>204</v>
      </c>
      <c r="B38" s="2">
        <v>0</v>
      </c>
      <c r="C38" s="2">
        <v>0</v>
      </c>
      <c r="D38" s="2">
        <v>0</v>
      </c>
      <c r="E38" s="2">
        <v>0</v>
      </c>
    </row>
    <row r="39">
      <c r="A39" s="0" t="s">
        <v>205</v>
      </c>
      <c r="B39" s="2">
        <v>0</v>
      </c>
      <c r="C39" s="2">
        <v>0</v>
      </c>
      <c r="D39" s="2">
        <v>0</v>
      </c>
      <c r="E39" s="2">
        <v>0</v>
      </c>
    </row>
    <row r="40">
      <c r="A40" s="0" t="s">
        <v>206</v>
      </c>
      <c r="B40" s="2">
        <v>0</v>
      </c>
      <c r="C40" s="2">
        <v>0</v>
      </c>
      <c r="D40" s="2">
        <v>0</v>
      </c>
      <c r="E40" s="2">
        <v>0</v>
      </c>
    </row>
    <row r="41">
      <c r="A41" s="0" t="s">
        <v>207</v>
      </c>
      <c r="B41" s="2">
        <v>0</v>
      </c>
      <c r="C41" s="2">
        <v>0</v>
      </c>
      <c r="D41" s="2">
        <v>0</v>
      </c>
      <c r="E41" s="2">
        <v>0</v>
      </c>
    </row>
    <row r="42">
      <c r="A42" s="0" t="s">
        <v>208</v>
      </c>
      <c r="B42" s="2">
        <v>0</v>
      </c>
      <c r="C42" s="2">
        <v>0</v>
      </c>
      <c r="D42" s="2">
        <v>0</v>
      </c>
      <c r="E42" s="2">
        <v>0</v>
      </c>
    </row>
    <row r="43">
      <c r="A43" s="0" t="s">
        <v>209</v>
      </c>
      <c r="B43" s="2">
        <v>0</v>
      </c>
      <c r="C43" s="2">
        <v>0</v>
      </c>
      <c r="D43" s="2">
        <v>0</v>
      </c>
      <c r="E43" s="2">
        <v>0</v>
      </c>
    </row>
    <row r="44">
      <c r="A44" s="0" t="s">
        <v>210</v>
      </c>
      <c r="B44" s="2">
        <v>0</v>
      </c>
      <c r="C44" s="2">
        <v>0</v>
      </c>
      <c r="D44" s="2">
        <v>0</v>
      </c>
      <c r="E44" s="2">
        <v>0</v>
      </c>
    </row>
    <row r="45">
      <c r="A45" s="0" t="s">
        <v>211</v>
      </c>
      <c r="B45" s="2">
        <v>0</v>
      </c>
      <c r="C45" s="2">
        <v>0</v>
      </c>
      <c r="D45" s="2">
        <v>0</v>
      </c>
      <c r="E45" s="2">
        <v>0</v>
      </c>
    </row>
    <row r="46">
      <c r="A46" s="0" t="s">
        <v>212</v>
      </c>
      <c r="B46" s="2">
        <v>0</v>
      </c>
      <c r="C46" s="2">
        <v>0</v>
      </c>
      <c r="D46" s="2">
        <v>0</v>
      </c>
      <c r="E46" s="2">
        <v>0</v>
      </c>
    </row>
    <row r="47">
      <c r="A47" s="0" t="s">
        <v>213</v>
      </c>
      <c r="B47" s="2">
        <v>0</v>
      </c>
      <c r="C47" s="2">
        <v>0</v>
      </c>
      <c r="D47" s="2">
        <v>0</v>
      </c>
      <c r="E47" s="2">
        <v>0</v>
      </c>
    </row>
    <row r="48">
      <c r="A48" s="0" t="s">
        <v>214</v>
      </c>
      <c r="B48" s="2">
        <v>0</v>
      </c>
      <c r="C48" s="2">
        <v>0</v>
      </c>
      <c r="D48" s="2">
        <v>0</v>
      </c>
      <c r="E48" s="2">
        <v>0</v>
      </c>
    </row>
    <row r="49">
      <c r="A49" s="0" t="s">
        <v>215</v>
      </c>
      <c r="B49" s="2">
        <v>0</v>
      </c>
      <c r="C49" s="2">
        <v>0</v>
      </c>
      <c r="D49" s="2">
        <v>0</v>
      </c>
      <c r="E49" s="2">
        <v>0</v>
      </c>
    </row>
    <row r="50">
      <c r="A50" s="0" t="s">
        <v>216</v>
      </c>
      <c r="B50" s="2">
        <v>0</v>
      </c>
      <c r="C50" s="2">
        <v>0</v>
      </c>
      <c r="D50" s="2">
        <v>0</v>
      </c>
      <c r="E50" s="2">
        <v>0</v>
      </c>
    </row>
    <row r="51">
      <c r="A51" s="0" t="s">
        <v>217</v>
      </c>
      <c r="B51" s="2">
        <v>0</v>
      </c>
      <c r="C51" s="2">
        <v>0</v>
      </c>
      <c r="D51" s="2">
        <v>1</v>
      </c>
      <c r="E51" s="2">
        <v>1</v>
      </c>
    </row>
    <row r="52">
      <c r="A52" s="0" t="s">
        <v>218</v>
      </c>
      <c r="B52" s="2">
        <v>0</v>
      </c>
      <c r="C52" s="2">
        <v>0</v>
      </c>
      <c r="D52" s="2">
        <v>0</v>
      </c>
      <c r="E52" s="2">
        <v>0</v>
      </c>
    </row>
    <row r="53">
      <c r="A53" s="0" t="s">
        <v>219</v>
      </c>
      <c r="B53" s="7">
        <v>0</v>
      </c>
      <c r="C53" s="7">
        <v>0</v>
      </c>
      <c r="D53" s="7">
        <v>0</v>
      </c>
      <c r="E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row>
    <row r="55">
      <c r="A55" s="0" t="s">
        <v>221</v>
      </c>
      <c r="B55" s="2">
        <f>B$54-B$32*pw_Damage-B$33-B$52*pw_Summon</f>
      </c>
      <c r="C55" s="2">
        <f>C$54-C$32*pw_Damage-C$33-C$52*pw_Summon</f>
      </c>
      <c r="D55" s="2">
        <f>D$54-D$32*pw_Damage-D$33-D$52*pw_Summon</f>
      </c>
      <c r="E55" s="2">
        <f>E$54-E$32*pw_Damage-E$33-E$52*pw_Summon</f>
      </c>
    </row>
    <row r="57">
      <c r="A57" s="1" t="s">
        <v>222</v>
      </c>
      <c r="B57" s="3"/>
    </row>
  </sheetData>
  <dataValidations count="8">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s>
  <headerFooter/>
</worksheet>
</file>

<file path=xl/worksheets/sheet4.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223</v>
      </c>
    </row>
    <row r="2">
      <c r="A2" s="1" t="s">
        <v>173</v>
      </c>
      <c r="B2" s="0" t="s">
        <v>87</v>
      </c>
    </row>
    <row r="3">
      <c r="A3" s="1" t="s">
        <v>174</v>
      </c>
      <c r="B3" s="0" t="s">
        <v>224</v>
      </c>
    </row>
    <row r="4">
      <c r="A4" s="1" t="s">
        <v>176</v>
      </c>
      <c r="B4" s="0">
        <f>IF($B$3="","NEW","Live")</f>
      </c>
    </row>
    <row r="6">
      <c r="A6" s="1" t="s">
        <v>177</v>
      </c>
    </row>
    <row r="7">
      <c r="A7" s="5" t="s">
        <v>178</v>
      </c>
      <c r="B7" s="0" t="s">
        <v>223</v>
      </c>
    </row>
    <row r="8">
      <c r="A8" s="5" t="s">
        <v>180</v>
      </c>
      <c r="B8" s="0">
        <v>20</v>
      </c>
    </row>
    <row r="9">
      <c r="A9" s="5" t="s">
        <v>181</v>
      </c>
      <c r="B9" s="0">
        <v>1</v>
      </c>
    </row>
    <row r="10">
      <c r="A10" s="5" t="s">
        <v>72</v>
      </c>
      <c r="B10" s="0" t="s">
        <v>83</v>
      </c>
    </row>
    <row r="11">
      <c r="A11" s="5" t="s">
        <v>73</v>
      </c>
      <c r="B11" s="0" t="s">
        <v>123</v>
      </c>
    </row>
    <row r="12">
      <c r="A12" s="5" t="s">
        <v>182</v>
      </c>
      <c r="B12" s="0" t="s">
        <v>91</v>
      </c>
    </row>
    <row r="13">
      <c r="A13" s="5" t="s">
        <v>75</v>
      </c>
      <c r="B13" s="0" t="s">
        <v>86</v>
      </c>
    </row>
    <row r="15">
      <c r="A15" s="1" t="s">
        <v>183</v>
      </c>
      <c r="B15" s="0">
        <v>1.47</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93</v>
      </c>
      <c r="C24" s="0" t="s">
        <v>93</v>
      </c>
      <c r="D24" s="0" t="s">
        <v>93</v>
      </c>
      <c r="E24" s="0" t="s">
        <v>93</v>
      </c>
      <c r="F24" s="0" t="s">
        <v>143</v>
      </c>
    </row>
    <row r="25">
      <c r="A25" s="0" t="s">
        <v>191</v>
      </c>
      <c r="B25" s="0" t="s">
        <v>225</v>
      </c>
      <c r="C25" s="0" t="s">
        <v>225</v>
      </c>
      <c r="D25" s="0" t="s">
        <v>225</v>
      </c>
      <c r="E25" s="0" t="s">
        <v>225</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2</v>
      </c>
    </row>
    <row r="31">
      <c r="A31" s="0" t="s">
        <v>198</v>
      </c>
      <c r="B31" s="7">
        <v>1</v>
      </c>
      <c r="C31" s="7">
        <v>1</v>
      </c>
      <c r="D31" s="7">
        <v>1</v>
      </c>
      <c r="E31" s="7">
        <v>1</v>
      </c>
      <c r="F31" s="7">
        <v>1</v>
      </c>
    </row>
    <row r="32">
      <c r="A32" s="0" t="s">
        <v>199</v>
      </c>
      <c r="B32" s="2">
        <v>5</v>
      </c>
      <c r="C32" s="2">
        <v>5</v>
      </c>
      <c r="D32" s="2">
        <v>5</v>
      </c>
      <c r="E32" s="2">
        <v>5</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5.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227</v>
      </c>
    </row>
    <row r="2">
      <c r="A2" s="1" t="s">
        <v>173</v>
      </c>
      <c r="B2" s="0" t="s">
        <v>87</v>
      </c>
    </row>
    <row r="3">
      <c r="A3" s="1" t="s">
        <v>174</v>
      </c>
      <c r="B3" s="0" t="s">
        <v>228</v>
      </c>
    </row>
    <row r="4">
      <c r="A4" s="1" t="s">
        <v>176</v>
      </c>
      <c r="B4" s="0">
        <f>IF($B$3="","NEW","Live")</f>
      </c>
    </row>
    <row r="6">
      <c r="A6" s="1" t="s">
        <v>177</v>
      </c>
    </row>
    <row r="7">
      <c r="A7" s="5" t="s">
        <v>178</v>
      </c>
      <c r="B7" s="0" t="s">
        <v>227</v>
      </c>
    </row>
    <row r="8">
      <c r="A8" s="5" t="s">
        <v>180</v>
      </c>
      <c r="B8" s="0">
        <v>40</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2</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119</v>
      </c>
      <c r="C24" s="0" t="s">
        <v>119</v>
      </c>
      <c r="D24" s="0" t="s">
        <v>119</v>
      </c>
      <c r="E24" s="0" t="s">
        <v>119</v>
      </c>
      <c r="F24" s="0" t="s">
        <v>142</v>
      </c>
    </row>
    <row r="25">
      <c r="A25" s="0" t="s">
        <v>191</v>
      </c>
      <c r="B25" s="0" t="s">
        <v>229</v>
      </c>
      <c r="C25" s="0" t="s">
        <v>229</v>
      </c>
      <c r="D25" s="0" t="s">
        <v>229</v>
      </c>
      <c r="E25" s="0" t="s">
        <v>229</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4</v>
      </c>
      <c r="C32" s="2">
        <v>4</v>
      </c>
      <c r="D32" s="2">
        <v>4</v>
      </c>
      <c r="E32" s="2">
        <v>4</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4</v>
      </c>
      <c r="C36" s="2">
        <v>4</v>
      </c>
      <c r="D36" s="2">
        <v>4</v>
      </c>
      <c r="E36" s="2">
        <v>4</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6.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230</v>
      </c>
    </row>
    <row r="2">
      <c r="A2" s="1" t="s">
        <v>173</v>
      </c>
      <c r="B2" s="0" t="s">
        <v>87</v>
      </c>
    </row>
    <row r="3">
      <c r="A3" s="1" t="s">
        <v>174</v>
      </c>
      <c r="B3" s="0" t="s">
        <v>231</v>
      </c>
    </row>
    <row r="4">
      <c r="A4" s="1" t="s">
        <v>176</v>
      </c>
      <c r="B4" s="0">
        <f>IF($B$3="","NEW","Live")</f>
      </c>
    </row>
    <row r="6">
      <c r="A6" s="1" t="s">
        <v>177</v>
      </c>
    </row>
    <row r="7">
      <c r="A7" s="5" t="s">
        <v>178</v>
      </c>
      <c r="B7" s="0" t="s">
        <v>89</v>
      </c>
    </row>
    <row r="8">
      <c r="A8" s="5" t="s">
        <v>180</v>
      </c>
      <c r="B8" s="0">
        <v>25</v>
      </c>
    </row>
    <row r="9">
      <c r="A9" s="5" t="s">
        <v>181</v>
      </c>
      <c r="B9" s="0">
        <v>1</v>
      </c>
    </row>
    <row r="10">
      <c r="A10" s="5" t="s">
        <v>72</v>
      </c>
      <c r="B10" s="0" t="s">
        <v>89</v>
      </c>
    </row>
    <row r="11">
      <c r="A11" s="5" t="s">
        <v>73</v>
      </c>
      <c r="B11" s="0" t="s">
        <v>111</v>
      </c>
    </row>
    <row r="12">
      <c r="A12" s="5" t="s">
        <v>182</v>
      </c>
      <c r="B12" s="0" t="s">
        <v>91</v>
      </c>
    </row>
    <row r="13">
      <c r="A13" s="5" t="s">
        <v>75</v>
      </c>
      <c r="B13" s="0" t="s">
        <v>92</v>
      </c>
    </row>
    <row r="15">
      <c r="A15" s="1" t="s">
        <v>183</v>
      </c>
      <c r="B15" s="0">
        <v>3.5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133</v>
      </c>
      <c r="C24" s="0" t="s">
        <v>133</v>
      </c>
      <c r="D24" s="0" t="s">
        <v>133</v>
      </c>
      <c r="E24" s="0" t="s">
        <v>133</v>
      </c>
      <c r="F24" s="0" t="s">
        <v>143</v>
      </c>
    </row>
    <row r="25">
      <c r="A25" s="0" t="s">
        <v>191</v>
      </c>
      <c r="B25" s="0" t="s">
        <v>232</v>
      </c>
      <c r="C25" s="0" t="s">
        <v>232</v>
      </c>
      <c r="D25" s="0" t="s">
        <v>232</v>
      </c>
      <c r="E25" s="0" t="s">
        <v>232</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6</v>
      </c>
      <c r="C30" s="7">
        <v>6</v>
      </c>
      <c r="D30" s="7">
        <v>6</v>
      </c>
      <c r="E30" s="7">
        <v>6</v>
      </c>
      <c r="F30" s="7">
        <v>2</v>
      </c>
    </row>
    <row r="31">
      <c r="A31" s="0" t="s">
        <v>198</v>
      </c>
      <c r="B31" s="7">
        <v>1</v>
      </c>
      <c r="C31" s="7">
        <v>1</v>
      </c>
      <c r="D31" s="7">
        <v>1</v>
      </c>
      <c r="E31" s="7">
        <v>1</v>
      </c>
      <c r="F31" s="7">
        <v>1</v>
      </c>
    </row>
    <row r="32">
      <c r="A32" s="0" t="s">
        <v>199</v>
      </c>
      <c r="B32" s="2">
        <v>5</v>
      </c>
      <c r="C32" s="2">
        <v>5</v>
      </c>
      <c r="D32" s="2">
        <v>5</v>
      </c>
      <c r="E32" s="2">
        <v>5</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1</v>
      </c>
      <c r="C42" s="2">
        <v>1</v>
      </c>
      <c r="D42" s="2">
        <v>1</v>
      </c>
      <c r="E42" s="2">
        <v>1</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7.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233</v>
      </c>
    </row>
    <row r="2">
      <c r="A2" s="1" t="s">
        <v>173</v>
      </c>
      <c r="B2" s="0" t="s">
        <v>87</v>
      </c>
    </row>
    <row r="3">
      <c r="A3" s="1" t="s">
        <v>174</v>
      </c>
      <c r="B3" s="0" t="s">
        <v>234</v>
      </c>
    </row>
    <row r="4">
      <c r="A4" s="1" t="s">
        <v>176</v>
      </c>
      <c r="B4" s="0">
        <f>IF($B$3="","NEW","Live")</f>
      </c>
    </row>
    <row r="6">
      <c r="A6" s="1" t="s">
        <v>177</v>
      </c>
    </row>
    <row r="7">
      <c r="A7" s="5" t="s">
        <v>178</v>
      </c>
      <c r="B7" s="0" t="s">
        <v>235</v>
      </c>
    </row>
    <row r="8">
      <c r="A8" s="5" t="s">
        <v>180</v>
      </c>
      <c r="B8" s="0">
        <v>15</v>
      </c>
    </row>
    <row r="9">
      <c r="A9" s="5" t="s">
        <v>181</v>
      </c>
      <c r="B9" s="0">
        <v>1</v>
      </c>
    </row>
    <row r="10">
      <c r="A10" s="5" t="s">
        <v>72</v>
      </c>
      <c r="B10" s="0" t="s">
        <v>89</v>
      </c>
    </row>
    <row r="11">
      <c r="A11" s="5" t="s">
        <v>73</v>
      </c>
      <c r="B11" s="0" t="s">
        <v>111</v>
      </c>
    </row>
    <row r="12">
      <c r="A12" s="5" t="s">
        <v>182</v>
      </c>
      <c r="B12" s="0" t="s">
        <v>91</v>
      </c>
    </row>
    <row r="13">
      <c r="A13" s="5" t="s">
        <v>75</v>
      </c>
      <c r="B13" s="0" t="s">
        <v>92</v>
      </c>
    </row>
    <row r="15">
      <c r="A15" s="1" t="s">
        <v>183</v>
      </c>
      <c r="B15" s="0">
        <v>1.68</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170</v>
      </c>
      <c r="C24" s="0" t="s">
        <v>170</v>
      </c>
      <c r="D24" s="0" t="s">
        <v>170</v>
      </c>
      <c r="E24" s="0" t="s">
        <v>170</v>
      </c>
      <c r="F24" s="0" t="s">
        <v>142</v>
      </c>
    </row>
    <row r="25">
      <c r="A25" s="0" t="s">
        <v>191</v>
      </c>
      <c r="B25" s="0" t="s">
        <v>236</v>
      </c>
      <c r="C25" s="0" t="s">
        <v>236</v>
      </c>
      <c r="D25" s="0" t="s">
        <v>236</v>
      </c>
      <c r="E25" s="0" t="s">
        <v>236</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4</v>
      </c>
      <c r="C30" s="7">
        <v>4</v>
      </c>
      <c r="D30" s="7">
        <v>4</v>
      </c>
      <c r="E30" s="7">
        <v>4</v>
      </c>
      <c r="F30" s="7">
        <v>1</v>
      </c>
    </row>
    <row r="31">
      <c r="A31" s="0" t="s">
        <v>198</v>
      </c>
      <c r="B31" s="7">
        <v>1</v>
      </c>
      <c r="C31" s="7">
        <v>1</v>
      </c>
      <c r="D31" s="7">
        <v>1</v>
      </c>
      <c r="E31" s="7">
        <v>1</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8.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237</v>
      </c>
    </row>
    <row r="2">
      <c r="A2" s="1" t="s">
        <v>173</v>
      </c>
      <c r="B2" s="0" t="s">
        <v>87</v>
      </c>
    </row>
    <row r="3">
      <c r="A3" s="1" t="s">
        <v>174</v>
      </c>
      <c r="B3" s="0" t="s">
        <v>238</v>
      </c>
    </row>
    <row r="4">
      <c r="A4" s="1" t="s">
        <v>176</v>
      </c>
      <c r="B4" s="0">
        <f>IF($B$3="","NEW","Live")</f>
      </c>
    </row>
    <row r="6">
      <c r="A6" s="1" t="s">
        <v>177</v>
      </c>
    </row>
    <row r="7">
      <c r="A7" s="5" t="s">
        <v>178</v>
      </c>
      <c r="B7" s="0" t="s">
        <v>237</v>
      </c>
    </row>
    <row r="8">
      <c r="A8" s="5" t="s">
        <v>180</v>
      </c>
      <c r="B8" s="0">
        <v>20</v>
      </c>
    </row>
    <row r="9">
      <c r="A9" s="5" t="s">
        <v>181</v>
      </c>
      <c r="B9" s="0">
        <v>1</v>
      </c>
    </row>
    <row r="10">
      <c r="A10" s="5" t="s">
        <v>72</v>
      </c>
      <c r="B10" s="0" t="s">
        <v>83</v>
      </c>
    </row>
    <row r="11">
      <c r="A11" s="5" t="s">
        <v>73</v>
      </c>
      <c r="B11" s="0" t="s">
        <v>132</v>
      </c>
    </row>
    <row r="12">
      <c r="A12" s="5" t="s">
        <v>182</v>
      </c>
      <c r="B12" s="0" t="s">
        <v>91</v>
      </c>
    </row>
    <row r="13">
      <c r="A13" s="5" t="s">
        <v>75</v>
      </c>
      <c r="B13" s="0" t="s">
        <v>86</v>
      </c>
    </row>
    <row r="15">
      <c r="A15" s="1" t="s">
        <v>183</v>
      </c>
      <c r="B15" s="0">
        <v>1.5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88</v>
      </c>
      <c r="C24" s="0" t="s">
        <v>88</v>
      </c>
      <c r="D24" s="0" t="s">
        <v>88</v>
      </c>
      <c r="E24" s="0" t="s">
        <v>88</v>
      </c>
      <c r="F24" s="0" t="s">
        <v>143</v>
      </c>
    </row>
    <row r="25">
      <c r="A25" s="0" t="s">
        <v>191</v>
      </c>
      <c r="B25" s="0" t="s">
        <v>225</v>
      </c>
      <c r="C25" s="0" t="s">
        <v>225</v>
      </c>
      <c r="D25" s="0" t="s">
        <v>225</v>
      </c>
      <c r="E25" s="0" t="s">
        <v>225</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2</v>
      </c>
    </row>
    <row r="31">
      <c r="A31" s="0" t="s">
        <v>198</v>
      </c>
      <c r="B31" s="7">
        <v>1</v>
      </c>
      <c r="C31" s="7">
        <v>1</v>
      </c>
      <c r="D31" s="7">
        <v>1</v>
      </c>
      <c r="E31" s="7">
        <v>1</v>
      </c>
      <c r="F31" s="7">
        <v>1</v>
      </c>
    </row>
    <row r="32">
      <c r="A32" s="0" t="s">
        <v>199</v>
      </c>
      <c r="B32" s="2">
        <v>5</v>
      </c>
      <c r="C32" s="2">
        <v>5</v>
      </c>
      <c r="D32" s="2">
        <v>5</v>
      </c>
      <c r="E32" s="2">
        <v>5</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9.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239</v>
      </c>
    </row>
    <row r="2">
      <c r="A2" s="1" t="s">
        <v>173</v>
      </c>
      <c r="B2" s="0" t="s">
        <v>87</v>
      </c>
    </row>
    <row r="3">
      <c r="A3" s="1" t="s">
        <v>174</v>
      </c>
      <c r="B3" s="0" t="s">
        <v>240</v>
      </c>
    </row>
    <row r="4">
      <c r="A4" s="1" t="s">
        <v>176</v>
      </c>
      <c r="B4" s="0">
        <f>IF($B$3="","NEW","Live")</f>
      </c>
    </row>
    <row r="6">
      <c r="A6" s="1" t="s">
        <v>177</v>
      </c>
    </row>
    <row r="7">
      <c r="A7" s="5" t="s">
        <v>178</v>
      </c>
      <c r="B7" s="0" t="s">
        <v>239</v>
      </c>
    </row>
    <row r="8">
      <c r="A8" s="5" t="s">
        <v>180</v>
      </c>
      <c r="B8" s="0">
        <v>60</v>
      </c>
    </row>
    <row r="9">
      <c r="A9" s="5" t="s">
        <v>181</v>
      </c>
      <c r="B9" s="0">
        <v>1</v>
      </c>
    </row>
    <row r="10">
      <c r="A10" s="5" t="s">
        <v>72</v>
      </c>
      <c r="B10" s="0" t="s">
        <v>94</v>
      </c>
    </row>
    <row r="11">
      <c r="A11" s="5" t="s">
        <v>73</v>
      </c>
      <c r="B11" s="0" t="s">
        <v>84</v>
      </c>
    </row>
    <row r="12">
      <c r="A12" s="5" t="s">
        <v>182</v>
      </c>
      <c r="B12" s="0" t="s">
        <v>91</v>
      </c>
    </row>
    <row r="13">
      <c r="A13" s="5" t="s">
        <v>75</v>
      </c>
      <c r="B13" s="0" t="s">
        <v>86</v>
      </c>
    </row>
    <row r="15">
      <c r="A15" s="1" t="s">
        <v>183</v>
      </c>
      <c r="B15" s="0">
        <v>2.65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107</v>
      </c>
      <c r="C24" s="0" t="s">
        <v>107</v>
      </c>
      <c r="D24" s="0" t="s">
        <v>107</v>
      </c>
      <c r="E24" s="0" t="s">
        <v>165</v>
      </c>
      <c r="F24" s="0" t="s">
        <v>142</v>
      </c>
    </row>
    <row r="25">
      <c r="A25" s="0" t="s">
        <v>191</v>
      </c>
      <c r="B25" s="0" t="s">
        <v>225</v>
      </c>
      <c r="C25" s="0" t="s">
        <v>225</v>
      </c>
      <c r="D25" s="0" t="s">
        <v>225</v>
      </c>
      <c r="E25" s="0" t="s">
        <v>241</v>
      </c>
      <c r="F25" s="0" t="s">
        <v>193</v>
      </c>
    </row>
    <row r="26">
      <c r="A26" s="0" t="s">
        <v>194</v>
      </c>
      <c r="B26" s="0" t="s">
        <v>81</v>
      </c>
      <c r="C26" s="0" t="s">
        <v>81</v>
      </c>
      <c r="D26" s="0" t="s">
        <v>81</v>
      </c>
      <c r="E26" s="0" t="s">
        <v>87</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5</v>
      </c>
      <c r="C32" s="2">
        <v>5</v>
      </c>
      <c r="D32" s="2">
        <v>5</v>
      </c>
      <c r="E32" s="2">
        <v>0</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f>pow_Pebble</f>
      </c>
      <c r="F52" s="2">
        <v>0</v>
      </c>
    </row>
    <row r="53">
      <c r="A53" s="0" t="s">
        <v>219</v>
      </c>
      <c r="B53" s="7">
        <v>0</v>
      </c>
      <c r="C53" s="7">
        <v>0</v>
      </c>
      <c r="D53" s="7">
        <v>0</v>
      </c>
      <c r="E53" s="7">
        <v>3</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0.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242</v>
      </c>
    </row>
    <row r="2">
      <c r="A2" s="1" t="s">
        <v>173</v>
      </c>
      <c r="B2" s="0" t="s">
        <v>87</v>
      </c>
    </row>
    <row r="3">
      <c r="A3" s="1" t="s">
        <v>174</v>
      </c>
      <c r="B3" s="0" t="s">
        <v>243</v>
      </c>
    </row>
    <row r="4">
      <c r="A4" s="1" t="s">
        <v>176</v>
      </c>
      <c r="B4" s="0">
        <f>IF($B$3="","NEW","Live")</f>
      </c>
    </row>
    <row r="6">
      <c r="A6" s="1" t="s">
        <v>177</v>
      </c>
    </row>
    <row r="7">
      <c r="A7" s="5" t="s">
        <v>178</v>
      </c>
      <c r="B7" s="0" t="s">
        <v>244</v>
      </c>
    </row>
    <row r="8">
      <c r="A8" s="5" t="s">
        <v>180</v>
      </c>
      <c r="B8" s="0">
        <v>50</v>
      </c>
    </row>
    <row r="9">
      <c r="A9" s="5" t="s">
        <v>181</v>
      </c>
      <c r="B9" s="0">
        <v>1</v>
      </c>
    </row>
    <row r="10">
      <c r="A10" s="5" t="s">
        <v>72</v>
      </c>
      <c r="B10" s="0" t="s">
        <v>83</v>
      </c>
    </row>
    <row r="11">
      <c r="A11" s="5" t="s">
        <v>73</v>
      </c>
      <c r="B11" s="0" t="s">
        <v>105</v>
      </c>
    </row>
    <row r="12">
      <c r="A12" s="5" t="s">
        <v>182</v>
      </c>
      <c r="B12" s="0" t="s">
        <v>91</v>
      </c>
    </row>
    <row r="13">
      <c r="A13" s="5" t="s">
        <v>75</v>
      </c>
      <c r="B13" s="0" t="s">
        <v>86</v>
      </c>
    </row>
    <row r="15">
      <c r="A15" s="1" t="s">
        <v>183</v>
      </c>
      <c r="B15" s="0">
        <v>3.5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139</v>
      </c>
      <c r="C24" s="0" t="s">
        <v>139</v>
      </c>
      <c r="D24" s="0" t="s">
        <v>139</v>
      </c>
      <c r="E24" s="0" t="s">
        <v>139</v>
      </c>
      <c r="F24" s="0" t="s">
        <v>142</v>
      </c>
    </row>
    <row r="25">
      <c r="A25" s="0" t="s">
        <v>191</v>
      </c>
      <c r="B25" s="0" t="s">
        <v>245</v>
      </c>
      <c r="C25" s="0" t="s">
        <v>245</v>
      </c>
      <c r="D25" s="0" t="s">
        <v>245</v>
      </c>
      <c r="E25" s="0" t="s">
        <v>245</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6</v>
      </c>
      <c r="C32" s="2">
        <v>6</v>
      </c>
      <c r="D32" s="2">
        <v>6</v>
      </c>
      <c r="E32" s="2">
        <v>6</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5</v>
      </c>
      <c r="C36" s="2">
        <v>5</v>
      </c>
      <c r="D36" s="2">
        <v>5</v>
      </c>
      <c r="E36" s="2">
        <v>5</v>
      </c>
      <c r="F36" s="2">
        <v>0</v>
      </c>
    </row>
    <row r="37">
      <c r="A37" s="0" t="s">
        <v>203</v>
      </c>
      <c r="B37" s="2">
        <v>10</v>
      </c>
      <c r="C37" s="2">
        <v>10</v>
      </c>
      <c r="D37" s="2">
        <v>10</v>
      </c>
      <c r="E37" s="2">
        <v>10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1.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246</v>
      </c>
    </row>
    <row r="2">
      <c r="A2" s="1" t="s">
        <v>173</v>
      </c>
      <c r="B2" s="0" t="s">
        <v>87</v>
      </c>
    </row>
    <row r="3">
      <c r="A3" s="1" t="s">
        <v>174</v>
      </c>
      <c r="B3" s="0" t="s">
        <v>247</v>
      </c>
    </row>
    <row r="4">
      <c r="A4" s="1" t="s">
        <v>176</v>
      </c>
      <c r="B4" s="0">
        <f>IF($B$3="","NEW","Live")</f>
      </c>
    </row>
    <row r="6">
      <c r="A6" s="1" t="s">
        <v>177</v>
      </c>
    </row>
    <row r="7">
      <c r="A7" s="5" t="s">
        <v>178</v>
      </c>
      <c r="B7" s="0" t="s">
        <v>248</v>
      </c>
    </row>
    <row r="8">
      <c r="A8" s="5" t="s">
        <v>180</v>
      </c>
      <c r="B8" s="0">
        <v>30</v>
      </c>
    </row>
    <row r="9">
      <c r="A9" s="5" t="s">
        <v>181</v>
      </c>
      <c r="B9" s="0">
        <v>1</v>
      </c>
    </row>
    <row r="10">
      <c r="A10" s="5" t="s">
        <v>72</v>
      </c>
      <c r="B10" s="0" t="s">
        <v>83</v>
      </c>
    </row>
    <row r="11">
      <c r="A11" s="5" t="s">
        <v>73</v>
      </c>
      <c r="B11" s="0" t="s">
        <v>132</v>
      </c>
    </row>
    <row r="12">
      <c r="A12" s="5" t="s">
        <v>182</v>
      </c>
      <c r="B12" s="0" t="s">
        <v>91</v>
      </c>
    </row>
    <row r="13">
      <c r="A13" s="5" t="s">
        <v>75</v>
      </c>
      <c r="B13" s="0" t="s">
        <v>92</v>
      </c>
    </row>
    <row r="15">
      <c r="A15" s="1" t="s">
        <v>183</v>
      </c>
      <c r="B15" s="0">
        <v>2.5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146</v>
      </c>
      <c r="C24" s="0" t="s">
        <v>146</v>
      </c>
      <c r="D24" s="0" t="s">
        <v>168</v>
      </c>
      <c r="E24" s="0" t="s">
        <v>168</v>
      </c>
      <c r="F24" s="0" t="s">
        <v>143</v>
      </c>
    </row>
    <row r="25">
      <c r="A25" s="0" t="s">
        <v>191</v>
      </c>
      <c r="B25" s="0" t="s">
        <v>249</v>
      </c>
      <c r="C25" s="0" t="s">
        <v>249</v>
      </c>
      <c r="D25" s="0" t="s">
        <v>250</v>
      </c>
      <c r="E25" s="0" t="s">
        <v>250</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4</v>
      </c>
      <c r="C30" s="7">
        <v>4</v>
      </c>
      <c r="D30" s="7">
        <v>4</v>
      </c>
      <c r="E30" s="7">
        <v>4</v>
      </c>
      <c r="F30" s="7">
        <v>2</v>
      </c>
    </row>
    <row r="31">
      <c r="A31" s="0" t="s">
        <v>198</v>
      </c>
      <c r="B31" s="7">
        <v>9</v>
      </c>
      <c r="C31" s="7">
        <v>9</v>
      </c>
      <c r="D31" s="7">
        <v>9</v>
      </c>
      <c r="E31" s="7">
        <v>9</v>
      </c>
      <c r="F31" s="7">
        <v>1</v>
      </c>
    </row>
    <row r="32">
      <c r="A32" s="0" t="s">
        <v>199</v>
      </c>
      <c r="B32" s="2">
        <v>1</v>
      </c>
      <c r="C32" s="2">
        <v>1</v>
      </c>
      <c r="D32" s="2">
        <v>1</v>
      </c>
      <c r="E32" s="2">
        <v>1</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6</v>
      </c>
      <c r="E34" s="2">
        <v>6</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1</v>
      </c>
      <c r="C41" s="2">
        <v>1</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2.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251</v>
      </c>
    </row>
    <row r="2">
      <c r="A2" s="1" t="s">
        <v>173</v>
      </c>
      <c r="B2" s="0" t="s">
        <v>87</v>
      </c>
    </row>
    <row r="3">
      <c r="A3" s="1" t="s">
        <v>174</v>
      </c>
      <c r="B3" s="0" t="s">
        <v>252</v>
      </c>
    </row>
    <row r="4">
      <c r="A4" s="1" t="s">
        <v>176</v>
      </c>
      <c r="B4" s="0">
        <f>IF($B$3="","NEW","Live")</f>
      </c>
    </row>
    <row r="6">
      <c r="A6" s="1" t="s">
        <v>177</v>
      </c>
    </row>
    <row r="7">
      <c r="A7" s="5" t="s">
        <v>178</v>
      </c>
      <c r="B7" s="0" t="s">
        <v>251</v>
      </c>
    </row>
    <row r="8">
      <c r="A8" s="5" t="s">
        <v>180</v>
      </c>
      <c r="B8" s="0">
        <v>35</v>
      </c>
    </row>
    <row r="9">
      <c r="A9" s="5" t="s">
        <v>181</v>
      </c>
      <c r="B9" s="0">
        <v>1</v>
      </c>
    </row>
    <row r="10">
      <c r="A10" s="5" t="s">
        <v>72</v>
      </c>
      <c r="B10" s="0" t="s">
        <v>83</v>
      </c>
    </row>
    <row r="11">
      <c r="A11" s="5" t="s">
        <v>73</v>
      </c>
      <c r="B11" s="0" t="s">
        <v>90</v>
      </c>
    </row>
    <row r="12">
      <c r="A12" s="5" t="s">
        <v>182</v>
      </c>
      <c r="B12" s="0" t="s">
        <v>91</v>
      </c>
    </row>
    <row r="13">
      <c r="A13" s="5" t="s">
        <v>75</v>
      </c>
      <c r="B13" s="0" t="s">
        <v>86</v>
      </c>
    </row>
    <row r="15">
      <c r="A15" s="1" t="s">
        <v>183</v>
      </c>
      <c r="B15" s="0">
        <v>2.5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116</v>
      </c>
      <c r="C24" s="0" t="s">
        <v>116</v>
      </c>
      <c r="D24" s="0" t="s">
        <v>116</v>
      </c>
      <c r="E24" s="0" t="s">
        <v>116</v>
      </c>
      <c r="F24" s="0" t="s">
        <v>142</v>
      </c>
    </row>
    <row r="25">
      <c r="A25" s="0" t="s">
        <v>191</v>
      </c>
      <c r="B25" s="0" t="s">
        <v>253</v>
      </c>
      <c r="C25" s="0" t="s">
        <v>253</v>
      </c>
      <c r="D25" s="0" t="s">
        <v>253</v>
      </c>
      <c r="E25" s="0" t="s">
        <v>253</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7</v>
      </c>
      <c r="C32" s="2">
        <v>7</v>
      </c>
      <c r="D32" s="2">
        <v>7</v>
      </c>
      <c r="E32" s="2">
        <v>7</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1</v>
      </c>
      <c r="C44" s="2">
        <v>1</v>
      </c>
      <c r="D44" s="2">
        <v>1</v>
      </c>
      <c r="E44" s="2">
        <v>1</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3.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254</v>
      </c>
    </row>
    <row r="2">
      <c r="A2" s="1" t="s">
        <v>173</v>
      </c>
      <c r="B2" s="0" t="s">
        <v>87</v>
      </c>
    </row>
    <row r="3">
      <c r="A3" s="1" t="s">
        <v>174</v>
      </c>
      <c r="B3" s="0" t="s">
        <v>255</v>
      </c>
    </row>
    <row r="4">
      <c r="A4" s="1" t="s">
        <v>176</v>
      </c>
      <c r="B4" s="0">
        <f>IF($B$3="","NEW","Live")</f>
      </c>
    </row>
    <row r="6">
      <c r="A6" s="1" t="s">
        <v>177</v>
      </c>
    </row>
    <row r="7">
      <c r="A7" s="5" t="s">
        <v>178</v>
      </c>
      <c r="B7" s="0" t="s">
        <v>254</v>
      </c>
    </row>
    <row r="8">
      <c r="A8" s="5" t="s">
        <v>180</v>
      </c>
      <c r="B8" s="0">
        <v>30</v>
      </c>
    </row>
    <row r="9">
      <c r="A9" s="5" t="s">
        <v>181</v>
      </c>
      <c r="B9" s="0">
        <v>1</v>
      </c>
    </row>
    <row r="10">
      <c r="A10" s="5" t="s">
        <v>72</v>
      </c>
      <c r="B10" s="0" t="s">
        <v>89</v>
      </c>
    </row>
    <row r="11">
      <c r="A11" s="5" t="s">
        <v>73</v>
      </c>
      <c r="B11" s="0" t="s">
        <v>84</v>
      </c>
    </row>
    <row r="12">
      <c r="A12" s="5" t="s">
        <v>182</v>
      </c>
      <c r="B12" s="0" t="s">
        <v>91</v>
      </c>
    </row>
    <row r="13">
      <c r="A13" s="5" t="s">
        <v>75</v>
      </c>
      <c r="B13" s="0" t="s">
        <v>86</v>
      </c>
    </row>
    <row r="15">
      <c r="A15" s="1" t="s">
        <v>183</v>
      </c>
      <c r="B15" s="0">
        <v>2</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162</v>
      </c>
      <c r="C24" s="0" t="s">
        <v>162</v>
      </c>
      <c r="D24" s="0" t="s">
        <v>162</v>
      </c>
      <c r="E24" s="0" t="s">
        <v>162</v>
      </c>
      <c r="F24" s="0" t="s">
        <v>142</v>
      </c>
    </row>
    <row r="25">
      <c r="A25" s="0" t="s">
        <v>191</v>
      </c>
      <c r="B25" s="0" t="s">
        <v>256</v>
      </c>
      <c r="C25" s="0" t="s">
        <v>256</v>
      </c>
      <c r="D25" s="0" t="s">
        <v>256</v>
      </c>
      <c r="E25" s="0" t="s">
        <v>256</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3</v>
      </c>
      <c r="C30" s="7">
        <v>3</v>
      </c>
      <c r="D30" s="7">
        <v>3</v>
      </c>
      <c r="E30" s="7">
        <v>3</v>
      </c>
      <c r="F30" s="7">
        <v>1</v>
      </c>
    </row>
    <row r="31">
      <c r="A31" s="0" t="s">
        <v>198</v>
      </c>
      <c r="B31" s="7">
        <v>9</v>
      </c>
      <c r="C31" s="7">
        <v>9</v>
      </c>
      <c r="D31" s="7">
        <v>9</v>
      </c>
      <c r="E31" s="7">
        <v>9</v>
      </c>
      <c r="F31" s="7">
        <v>1</v>
      </c>
    </row>
    <row r="32">
      <c r="A32" s="0" t="s">
        <v>199</v>
      </c>
      <c r="B32" s="2">
        <v>0</v>
      </c>
      <c r="C32" s="2">
        <v>0</v>
      </c>
      <c r="D32" s="2">
        <v>0</v>
      </c>
      <c r="E32" s="2">
        <v>0</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6</v>
      </c>
      <c r="C34" s="2">
        <v>6</v>
      </c>
      <c r="D34" s="2">
        <v>6</v>
      </c>
      <c r="E34" s="2">
        <v>6</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4.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257</v>
      </c>
    </row>
    <row r="2">
      <c r="A2" s="1" t="s">
        <v>173</v>
      </c>
      <c r="B2" s="0" t="s">
        <v>87</v>
      </c>
    </row>
    <row r="3">
      <c r="A3" s="1" t="s">
        <v>174</v>
      </c>
      <c r="B3" s="0" t="s">
        <v>258</v>
      </c>
    </row>
    <row r="4">
      <c r="A4" s="1" t="s">
        <v>176</v>
      </c>
      <c r="B4" s="0">
        <f>IF($B$3="","NEW","Live")</f>
      </c>
    </row>
    <row r="6">
      <c r="A6" s="1" t="s">
        <v>177</v>
      </c>
    </row>
    <row r="7">
      <c r="A7" s="5" t="s">
        <v>178</v>
      </c>
      <c r="B7" s="0" t="s">
        <v>257</v>
      </c>
    </row>
    <row r="8">
      <c r="A8" s="5" t="s">
        <v>180</v>
      </c>
      <c r="B8" s="0">
        <v>5</v>
      </c>
    </row>
    <row r="9">
      <c r="A9" s="5" t="s">
        <v>181</v>
      </c>
      <c r="B9" s="0">
        <v>1</v>
      </c>
    </row>
    <row r="10">
      <c r="A10" s="5" t="s">
        <v>72</v>
      </c>
      <c r="B10" s="0" t="s">
        <v>83</v>
      </c>
    </row>
    <row r="11">
      <c r="A11" s="5" t="s">
        <v>73</v>
      </c>
      <c r="B11" s="0" t="s">
        <v>123</v>
      </c>
    </row>
    <row r="12">
      <c r="A12" s="5" t="s">
        <v>182</v>
      </c>
      <c r="B12" s="0" t="s">
        <v>80</v>
      </c>
    </row>
    <row r="13">
      <c r="A13" s="5" t="s">
        <v>75</v>
      </c>
      <c r="B13" s="0" t="s">
        <v>79</v>
      </c>
    </row>
    <row r="15">
      <c r="A15" s="1" t="s">
        <v>183</v>
      </c>
      <c r="B15" s="0">
        <v>0.5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150</v>
      </c>
      <c r="C24" s="0" t="s">
        <v>150</v>
      </c>
      <c r="D24" s="0" t="s">
        <v>150</v>
      </c>
      <c r="E24" s="0" t="s">
        <v>150</v>
      </c>
      <c r="F24" s="0" t="s">
        <v>143</v>
      </c>
    </row>
    <row r="25">
      <c r="A25" s="0" t="s">
        <v>191</v>
      </c>
      <c r="B25" s="0" t="s">
        <v>259</v>
      </c>
      <c r="C25" s="0" t="s">
        <v>259</v>
      </c>
      <c r="D25" s="0" t="s">
        <v>259</v>
      </c>
      <c r="E25" s="0" t="s">
        <v>259</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2</v>
      </c>
    </row>
    <row r="31">
      <c r="A31" s="0" t="s">
        <v>198</v>
      </c>
      <c r="B31" s="7">
        <v>1</v>
      </c>
      <c r="C31" s="7">
        <v>1</v>
      </c>
      <c r="D31" s="7">
        <v>1</v>
      </c>
      <c r="E31" s="7">
        <v>1</v>
      </c>
      <c r="F31" s="7">
        <v>1</v>
      </c>
    </row>
    <row r="32">
      <c r="A32" s="0" t="s">
        <v>199</v>
      </c>
      <c r="B32" s="2">
        <v>2</v>
      </c>
      <c r="C32" s="2">
        <v>2</v>
      </c>
      <c r="D32" s="2">
        <v>2</v>
      </c>
      <c r="E32" s="2">
        <v>2</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5.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260</v>
      </c>
    </row>
    <row r="2">
      <c r="A2" s="1" t="s">
        <v>173</v>
      </c>
      <c r="B2" s="0" t="s">
        <v>87</v>
      </c>
    </row>
    <row r="3">
      <c r="A3" s="1" t="s">
        <v>174</v>
      </c>
      <c r="B3" s="0" t="s">
        <v>261</v>
      </c>
    </row>
    <row r="4">
      <c r="A4" s="1" t="s">
        <v>176</v>
      </c>
      <c r="B4" s="0">
        <f>IF($B$3="","NEW","Live")</f>
      </c>
    </row>
    <row r="6">
      <c r="A6" s="1" t="s">
        <v>177</v>
      </c>
    </row>
    <row r="7">
      <c r="A7" s="5" t="s">
        <v>178</v>
      </c>
      <c r="B7" s="0" t="s">
        <v>262</v>
      </c>
    </row>
    <row r="8">
      <c r="A8" s="5" t="s">
        <v>180</v>
      </c>
      <c r="B8" s="0">
        <v>30</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2</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145</v>
      </c>
      <c r="C24" s="0" t="s">
        <v>145</v>
      </c>
      <c r="D24" s="0" t="s">
        <v>145</v>
      </c>
      <c r="E24" s="0" t="s">
        <v>145</v>
      </c>
      <c r="F24" s="0" t="s">
        <v>142</v>
      </c>
    </row>
    <row r="25">
      <c r="A25" s="0" t="s">
        <v>191</v>
      </c>
      <c r="B25" s="0" t="s">
        <v>263</v>
      </c>
      <c r="C25" s="0" t="s">
        <v>263</v>
      </c>
      <c r="D25" s="0" t="s">
        <v>263</v>
      </c>
      <c r="E25" s="0" t="s">
        <v>263</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2</v>
      </c>
      <c r="C32" s="2">
        <v>2</v>
      </c>
      <c r="D32" s="2">
        <v>2</v>
      </c>
      <c r="E32" s="2">
        <v>2</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6</v>
      </c>
      <c r="C34" s="2">
        <v>6</v>
      </c>
      <c r="D34" s="2">
        <v>6</v>
      </c>
      <c r="E34" s="2">
        <v>6</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6.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264</v>
      </c>
    </row>
    <row r="2">
      <c r="A2" s="1" t="s">
        <v>173</v>
      </c>
      <c r="B2" s="0" t="s">
        <v>87</v>
      </c>
    </row>
    <row r="3">
      <c r="A3" s="1" t="s">
        <v>174</v>
      </c>
      <c r="B3" s="0" t="s">
        <v>265</v>
      </c>
    </row>
    <row r="4">
      <c r="A4" s="1" t="s">
        <v>176</v>
      </c>
      <c r="B4" s="0">
        <f>IF($B$3="","NEW","Live")</f>
      </c>
    </row>
    <row r="6">
      <c r="A6" s="1" t="s">
        <v>177</v>
      </c>
    </row>
    <row r="7">
      <c r="A7" s="5" t="s">
        <v>178</v>
      </c>
      <c r="B7" s="0" t="s">
        <v>264</v>
      </c>
    </row>
    <row r="8">
      <c r="A8" s="5" t="s">
        <v>180</v>
      </c>
      <c r="B8" s="0">
        <v>25</v>
      </c>
    </row>
    <row r="9">
      <c r="A9" s="5" t="s">
        <v>181</v>
      </c>
      <c r="B9" s="0">
        <v>1</v>
      </c>
    </row>
    <row r="10">
      <c r="A10" s="5" t="s">
        <v>72</v>
      </c>
      <c r="B10" s="0" t="s">
        <v>83</v>
      </c>
    </row>
    <row r="11">
      <c r="A11" s="5" t="s">
        <v>73</v>
      </c>
      <c r="B11" s="0" t="s">
        <v>132</v>
      </c>
    </row>
    <row r="12">
      <c r="A12" s="5" t="s">
        <v>182</v>
      </c>
      <c r="B12" s="0" t="s">
        <v>91</v>
      </c>
    </row>
    <row r="13">
      <c r="A13" s="5" t="s">
        <v>75</v>
      </c>
      <c r="B13" s="0" t="s">
        <v>86</v>
      </c>
    </row>
    <row r="15">
      <c r="A15" s="1" t="s">
        <v>183</v>
      </c>
      <c r="B15" s="0">
        <v>1.5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137</v>
      </c>
      <c r="C24" s="0" t="s">
        <v>137</v>
      </c>
      <c r="D24" s="0" t="s">
        <v>137</v>
      </c>
      <c r="E24" s="0" t="s">
        <v>137</v>
      </c>
      <c r="F24" s="0" t="s">
        <v>142</v>
      </c>
    </row>
    <row r="25">
      <c r="A25" s="0" t="s">
        <v>191</v>
      </c>
      <c r="B25" s="0" t="s">
        <v>266</v>
      </c>
      <c r="C25" s="0" t="s">
        <v>266</v>
      </c>
      <c r="D25" s="0" t="s">
        <v>266</v>
      </c>
      <c r="E25" s="0" t="s">
        <v>266</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4</v>
      </c>
      <c r="C32" s="2">
        <v>4</v>
      </c>
      <c r="D32" s="2">
        <v>4</v>
      </c>
      <c r="E32" s="2">
        <v>4</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7.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179</v>
      </c>
    </row>
    <row r="2">
      <c r="A2" s="1" t="s">
        <v>173</v>
      </c>
      <c r="B2" s="0" t="s">
        <v>87</v>
      </c>
    </row>
    <row r="3">
      <c r="A3" s="1" t="s">
        <v>174</v>
      </c>
      <c r="B3" s="0" t="s">
        <v>267</v>
      </c>
    </row>
    <row r="4">
      <c r="A4" s="1" t="s">
        <v>176</v>
      </c>
      <c r="B4" s="0">
        <f>IF($B$3="","NEW","Live")</f>
      </c>
    </row>
    <row r="6">
      <c r="A6" s="1" t="s">
        <v>177</v>
      </c>
    </row>
    <row r="7">
      <c r="A7" s="5" t="s">
        <v>178</v>
      </c>
      <c r="B7" s="0" t="s">
        <v>179</v>
      </c>
    </row>
    <row r="8">
      <c r="A8" s="5" t="s">
        <v>180</v>
      </c>
      <c r="B8" s="0">
        <v>30</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1.5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101</v>
      </c>
      <c r="C24" s="0" t="s">
        <v>101</v>
      </c>
      <c r="D24" s="0" t="s">
        <v>101</v>
      </c>
      <c r="E24" s="0" t="s">
        <v>101</v>
      </c>
      <c r="F24" s="0" t="s">
        <v>142</v>
      </c>
    </row>
    <row r="25">
      <c r="A25" s="0" t="s">
        <v>191</v>
      </c>
      <c r="B25" s="0" t="s">
        <v>268</v>
      </c>
      <c r="C25" s="0" t="s">
        <v>268</v>
      </c>
      <c r="D25" s="0" t="s">
        <v>268</v>
      </c>
      <c r="E25" s="0" t="s">
        <v>268</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5</v>
      </c>
      <c r="C36" s="2">
        <v>5</v>
      </c>
      <c r="D36" s="2">
        <v>5</v>
      </c>
      <c r="E36" s="2">
        <v>5</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8.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269</v>
      </c>
    </row>
    <row r="2">
      <c r="A2" s="1" t="s">
        <v>173</v>
      </c>
      <c r="B2" s="0" t="s">
        <v>87</v>
      </c>
    </row>
    <row r="3">
      <c r="A3" s="1" t="s">
        <v>174</v>
      </c>
      <c r="B3" s="0" t="s">
        <v>270</v>
      </c>
    </row>
    <row r="4">
      <c r="A4" s="1" t="s">
        <v>176</v>
      </c>
      <c r="B4" s="0">
        <f>IF($B$3="","NEW","Live")</f>
      </c>
    </row>
    <row r="6">
      <c r="A6" s="1" t="s">
        <v>177</v>
      </c>
    </row>
    <row r="7">
      <c r="A7" s="5" t="s">
        <v>178</v>
      </c>
      <c r="B7" s="0" t="s">
        <v>271</v>
      </c>
    </row>
    <row r="8">
      <c r="A8" s="5" t="s">
        <v>180</v>
      </c>
      <c r="B8" s="0">
        <v>40</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3</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134</v>
      </c>
      <c r="C24" s="0" t="s">
        <v>143</v>
      </c>
      <c r="D24" s="0" t="s">
        <v>134</v>
      </c>
      <c r="E24" s="0" t="s">
        <v>134</v>
      </c>
      <c r="F24" s="0" t="s">
        <v>134</v>
      </c>
    </row>
    <row r="25">
      <c r="A25" s="0" t="s">
        <v>191</v>
      </c>
      <c r="B25" s="0" t="s">
        <v>192</v>
      </c>
      <c r="C25" s="0" t="s">
        <v>226</v>
      </c>
      <c r="D25" s="0" t="s">
        <v>192</v>
      </c>
      <c r="E25" s="0" t="s">
        <v>192</v>
      </c>
      <c r="F25" s="0" t="s">
        <v>192</v>
      </c>
    </row>
    <row r="26">
      <c r="A26" s="0" t="s">
        <v>194</v>
      </c>
      <c r="B26" s="0" t="s">
        <v>81</v>
      </c>
      <c r="C26" s="0" t="s">
        <v>87</v>
      </c>
      <c r="D26" s="0" t="s">
        <v>81</v>
      </c>
      <c r="E26" s="0" t="s">
        <v>81</v>
      </c>
      <c r="F26" s="0" t="s">
        <v>81</v>
      </c>
    </row>
    <row r="28">
      <c r="A28" s="1" t="s">
        <v>195</v>
      </c>
    </row>
    <row r="29">
      <c r="A29" s="0" t="s">
        <v>196</v>
      </c>
      <c r="B29" s="7">
        <v>1</v>
      </c>
      <c r="C29" s="7">
        <v>1</v>
      </c>
      <c r="D29" s="7">
        <v>1</v>
      </c>
      <c r="E29" s="7">
        <v>1</v>
      </c>
      <c r="F29" s="7">
        <v>1</v>
      </c>
    </row>
    <row r="30">
      <c r="A30" s="0" t="s">
        <v>197</v>
      </c>
      <c r="B30" s="7">
        <v>1</v>
      </c>
      <c r="C30" s="7">
        <v>2</v>
      </c>
      <c r="D30" s="7">
        <v>1</v>
      </c>
      <c r="E30" s="7">
        <v>1</v>
      </c>
      <c r="F30" s="7">
        <v>1</v>
      </c>
    </row>
    <row r="31">
      <c r="A31" s="0" t="s">
        <v>198</v>
      </c>
      <c r="B31" s="7">
        <v>1</v>
      </c>
      <c r="C31" s="7">
        <v>1</v>
      </c>
      <c r="D31" s="7">
        <v>1</v>
      </c>
      <c r="E31" s="7">
        <v>1</v>
      </c>
      <c r="F31" s="7">
        <v>1</v>
      </c>
    </row>
    <row r="32">
      <c r="A32" s="0" t="s">
        <v>199</v>
      </c>
      <c r="B32" s="2">
        <v>8</v>
      </c>
      <c r="C32" s="2">
        <v>0</v>
      </c>
      <c r="D32" s="2">
        <v>8</v>
      </c>
      <c r="E32" s="2">
        <v>8</v>
      </c>
      <c r="F32" s="2">
        <v>8</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2</v>
      </c>
      <c r="D51" s="2">
        <v>0</v>
      </c>
      <c r="E51" s="2">
        <v>0</v>
      </c>
      <c r="F51" s="2">
        <v>0</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19.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272</v>
      </c>
    </row>
    <row r="2">
      <c r="A2" s="1" t="s">
        <v>173</v>
      </c>
      <c r="B2" s="0" t="s">
        <v>87</v>
      </c>
    </row>
    <row r="3">
      <c r="A3" s="1" t="s">
        <v>174</v>
      </c>
      <c r="B3" s="0" t="s">
        <v>273</v>
      </c>
    </row>
    <row r="4">
      <c r="A4" s="1" t="s">
        <v>176</v>
      </c>
      <c r="B4" s="0">
        <f>IF($B$3="","NEW","Live")</f>
      </c>
    </row>
    <row r="6">
      <c r="A6" s="1" t="s">
        <v>177</v>
      </c>
    </row>
    <row r="7">
      <c r="A7" s="5" t="s">
        <v>178</v>
      </c>
      <c r="B7" s="0" t="s">
        <v>272</v>
      </c>
    </row>
    <row r="8">
      <c r="A8" s="5" t="s">
        <v>180</v>
      </c>
      <c r="B8" s="0">
        <v>15</v>
      </c>
    </row>
    <row r="9">
      <c r="A9" s="5" t="s">
        <v>181</v>
      </c>
      <c r="B9" s="0">
        <v>1</v>
      </c>
    </row>
    <row r="10">
      <c r="A10" s="5" t="s">
        <v>72</v>
      </c>
      <c r="B10" s="0" t="s">
        <v>89</v>
      </c>
    </row>
    <row r="11">
      <c r="A11" s="5" t="s">
        <v>73</v>
      </c>
      <c r="B11" s="0" t="s">
        <v>120</v>
      </c>
    </row>
    <row r="12">
      <c r="A12" s="5" t="s">
        <v>182</v>
      </c>
      <c r="B12" s="0" t="s">
        <v>91</v>
      </c>
    </row>
    <row r="13">
      <c r="A13" s="5" t="s">
        <v>75</v>
      </c>
      <c r="B13" s="0" t="s">
        <v>92</v>
      </c>
    </row>
    <row r="15">
      <c r="A15" s="1" t="s">
        <v>183</v>
      </c>
      <c r="B15" s="0">
        <v>1.88</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104</v>
      </c>
      <c r="C24" s="0" t="s">
        <v>104</v>
      </c>
      <c r="D24" s="0" t="s">
        <v>104</v>
      </c>
      <c r="E24" s="0" t="s">
        <v>104</v>
      </c>
      <c r="F24" s="0" t="s">
        <v>142</v>
      </c>
    </row>
    <row r="25">
      <c r="A25" s="0" t="s">
        <v>191</v>
      </c>
      <c r="B25" s="0" t="s">
        <v>274</v>
      </c>
      <c r="C25" s="0" t="s">
        <v>274</v>
      </c>
      <c r="D25" s="0" t="s">
        <v>274</v>
      </c>
      <c r="E25" s="0" t="s">
        <v>274</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3</v>
      </c>
      <c r="C30" s="7">
        <v>3</v>
      </c>
      <c r="D30" s="7">
        <v>3</v>
      </c>
      <c r="E30" s="7">
        <v>3</v>
      </c>
      <c r="F30" s="7">
        <v>1</v>
      </c>
    </row>
    <row r="31">
      <c r="A31" s="0" t="s">
        <v>198</v>
      </c>
      <c r="B31" s="7">
        <v>1</v>
      </c>
      <c r="C31" s="7">
        <v>1</v>
      </c>
      <c r="D31" s="7">
        <v>1</v>
      </c>
      <c r="E31" s="7">
        <v>1</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1</v>
      </c>
      <c r="C42" s="2">
        <v>1</v>
      </c>
      <c r="D42" s="2">
        <v>1</v>
      </c>
      <c r="E42" s="2">
        <v>1</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20.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275</v>
      </c>
    </row>
    <row r="2">
      <c r="A2" s="1" t="s">
        <v>173</v>
      </c>
      <c r="B2" s="0" t="s">
        <v>87</v>
      </c>
    </row>
    <row r="3">
      <c r="A3" s="1" t="s">
        <v>174</v>
      </c>
      <c r="B3" s="0" t="s">
        <v>276</v>
      </c>
    </row>
    <row r="4">
      <c r="A4" s="1" t="s">
        <v>176</v>
      </c>
      <c r="B4" s="0">
        <f>IF($B$3="","NEW","Live")</f>
      </c>
    </row>
    <row r="6">
      <c r="A6" s="1" t="s">
        <v>177</v>
      </c>
    </row>
    <row r="7">
      <c r="A7" s="5" t="s">
        <v>178</v>
      </c>
      <c r="B7" s="0" t="s">
        <v>275</v>
      </c>
    </row>
    <row r="8">
      <c r="A8" s="5" t="s">
        <v>180</v>
      </c>
      <c r="B8" s="0">
        <v>20</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1.5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135</v>
      </c>
      <c r="C24" s="0" t="s">
        <v>135</v>
      </c>
      <c r="D24" s="0" t="s">
        <v>135</v>
      </c>
      <c r="E24" s="0" t="s">
        <v>135</v>
      </c>
      <c r="F24" s="0" t="s">
        <v>142</v>
      </c>
    </row>
    <row r="25">
      <c r="A25" s="0" t="s">
        <v>191</v>
      </c>
      <c r="B25" s="0" t="s">
        <v>277</v>
      </c>
      <c r="C25" s="0" t="s">
        <v>277</v>
      </c>
      <c r="D25" s="0" t="s">
        <v>277</v>
      </c>
      <c r="E25" s="0" t="s">
        <v>277</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1</v>
      </c>
      <c r="C41" s="2">
        <v>1</v>
      </c>
      <c r="D41" s="2">
        <v>1</v>
      </c>
      <c r="E41" s="2">
        <v>1</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21.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278</v>
      </c>
    </row>
    <row r="2">
      <c r="A2" s="1" t="s">
        <v>173</v>
      </c>
      <c r="B2" s="0" t="s">
        <v>87</v>
      </c>
    </row>
    <row r="3">
      <c r="A3" s="1" t="s">
        <v>174</v>
      </c>
      <c r="B3" s="0" t="s">
        <v>279</v>
      </c>
    </row>
    <row r="4">
      <c r="A4" s="1" t="s">
        <v>176</v>
      </c>
      <c r="B4" s="0">
        <f>IF($B$3="","NEW","Live")</f>
      </c>
    </row>
    <row r="6">
      <c r="A6" s="1" t="s">
        <v>177</v>
      </c>
    </row>
    <row r="7">
      <c r="A7" s="5" t="s">
        <v>178</v>
      </c>
      <c r="B7" s="0" t="s">
        <v>280</v>
      </c>
    </row>
    <row r="8">
      <c r="A8" s="5" t="s">
        <v>180</v>
      </c>
      <c r="B8" s="0">
        <v>25</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c r="B15" s="0">
        <v>2</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160</v>
      </c>
      <c r="C24" s="0" t="s">
        <v>160</v>
      </c>
      <c r="D24" s="0" t="s">
        <v>160</v>
      </c>
      <c r="E24" s="0" t="s">
        <v>160</v>
      </c>
      <c r="F24" s="0" t="s">
        <v>142</v>
      </c>
    </row>
    <row r="25">
      <c r="A25" s="0" t="s">
        <v>191</v>
      </c>
      <c r="B25" s="0" t="s">
        <v>277</v>
      </c>
      <c r="C25" s="0" t="s">
        <v>277</v>
      </c>
      <c r="D25" s="0" t="s">
        <v>277</v>
      </c>
      <c r="E25" s="0" t="s">
        <v>277</v>
      </c>
      <c r="F25" s="0" t="s">
        <v>193</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9</v>
      </c>
      <c r="C31" s="7">
        <v>9</v>
      </c>
      <c r="D31" s="7">
        <v>9</v>
      </c>
      <c r="E31" s="7">
        <v>9</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1</v>
      </c>
      <c r="C41" s="2">
        <v>1</v>
      </c>
      <c r="D41" s="2">
        <v>1</v>
      </c>
      <c r="E41" s="2">
        <v>1</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22.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281</v>
      </c>
    </row>
    <row r="2">
      <c r="A2" s="1" t="s">
        <v>173</v>
      </c>
      <c r="B2" s="0" t="s">
        <v>87</v>
      </c>
    </row>
    <row r="3">
      <c r="A3" s="1" t="s">
        <v>174</v>
      </c>
      <c r="B3" s="0" t="s">
        <v>282</v>
      </c>
    </row>
    <row r="4">
      <c r="A4" s="1" t="s">
        <v>176</v>
      </c>
      <c r="B4" s="0">
        <f>IF($B$3="","NEW","Live")</f>
      </c>
    </row>
    <row r="6">
      <c r="A6" s="1" t="s">
        <v>177</v>
      </c>
    </row>
    <row r="7">
      <c r="A7" s="5" t="s">
        <v>178</v>
      </c>
      <c r="B7" s="0" t="s">
        <v>283</v>
      </c>
    </row>
    <row r="8">
      <c r="A8" s="5" t="s">
        <v>180</v>
      </c>
      <c r="B8" s="0">
        <v>20</v>
      </c>
    </row>
    <row r="9">
      <c r="A9" s="5" t="s">
        <v>181</v>
      </c>
      <c r="B9" s="0">
        <v>1</v>
      </c>
    </row>
    <row r="10">
      <c r="A10" s="5" t="s">
        <v>72</v>
      </c>
      <c r="B10" s="0" t="s">
        <v>83</v>
      </c>
    </row>
    <row r="11">
      <c r="A11" s="5" t="s">
        <v>73</v>
      </c>
      <c r="B11" s="0" t="s">
        <v>123</v>
      </c>
    </row>
    <row r="12">
      <c r="A12" s="5" t="s">
        <v>182</v>
      </c>
      <c r="B12" s="0" t="s">
        <v>91</v>
      </c>
    </row>
    <row r="13">
      <c r="A13" s="5" t="s">
        <v>75</v>
      </c>
      <c r="B13" s="0" t="s">
        <v>92</v>
      </c>
    </row>
    <row r="15">
      <c r="A15" s="1" t="s">
        <v>183</v>
      </c>
      <c r="B15" s="0">
        <v>1.5</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140</v>
      </c>
      <c r="C24" s="0" t="s">
        <v>140</v>
      </c>
      <c r="D24" s="0" t="s">
        <v>140</v>
      </c>
      <c r="E24" s="0" t="s">
        <v>140</v>
      </c>
      <c r="F24" s="0" t="s">
        <v>143</v>
      </c>
    </row>
    <row r="25">
      <c r="A25" s="0" t="s">
        <v>191</v>
      </c>
      <c r="B25" s="0" t="s">
        <v>284</v>
      </c>
      <c r="C25" s="0" t="s">
        <v>284</v>
      </c>
      <c r="D25" s="0" t="s">
        <v>284</v>
      </c>
      <c r="E25" s="0" t="s">
        <v>284</v>
      </c>
      <c r="F25" s="0" t="s">
        <v>226</v>
      </c>
    </row>
    <row r="26">
      <c r="A26" s="0" t="s">
        <v>194</v>
      </c>
      <c r="B26" s="0" t="s">
        <v>81</v>
      </c>
      <c r="C26" s="0" t="s">
        <v>81</v>
      </c>
      <c r="D26" s="0" t="s">
        <v>81</v>
      </c>
      <c r="E26" s="0" t="s">
        <v>81</v>
      </c>
      <c r="F26" s="0" t="s">
        <v>87</v>
      </c>
    </row>
    <row r="28">
      <c r="A28" s="1" t="s">
        <v>195</v>
      </c>
    </row>
    <row r="29">
      <c r="A29" s="0" t="s">
        <v>196</v>
      </c>
      <c r="B29" s="7">
        <v>1</v>
      </c>
      <c r="C29" s="7">
        <v>1</v>
      </c>
      <c r="D29" s="7">
        <v>1</v>
      </c>
      <c r="E29" s="7">
        <v>1</v>
      </c>
      <c r="F29" s="7">
        <v>1</v>
      </c>
    </row>
    <row r="30">
      <c r="A30" s="0" t="s">
        <v>197</v>
      </c>
      <c r="B30" s="7">
        <v>1</v>
      </c>
      <c r="C30" s="7">
        <v>1</v>
      </c>
      <c r="D30" s="7">
        <v>1</v>
      </c>
      <c r="E30" s="7">
        <v>1</v>
      </c>
      <c r="F30" s="7">
        <v>2</v>
      </c>
    </row>
    <row r="31">
      <c r="A31" s="0" t="s">
        <v>198</v>
      </c>
      <c r="B31" s="7">
        <v>1</v>
      </c>
      <c r="C31" s="7">
        <v>1</v>
      </c>
      <c r="D31" s="7">
        <v>1</v>
      </c>
      <c r="E31" s="7">
        <v>1</v>
      </c>
      <c r="F31" s="7">
        <v>1</v>
      </c>
    </row>
    <row r="32">
      <c r="A32" s="0" t="s">
        <v>199</v>
      </c>
      <c r="B32" s="2">
        <v>3</v>
      </c>
      <c r="C32" s="2">
        <v>3</v>
      </c>
      <c r="D32" s="2">
        <v>3</v>
      </c>
      <c r="E32" s="2">
        <v>3</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3</v>
      </c>
      <c r="C35" s="2">
        <v>3</v>
      </c>
      <c r="D35" s="2">
        <v>3</v>
      </c>
      <c r="E35" s="2">
        <v>3</v>
      </c>
      <c r="F35" s="2">
        <v>0</v>
      </c>
    </row>
    <row r="36">
      <c r="A36" s="0" t="s">
        <v>202</v>
      </c>
      <c r="B36" s="2">
        <v>0</v>
      </c>
      <c r="C36" s="2">
        <v>0</v>
      </c>
      <c r="D36" s="2">
        <v>0</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0</v>
      </c>
      <c r="F51" s="2">
        <v>2</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23.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171</v>
      </c>
      <c r="B1" s="0" t="s">
        <v>285</v>
      </c>
    </row>
    <row r="2">
      <c r="A2" s="1" t="s">
        <v>173</v>
      </c>
      <c r="B2" s="0" t="s">
        <v>87</v>
      </c>
    </row>
    <row r="3">
      <c r="A3" s="1" t="s">
        <v>174</v>
      </c>
      <c r="B3" s="0" t="s">
        <v>286</v>
      </c>
    </row>
    <row r="4">
      <c r="A4" s="1" t="s">
        <v>176</v>
      </c>
      <c r="B4" s="0">
        <f>IF($B$3="","NEW","Live")</f>
      </c>
    </row>
    <row r="6">
      <c r="A6" s="1" t="s">
        <v>177</v>
      </c>
    </row>
    <row r="7">
      <c r="A7" s="5" t="s">
        <v>178</v>
      </c>
      <c r="B7" s="0" t="s">
        <v>287</v>
      </c>
    </row>
    <row r="8">
      <c r="A8" s="5" t="s">
        <v>180</v>
      </c>
      <c r="B8" s="0">
        <v>1</v>
      </c>
    </row>
    <row r="9">
      <c r="A9" s="5" t="s">
        <v>181</v>
      </c>
      <c r="B9" s="0">
        <v>1</v>
      </c>
    </row>
    <row r="10">
      <c r="A10" s="5" t="s">
        <v>72</v>
      </c>
      <c r="B10" s="0" t="s">
        <v>83</v>
      </c>
    </row>
    <row r="11">
      <c r="A11" s="5" t="s">
        <v>73</v>
      </c>
      <c r="B11" s="0" t="s">
        <v>84</v>
      </c>
    </row>
    <row r="12">
      <c r="A12" s="5" t="s">
        <v>182</v>
      </c>
      <c r="B12" s="0" t="s">
        <v>91</v>
      </c>
    </row>
    <row r="13">
      <c r="A13" s="5" t="s">
        <v>75</v>
      </c>
      <c r="B13" s="0" t="s">
        <v>86</v>
      </c>
    </row>
    <row r="15">
      <c r="A15" s="1" t="s">
        <v>183</v>
      </c>
    </row>
    <row r="16">
      <c r="A16" s="1" t="s">
        <v>184</v>
      </c>
      <c r="B16" s="2">
        <f>IF($B$8="","",ROUND(($B$19*$B$9*pw_ActionScale+$B$8*pw_Health)/pw_Divisor,3))</f>
      </c>
    </row>
    <row r="17">
      <c r="A17" s="0" t="s">
        <v>185</v>
      </c>
      <c r="B17" s="2">
        <f>IF($B$15="","",ROUND($B$16-$B$15,3))</f>
      </c>
    </row>
    <row r="18">
      <c r="B18" s="2"/>
    </row>
    <row r="19">
      <c r="A19" s="0" t="s">
        <v>186</v>
      </c>
      <c r="B19" s="2">
        <f>IFERROR(AVERAGEIF(B$26:F$26,"Yes",B$54:F$54),0)</f>
      </c>
    </row>
    <row r="20">
      <c r="A20" s="0" t="s">
        <v>187</v>
      </c>
      <c r="B20" s="2">
        <f>IFERROR(AVERAGEIF(B$26:F$26,"Yes",B$32:F$32),0)</f>
      </c>
    </row>
    <row r="21">
      <c r="A21" s="0" t="s">
        <v>188</v>
      </c>
      <c r="B21" s="2">
        <f>IFERROR(AVERAGEIF(B$26:F$26,"Yes",B$55:F$55),0)</f>
      </c>
    </row>
    <row r="22">
      <c r="A22" s="0" t="s">
        <v>189</v>
      </c>
      <c r="B22" s="2">
        <f>IFERROR(AVERAGEIF(B$26:F$26,"Yes",B$52:F$52),0)</f>
      </c>
    </row>
    <row r="24">
      <c r="A24" s="1" t="s">
        <v>190</v>
      </c>
      <c r="B24" s="0" t="s">
        <v>101</v>
      </c>
      <c r="C24" s="0" t="s">
        <v>101</v>
      </c>
      <c r="D24" s="0" t="s">
        <v>101</v>
      </c>
      <c r="E24" s="0" t="s">
        <v>142</v>
      </c>
      <c r="F24" s="0" t="s">
        <v>142</v>
      </c>
    </row>
    <row r="25">
      <c r="A25" s="0" t="s">
        <v>191</v>
      </c>
      <c r="B25" s="0" t="s">
        <v>268</v>
      </c>
      <c r="C25" s="0" t="s">
        <v>268</v>
      </c>
      <c r="D25" s="0" t="s">
        <v>268</v>
      </c>
      <c r="E25" s="0" t="s">
        <v>193</v>
      </c>
      <c r="F25" s="0" t="s">
        <v>193</v>
      </c>
    </row>
    <row r="26">
      <c r="A26" s="0" t="s">
        <v>194</v>
      </c>
      <c r="B26" s="0" t="s">
        <v>81</v>
      </c>
      <c r="C26" s="0" t="s">
        <v>81</v>
      </c>
      <c r="D26" s="0" t="s">
        <v>81</v>
      </c>
      <c r="E26" s="0" t="s">
        <v>87</v>
      </c>
      <c r="F26" s="0" t="s">
        <v>87</v>
      </c>
    </row>
    <row r="28">
      <c r="A28" s="1" t="s">
        <v>195</v>
      </c>
    </row>
    <row r="29">
      <c r="A29" s="0" t="s">
        <v>196</v>
      </c>
      <c r="B29" s="7">
        <v>1</v>
      </c>
      <c r="C29" s="7">
        <v>1</v>
      </c>
      <c r="D29" s="7">
        <v>1</v>
      </c>
      <c r="E29" s="7">
        <v>1</v>
      </c>
      <c r="F29" s="7">
        <v>1</v>
      </c>
    </row>
    <row r="30">
      <c r="A30" s="0" t="s">
        <v>197</v>
      </c>
      <c r="B30" s="7">
        <v>1</v>
      </c>
      <c r="C30" s="7">
        <v>1</v>
      </c>
      <c r="D30" s="7">
        <v>1</v>
      </c>
      <c r="E30" s="7">
        <v>1</v>
      </c>
      <c r="F30" s="7">
        <v>1</v>
      </c>
    </row>
    <row r="31">
      <c r="A31" s="0" t="s">
        <v>198</v>
      </c>
      <c r="B31" s="7">
        <v>1</v>
      </c>
      <c r="C31" s="7">
        <v>1</v>
      </c>
      <c r="D31" s="7">
        <v>1</v>
      </c>
      <c r="E31" s="7">
        <v>1</v>
      </c>
      <c r="F31" s="7">
        <v>1</v>
      </c>
    </row>
    <row r="32">
      <c r="A32" s="0" t="s">
        <v>199</v>
      </c>
      <c r="B32" s="2">
        <v>3</v>
      </c>
      <c r="C32" s="2">
        <v>3</v>
      </c>
      <c r="D32" s="2">
        <v>3</v>
      </c>
      <c r="E32" s="2">
        <v>0</v>
      </c>
      <c r="F32" s="2">
        <v>0</v>
      </c>
    </row>
    <row r="33">
      <c r="A33" s="0" t="s">
        <v>69</v>
      </c>
      <c r="B33" s="2">
        <f>IFERROR(VLOOKUP(B$30,range_Power,2,TRUE),0)</f>
      </c>
      <c r="C33" s="2">
        <f>IFERROR(VLOOKUP(C$30,range_Power,2,TRUE),0)</f>
      </c>
      <c r="D33" s="2">
        <f>IFERROR(VLOOKUP(D$30,range_Power,2,TRUE),0)</f>
      </c>
      <c r="E33" s="2">
        <f>IFERROR(VLOOKUP(E$30,range_Power,2,TRUE),0)</f>
      </c>
      <c r="F33" s="2">
        <f>IFERROR(VLOOKUP(F$30,range_Power,2,TRUE),0)</f>
      </c>
    </row>
    <row r="34">
      <c r="A34" s="0" t="s">
        <v>200</v>
      </c>
      <c r="B34" s="2">
        <v>0</v>
      </c>
      <c r="C34" s="2">
        <v>0</v>
      </c>
      <c r="D34" s="2">
        <v>0</v>
      </c>
      <c r="E34" s="2">
        <v>0</v>
      </c>
      <c r="F34" s="2">
        <v>0</v>
      </c>
    </row>
    <row r="35">
      <c r="A35" s="0" t="s">
        <v>201</v>
      </c>
      <c r="B35" s="2">
        <v>0</v>
      </c>
      <c r="C35" s="2">
        <v>0</v>
      </c>
      <c r="D35" s="2">
        <v>0</v>
      </c>
      <c r="E35" s="2">
        <v>0</v>
      </c>
      <c r="F35" s="2">
        <v>0</v>
      </c>
    </row>
    <row r="36">
      <c r="A36" s="0" t="s">
        <v>202</v>
      </c>
      <c r="B36" s="2">
        <v>5</v>
      </c>
      <c r="C36" s="2">
        <v>5</v>
      </c>
      <c r="D36" s="2">
        <v>5</v>
      </c>
      <c r="E36" s="2">
        <v>0</v>
      </c>
      <c r="F36" s="2">
        <v>0</v>
      </c>
    </row>
    <row r="37">
      <c r="A37" s="0" t="s">
        <v>203</v>
      </c>
      <c r="B37" s="2">
        <v>0</v>
      </c>
      <c r="C37" s="2">
        <v>0</v>
      </c>
      <c r="D37" s="2">
        <v>0</v>
      </c>
      <c r="E37" s="2">
        <v>0</v>
      </c>
      <c r="F37" s="2">
        <v>0</v>
      </c>
    </row>
    <row r="38">
      <c r="A38" s="0" t="s">
        <v>204</v>
      </c>
      <c r="B38" s="2">
        <v>0</v>
      </c>
      <c r="C38" s="2">
        <v>0</v>
      </c>
      <c r="D38" s="2">
        <v>0</v>
      </c>
      <c r="E38" s="2">
        <v>0</v>
      </c>
      <c r="F38" s="2">
        <v>0</v>
      </c>
    </row>
    <row r="39">
      <c r="A39" s="0" t="s">
        <v>205</v>
      </c>
      <c r="B39" s="2">
        <v>0</v>
      </c>
      <c r="C39" s="2">
        <v>0</v>
      </c>
      <c r="D39" s="2">
        <v>0</v>
      </c>
      <c r="E39" s="2">
        <v>0</v>
      </c>
      <c r="F39" s="2">
        <v>0</v>
      </c>
    </row>
    <row r="40">
      <c r="A40" s="0" t="s">
        <v>206</v>
      </c>
      <c r="B40" s="2">
        <v>0</v>
      </c>
      <c r="C40" s="2">
        <v>0</v>
      </c>
      <c r="D40" s="2">
        <v>0</v>
      </c>
      <c r="E40" s="2">
        <v>0</v>
      </c>
      <c r="F40" s="2">
        <v>0</v>
      </c>
    </row>
    <row r="41">
      <c r="A41" s="0" t="s">
        <v>207</v>
      </c>
      <c r="B41" s="2">
        <v>0</v>
      </c>
      <c r="C41" s="2">
        <v>0</v>
      </c>
      <c r="D41" s="2">
        <v>0</v>
      </c>
      <c r="E41" s="2">
        <v>0</v>
      </c>
      <c r="F41" s="2">
        <v>0</v>
      </c>
    </row>
    <row r="42">
      <c r="A42" s="0" t="s">
        <v>208</v>
      </c>
      <c r="B42" s="2">
        <v>0</v>
      </c>
      <c r="C42" s="2">
        <v>0</v>
      </c>
      <c r="D42" s="2">
        <v>0</v>
      </c>
      <c r="E42" s="2">
        <v>0</v>
      </c>
      <c r="F42" s="2">
        <v>0</v>
      </c>
    </row>
    <row r="43">
      <c r="A43" s="0" t="s">
        <v>209</v>
      </c>
      <c r="B43" s="2">
        <v>0</v>
      </c>
      <c r="C43" s="2">
        <v>0</v>
      </c>
      <c r="D43" s="2">
        <v>0</v>
      </c>
      <c r="E43" s="2">
        <v>0</v>
      </c>
      <c r="F43" s="2">
        <v>0</v>
      </c>
    </row>
    <row r="44">
      <c r="A44" s="0" t="s">
        <v>210</v>
      </c>
      <c r="B44" s="2">
        <v>0</v>
      </c>
      <c r="C44" s="2">
        <v>0</v>
      </c>
      <c r="D44" s="2">
        <v>0</v>
      </c>
      <c r="E44" s="2">
        <v>0</v>
      </c>
      <c r="F44" s="2">
        <v>0</v>
      </c>
    </row>
    <row r="45">
      <c r="A45" s="0" t="s">
        <v>211</v>
      </c>
      <c r="B45" s="2">
        <v>0</v>
      </c>
      <c r="C45" s="2">
        <v>0</v>
      </c>
      <c r="D45" s="2">
        <v>0</v>
      </c>
      <c r="E45" s="2">
        <v>0</v>
      </c>
      <c r="F45" s="2">
        <v>0</v>
      </c>
    </row>
    <row r="46">
      <c r="A46" s="0" t="s">
        <v>212</v>
      </c>
      <c r="B46" s="2">
        <v>0</v>
      </c>
      <c r="C46" s="2">
        <v>0</v>
      </c>
      <c r="D46" s="2">
        <v>0</v>
      </c>
      <c r="E46" s="2">
        <v>0</v>
      </c>
      <c r="F46" s="2">
        <v>0</v>
      </c>
    </row>
    <row r="47">
      <c r="A47" s="0" t="s">
        <v>213</v>
      </c>
      <c r="B47" s="2">
        <v>0</v>
      </c>
      <c r="C47" s="2">
        <v>0</v>
      </c>
      <c r="D47" s="2">
        <v>0</v>
      </c>
      <c r="E47" s="2">
        <v>0</v>
      </c>
      <c r="F47" s="2">
        <v>0</v>
      </c>
    </row>
    <row r="48">
      <c r="A48" s="0" t="s">
        <v>214</v>
      </c>
      <c r="B48" s="2">
        <v>0</v>
      </c>
      <c r="C48" s="2">
        <v>0</v>
      </c>
      <c r="D48" s="2">
        <v>0</v>
      </c>
      <c r="E48" s="2">
        <v>0</v>
      </c>
      <c r="F48" s="2">
        <v>0</v>
      </c>
    </row>
    <row r="49">
      <c r="A49" s="0" t="s">
        <v>215</v>
      </c>
      <c r="B49" s="2">
        <v>0</v>
      </c>
      <c r="C49" s="2">
        <v>0</v>
      </c>
      <c r="D49" s="2">
        <v>0</v>
      </c>
      <c r="E49" s="2">
        <v>0</v>
      </c>
      <c r="F49" s="2">
        <v>0</v>
      </c>
    </row>
    <row r="50">
      <c r="A50" s="0" t="s">
        <v>216</v>
      </c>
      <c r="B50" s="2">
        <v>0</v>
      </c>
      <c r="C50" s="2">
        <v>0</v>
      </c>
      <c r="D50" s="2">
        <v>0</v>
      </c>
      <c r="E50" s="2">
        <v>0</v>
      </c>
      <c r="F50" s="2">
        <v>0</v>
      </c>
    </row>
    <row r="51">
      <c r="A51" s="0" t="s">
        <v>217</v>
      </c>
      <c r="B51" s="2">
        <v>0</v>
      </c>
      <c r="C51" s="2">
        <v>0</v>
      </c>
      <c r="D51" s="2">
        <v>0</v>
      </c>
      <c r="E51" s="2">
        <v>1</v>
      </c>
      <c r="F51" s="2">
        <v>1</v>
      </c>
    </row>
    <row r="52">
      <c r="A52" s="0" t="s">
        <v>218</v>
      </c>
      <c r="B52" s="2">
        <v>0</v>
      </c>
      <c r="C52" s="2">
        <v>0</v>
      </c>
      <c r="D52" s="2">
        <v>0</v>
      </c>
      <c r="E52" s="2">
        <v>0</v>
      </c>
      <c r="F52" s="2">
        <v>0</v>
      </c>
    </row>
    <row r="53">
      <c r="A53" s="0" t="s">
        <v>219</v>
      </c>
      <c r="B53" s="7">
        <v>0</v>
      </c>
      <c r="C53" s="7">
        <v>0</v>
      </c>
      <c r="D53" s="7">
        <v>0</v>
      </c>
      <c r="E53" s="7">
        <v>0</v>
      </c>
      <c r="F53" s="7">
        <v>0</v>
      </c>
    </row>
    <row r="54">
      <c r="A54" s="1" t="s">
        <v>220</v>
      </c>
      <c r="B54" s="2">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2">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2">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2">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2">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221</v>
      </c>
      <c r="B55" s="2">
        <f>B$54-B$32*pw_Damage-B$33-B$52*pw_Summon</f>
      </c>
      <c r="C55" s="2">
        <f>C$54-C$32*pw_Damage-C$33-C$52*pw_Summon</f>
      </c>
      <c r="D55" s="2">
        <f>D$54-D$32*pw_Damage-D$33-D$52*pw_Summon</f>
      </c>
      <c r="E55" s="2">
        <f>E$54-E$32*pw_Damage-E$33-E$52*pw_Summon</f>
      </c>
      <c r="F55" s="2">
        <f>F$54-F$32*pw_Damage-F$33-F$52*pw_Summon</f>
      </c>
    </row>
    <row r="57">
      <c r="A57" s="1" t="s">
        <v>222</v>
      </c>
      <c r="B57" s="3"/>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24.xml><?xml version="1.0" encoding="utf-8"?>
<worksheet xmlns:r="http://schemas.openxmlformats.org/officeDocument/2006/relationships" xmlns="http://schemas.openxmlformats.org/spreadsheetml/2006/main">
  <dimension ref="A1:T22"/>
  <sheetViews>
    <sheetView workbookViewId="0" tabSelected="0">
      <pane xSplit="3" ySplit="1" topLeftCell="D2" state="frozen" activePane="bottomRight"/>
      <selection pane="topRight" activeCell="D1" sqref="D1"/>
      <selection pane="bottomLeft" activeCell="A2" sqref="A2"/>
      <selection pane="bottomRight" activeCell="A1" sqref="A1"/>
    </sheetView>
  </sheetViews>
  <sheetFormatPr defaultRowHeight="15"/>
  <cols>
    <col min="1" max="1" width="22" customWidth="1"/>
    <col min="2" max="2" width="10" customWidth="1"/>
    <col min="4" max="4" width="16" customWidth="1"/>
    <col min="8" max="8" width="18" customWidth="1"/>
  </cols>
  <sheetData>
    <row r="1">
      <c r="A1" s="1" t="s">
        <v>288</v>
      </c>
      <c r="B1" s="1" t="s">
        <v>174</v>
      </c>
      <c r="C1" s="1" t="s">
        <v>173</v>
      </c>
      <c r="D1" s="1" t="s">
        <v>178</v>
      </c>
      <c r="E1" s="1" t="s">
        <v>180</v>
      </c>
      <c r="F1" s="1" t="s">
        <v>289</v>
      </c>
      <c r="G1" s="1" t="s">
        <v>72</v>
      </c>
      <c r="H1" s="1" t="s">
        <v>73</v>
      </c>
      <c r="I1" s="1" t="s">
        <v>182</v>
      </c>
      <c r="J1" s="1" t="s">
        <v>75</v>
      </c>
      <c r="K1" s="1" t="s">
        <v>290</v>
      </c>
      <c r="L1" s="1" t="s">
        <v>291</v>
      </c>
      <c r="M1" s="1" t="s">
        <v>292</v>
      </c>
      <c r="N1" s="1" t="s">
        <v>293</v>
      </c>
      <c r="O1" s="1" t="s">
        <v>294</v>
      </c>
      <c r="P1" s="1" t="s">
        <v>295</v>
      </c>
      <c r="Q1" s="1" t="s">
        <v>296</v>
      </c>
      <c r="R1" s="1" t="s">
        <v>297</v>
      </c>
      <c r="S1" s="1" t="s">
        <v>298</v>
      </c>
      <c r="T1" s="1" t="s">
        <v>299</v>
      </c>
    </row>
    <row r="2">
      <c r="A2" s="0" t="s">
        <v>223</v>
      </c>
      <c r="B2" s="0" t="s">
        <v>224</v>
      </c>
      <c r="C2" s="0" t="s">
        <v>87</v>
      </c>
      <c r="D2" s="0" t="s">
        <v>223</v>
      </c>
      <c r="E2" s="0">
        <v>20</v>
      </c>
      <c r="F2" s="0">
        <v>1</v>
      </c>
      <c r="G2" s="0" t="s">
        <v>83</v>
      </c>
      <c r="H2" s="0" t="s">
        <v>123</v>
      </c>
      <c r="I2" s="0" t="s">
        <v>91</v>
      </c>
      <c r="J2" s="0" t="s">
        <v>86</v>
      </c>
      <c r="K2" s="0">
        <v>5</v>
      </c>
      <c r="L2" s="2">
        <f>'Bat'!B20</f>
      </c>
      <c r="M2" s="2">
        <f>'Bat'!B21</f>
      </c>
      <c r="N2" s="2">
        <f>'Bat'!B22</f>
      </c>
      <c r="O2" s="2">
        <f>'Bat'!B19</f>
      </c>
      <c r="P2" s="2">
        <f>IF(E2="","",ROUND((O2*F2*pw_ActionScale+E2*pw_Health)/pw_Divisor,3))</f>
      </c>
      <c r="Q2" s="2">
        <v>1.47</v>
      </c>
      <c r="R2" s="2">
        <f>IF(Q2="",P2,Q2)</f>
      </c>
      <c r="S2" s="2">
        <f>IF(Q2="","",ROUND(P2-Q2,3))</f>
      </c>
      <c r="T2" s="0">
        <f>IF(S2="","",IF(ABS(S2)&lt;=P2*pw_Tolerance,"OK",IF(S2&gt;0,"OVER","UNDER")))</f>
      </c>
    </row>
    <row r="3">
      <c r="A3" s="0" t="s">
        <v>285</v>
      </c>
      <c r="B3" s="0" t="s">
        <v>286</v>
      </c>
      <c r="C3" s="0" t="s">
        <v>87</v>
      </c>
      <c r="D3" s="0" t="s">
        <v>287</v>
      </c>
      <c r="E3" s="0">
        <v>1</v>
      </c>
      <c r="F3" s="0">
        <v>1</v>
      </c>
      <c r="G3" s="0" t="s">
        <v>83</v>
      </c>
      <c r="H3" s="0" t="s">
        <v>84</v>
      </c>
      <c r="I3" s="0" t="s">
        <v>91</v>
      </c>
      <c r="J3" s="0" t="s">
        <v>86</v>
      </c>
      <c r="K3" s="0">
        <v>5</v>
      </c>
      <c r="L3" s="2">
        <f>'BrittleSkeleton'!B20</f>
      </c>
      <c r="M3" s="2">
        <f>'BrittleSkeleton'!B21</f>
      </c>
      <c r="N3" s="2">
        <f>'BrittleSkeleton'!B22</f>
      </c>
      <c r="O3" s="2">
        <f>'BrittleSkeleton'!B19</f>
      </c>
      <c r="P3" s="2">
        <f>IF(E3="","",ROUND((O3*F3*pw_ActionScale+E3*pw_Health)/pw_Divisor,3))</f>
      </c>
      <c r="Q3" s="2"/>
      <c r="R3" s="2">
        <f>IF(Q3="",P3,Q3)</f>
      </c>
      <c r="S3" s="2">
        <f>IF(Q3="","",ROUND(P3-Q3,3))</f>
      </c>
      <c r="T3" s="0">
        <f>IF(S3="","",IF(ABS(S3)&lt;=P3*pw_Tolerance,"OK",IF(S3&gt;0,"OVER","UNDER")))</f>
      </c>
    </row>
    <row r="4">
      <c r="A4" s="0" t="s">
        <v>227</v>
      </c>
      <c r="B4" s="0" t="s">
        <v>228</v>
      </c>
      <c r="C4" s="0" t="s">
        <v>87</v>
      </c>
      <c r="D4" s="0" t="s">
        <v>227</v>
      </c>
      <c r="E4" s="0">
        <v>40</v>
      </c>
      <c r="F4" s="0">
        <v>1</v>
      </c>
      <c r="G4" s="0" t="s">
        <v>83</v>
      </c>
      <c r="H4" s="0" t="s">
        <v>84</v>
      </c>
      <c r="I4" s="0" t="s">
        <v>91</v>
      </c>
      <c r="J4" s="0" t="s">
        <v>86</v>
      </c>
      <c r="K4" s="0">
        <v>5</v>
      </c>
      <c r="L4" s="2">
        <f>'Crab'!B20</f>
      </c>
      <c r="M4" s="2">
        <f>'Crab'!B21</f>
      </c>
      <c r="N4" s="2">
        <f>'Crab'!B22</f>
      </c>
      <c r="O4" s="2">
        <f>'Crab'!B19</f>
      </c>
      <c r="P4" s="2">
        <f>IF(E4="","",ROUND((O4*F4*pw_ActionScale+E4*pw_Health)/pw_Divisor,3))</f>
      </c>
      <c r="Q4" s="2">
        <v>2</v>
      </c>
      <c r="R4" s="2">
        <f>IF(Q4="",P4,Q4)</f>
      </c>
      <c r="S4" s="2">
        <f>IF(Q4="","",ROUND(P4-Q4,3))</f>
      </c>
      <c r="T4" s="0">
        <f>IF(S4="","",IF(ABS(S4)&lt;=P4*pw_Tolerance,"OK",IF(S4&gt;0,"OVER","UNDER")))</f>
      </c>
    </row>
    <row r="5">
      <c r="A5" s="0" t="s">
        <v>230</v>
      </c>
      <c r="B5" s="0" t="s">
        <v>231</v>
      </c>
      <c r="C5" s="0" t="s">
        <v>87</v>
      </c>
      <c r="D5" s="0" t="s">
        <v>89</v>
      </c>
      <c r="E5" s="0">
        <v>25</v>
      </c>
      <c r="F5" s="0">
        <v>1</v>
      </c>
      <c r="G5" s="0" t="s">
        <v>89</v>
      </c>
      <c r="H5" s="0" t="s">
        <v>111</v>
      </c>
      <c r="I5" s="0" t="s">
        <v>91</v>
      </c>
      <c r="J5" s="0" t="s">
        <v>92</v>
      </c>
      <c r="K5" s="0">
        <v>5</v>
      </c>
      <c r="L5" s="2">
        <f>'EnemyRanger'!B20</f>
      </c>
      <c r="M5" s="2">
        <f>'EnemyRanger'!B21</f>
      </c>
      <c r="N5" s="2">
        <f>'EnemyRanger'!B22</f>
      </c>
      <c r="O5" s="2">
        <f>'EnemyRanger'!B19</f>
      </c>
      <c r="P5" s="2">
        <f>IF(E5="","",ROUND((O5*F5*pw_ActionScale+E5*pw_Health)/pw_Divisor,3))</f>
      </c>
      <c r="Q5" s="2">
        <v>3.5</v>
      </c>
      <c r="R5" s="2">
        <f>IF(Q5="",P5,Q5)</f>
      </c>
      <c r="S5" s="2">
        <f>IF(Q5="","",ROUND(P5-Q5,3))</f>
      </c>
      <c r="T5" s="0">
        <f>IF(S5="","",IF(ABS(S5)&lt;=P5*pw_Tolerance,"OK",IF(S5&gt;0,"OVER","UNDER")))</f>
      </c>
    </row>
    <row r="6">
      <c r="A6" s="0" t="s">
        <v>233</v>
      </c>
      <c r="B6" s="0" t="s">
        <v>234</v>
      </c>
      <c r="C6" s="0" t="s">
        <v>87</v>
      </c>
      <c r="D6" s="0" t="s">
        <v>235</v>
      </c>
      <c r="E6" s="0">
        <v>15</v>
      </c>
      <c r="F6" s="0">
        <v>1</v>
      </c>
      <c r="G6" s="0" t="s">
        <v>89</v>
      </c>
      <c r="H6" s="0" t="s">
        <v>111</v>
      </c>
      <c r="I6" s="0" t="s">
        <v>91</v>
      </c>
      <c r="J6" s="0" t="s">
        <v>92</v>
      </c>
      <c r="K6" s="0">
        <v>5</v>
      </c>
      <c r="L6" s="2">
        <f>'FlyingEye'!B20</f>
      </c>
      <c r="M6" s="2">
        <f>'FlyingEye'!B21</f>
      </c>
      <c r="N6" s="2">
        <f>'FlyingEye'!B22</f>
      </c>
      <c r="O6" s="2">
        <f>'FlyingEye'!B19</f>
      </c>
      <c r="P6" s="2">
        <f>IF(E6="","",ROUND((O6*F6*pw_ActionScale+E6*pw_Health)/pw_Divisor,3))</f>
      </c>
      <c r="Q6" s="2">
        <v>1.68</v>
      </c>
      <c r="R6" s="2">
        <f>IF(Q6="",P6,Q6)</f>
      </c>
      <c r="S6" s="2">
        <f>IF(Q6="","",ROUND(P6-Q6,3))</f>
      </c>
      <c r="T6" s="0">
        <f>IF(S6="","",IF(ABS(S6)&lt;=P6*pw_Tolerance,"OK",IF(S6&gt;0,"OVER","UNDER")))</f>
      </c>
    </row>
    <row r="7">
      <c r="A7" s="0" t="s">
        <v>237</v>
      </c>
      <c r="B7" s="0" t="s">
        <v>238</v>
      </c>
      <c r="C7" s="0" t="s">
        <v>87</v>
      </c>
      <c r="D7" s="0" t="s">
        <v>237</v>
      </c>
      <c r="E7" s="0">
        <v>20</v>
      </c>
      <c r="F7" s="0">
        <v>1</v>
      </c>
      <c r="G7" s="0" t="s">
        <v>83</v>
      </c>
      <c r="H7" s="0" t="s">
        <v>132</v>
      </c>
      <c r="I7" s="0" t="s">
        <v>91</v>
      </c>
      <c r="J7" s="0" t="s">
        <v>86</v>
      </c>
      <c r="K7" s="0">
        <v>5</v>
      </c>
      <c r="L7" s="2">
        <f>'Goblin'!B20</f>
      </c>
      <c r="M7" s="2">
        <f>'Goblin'!B21</f>
      </c>
      <c r="N7" s="2">
        <f>'Goblin'!B22</f>
      </c>
      <c r="O7" s="2">
        <f>'Goblin'!B19</f>
      </c>
      <c r="P7" s="2">
        <f>IF(E7="","",ROUND((O7*F7*pw_ActionScale+E7*pw_Health)/pw_Divisor,3))</f>
      </c>
      <c r="Q7" s="2">
        <v>1.5</v>
      </c>
      <c r="R7" s="2">
        <f>IF(Q7="",P7,Q7)</f>
      </c>
      <c r="S7" s="2">
        <f>IF(Q7="","",ROUND(P7-Q7,3))</f>
      </c>
      <c r="T7" s="0">
        <f>IF(S7="","",IF(ABS(S7)&lt;=P7*pw_Tolerance,"OK",IF(S7&gt;0,"OVER","UNDER")))</f>
      </c>
    </row>
    <row r="8">
      <c r="A8" s="0" t="s">
        <v>239</v>
      </c>
      <c r="B8" s="0" t="s">
        <v>240</v>
      </c>
      <c r="C8" s="0" t="s">
        <v>87</v>
      </c>
      <c r="D8" s="0" t="s">
        <v>239</v>
      </c>
      <c r="E8" s="0">
        <v>60</v>
      </c>
      <c r="F8" s="0">
        <v>1</v>
      </c>
      <c r="G8" s="0" t="s">
        <v>94</v>
      </c>
      <c r="H8" s="0" t="s">
        <v>84</v>
      </c>
      <c r="I8" s="0" t="s">
        <v>91</v>
      </c>
      <c r="J8" s="0" t="s">
        <v>86</v>
      </c>
      <c r="K8" s="0">
        <v>5</v>
      </c>
      <c r="L8" s="2">
        <f>'Golem'!B20</f>
      </c>
      <c r="M8" s="2">
        <f>'Golem'!B21</f>
      </c>
      <c r="N8" s="2">
        <f>'Golem'!B22</f>
      </c>
      <c r="O8" s="2">
        <f>'Golem'!B19</f>
      </c>
      <c r="P8" s="2">
        <f>IF(E8="","",ROUND((O8*F8*pw_ActionScale+E8*pw_Health)/pw_Divisor,3))</f>
      </c>
      <c r="Q8" s="2">
        <v>2.65</v>
      </c>
      <c r="R8" s="2">
        <f>IF(Q8="",P8,Q8)</f>
      </c>
      <c r="S8" s="2">
        <f>IF(Q8="","",ROUND(P8-Q8,3))</f>
      </c>
      <c r="T8" s="0">
        <f>IF(S8="","",IF(ABS(S8)&lt;=P8*pw_Tolerance,"OK",IF(S8&gt;0,"OVER","UNDER")))</f>
      </c>
    </row>
    <row r="9">
      <c r="A9" s="0" t="s">
        <v>242</v>
      </c>
      <c r="B9" s="0" t="s">
        <v>243</v>
      </c>
      <c r="C9" s="0" t="s">
        <v>87</v>
      </c>
      <c r="D9" s="0" t="s">
        <v>244</v>
      </c>
      <c r="E9" s="0">
        <v>50</v>
      </c>
      <c r="F9" s="0">
        <v>1</v>
      </c>
      <c r="G9" s="0" t="s">
        <v>83</v>
      </c>
      <c r="H9" s="0" t="s">
        <v>105</v>
      </c>
      <c r="I9" s="0" t="s">
        <v>91</v>
      </c>
      <c r="J9" s="0" t="s">
        <v>86</v>
      </c>
      <c r="K9" s="0">
        <v>5</v>
      </c>
      <c r="L9" s="2">
        <f>'HeavyBandit'!B20</f>
      </c>
      <c r="M9" s="2">
        <f>'HeavyBandit'!B21</f>
      </c>
      <c r="N9" s="2">
        <f>'HeavyBandit'!B22</f>
      </c>
      <c r="O9" s="2">
        <f>'HeavyBandit'!B19</f>
      </c>
      <c r="P9" s="2">
        <f>IF(E9="","",ROUND((O9*F9*pw_ActionScale+E9*pw_Health)/pw_Divisor,3))</f>
      </c>
      <c r="Q9" s="2">
        <v>3.5</v>
      </c>
      <c r="R9" s="2">
        <f>IF(Q9="",P9,Q9)</f>
      </c>
      <c r="S9" s="2">
        <f>IF(Q9="","",ROUND(P9-Q9,3))</f>
      </c>
      <c r="T9" s="0">
        <f>IF(S9="","",IF(ABS(S9)&lt;=P9*pw_Tolerance,"OK",IF(S9&gt;0,"OVER","UNDER")))</f>
      </c>
    </row>
    <row r="10">
      <c r="A10" s="0" t="s">
        <v>246</v>
      </c>
      <c r="B10" s="0" t="s">
        <v>247</v>
      </c>
      <c r="C10" s="0" t="s">
        <v>87</v>
      </c>
      <c r="D10" s="0" t="s">
        <v>248</v>
      </c>
      <c r="E10" s="0">
        <v>30</v>
      </c>
      <c r="F10" s="0">
        <v>1</v>
      </c>
      <c r="G10" s="0" t="s">
        <v>83</v>
      </c>
      <c r="H10" s="0" t="s">
        <v>132</v>
      </c>
      <c r="I10" s="0" t="s">
        <v>91</v>
      </c>
      <c r="J10" s="0" t="s">
        <v>92</v>
      </c>
      <c r="K10" s="0">
        <v>5</v>
      </c>
      <c r="L10" s="2">
        <f>'LightBandit'!B20</f>
      </c>
      <c r="M10" s="2">
        <f>'LightBandit'!B21</f>
      </c>
      <c r="N10" s="2">
        <f>'LightBandit'!B22</f>
      </c>
      <c r="O10" s="2">
        <f>'LightBandit'!B19</f>
      </c>
      <c r="P10" s="2">
        <f>IF(E10="","",ROUND((O10*F10*pw_ActionScale+E10*pw_Health)/pw_Divisor,3))</f>
      </c>
      <c r="Q10" s="2">
        <v>2.5</v>
      </c>
      <c r="R10" s="2">
        <f>IF(Q10="",P10,Q10)</f>
      </c>
      <c r="S10" s="2">
        <f>IF(Q10="","",ROUND(P10-Q10,3))</f>
      </c>
      <c r="T10" s="0">
        <f>IF(S10="","",IF(ABS(S10)&lt;=P10*pw_Tolerance,"OK",IF(S10&gt;0,"OVER","UNDER")))</f>
      </c>
    </row>
    <row r="11">
      <c r="A11" s="0" t="s">
        <v>251</v>
      </c>
      <c r="B11" s="0" t="s">
        <v>252</v>
      </c>
      <c r="C11" s="0" t="s">
        <v>87</v>
      </c>
      <c r="D11" s="0" t="s">
        <v>251</v>
      </c>
      <c r="E11" s="0">
        <v>35</v>
      </c>
      <c r="F11" s="0">
        <v>1</v>
      </c>
      <c r="G11" s="0" t="s">
        <v>83</v>
      </c>
      <c r="H11" s="0" t="s">
        <v>90</v>
      </c>
      <c r="I11" s="0" t="s">
        <v>91</v>
      </c>
      <c r="J11" s="0" t="s">
        <v>86</v>
      </c>
      <c r="K11" s="0">
        <v>5</v>
      </c>
      <c r="L11" s="2">
        <f>'Mimic'!B20</f>
      </c>
      <c r="M11" s="2">
        <f>'Mimic'!B21</f>
      </c>
      <c r="N11" s="2">
        <f>'Mimic'!B22</f>
      </c>
      <c r="O11" s="2">
        <f>'Mimic'!B19</f>
      </c>
      <c r="P11" s="2">
        <f>IF(E11="","",ROUND((O11*F11*pw_ActionScale+E11*pw_Health)/pw_Divisor,3))</f>
      </c>
      <c r="Q11" s="2">
        <v>2.5</v>
      </c>
      <c r="R11" s="2">
        <f>IF(Q11="",P11,Q11)</f>
      </c>
      <c r="S11" s="2">
        <f>IF(Q11="","",ROUND(P11-Q11,3))</f>
      </c>
      <c r="T11" s="0">
        <f>IF(S11="","",IF(ABS(S11)&lt;=P11*pw_Tolerance,"OK",IF(S11&gt;0,"OVER","UNDER")))</f>
      </c>
    </row>
    <row r="12">
      <c r="A12" s="0" t="s">
        <v>254</v>
      </c>
      <c r="B12" s="0" t="s">
        <v>255</v>
      </c>
      <c r="C12" s="0" t="s">
        <v>87</v>
      </c>
      <c r="D12" s="0" t="s">
        <v>254</v>
      </c>
      <c r="E12" s="0">
        <v>30</v>
      </c>
      <c r="F12" s="0">
        <v>1</v>
      </c>
      <c r="G12" s="0" t="s">
        <v>89</v>
      </c>
      <c r="H12" s="0" t="s">
        <v>84</v>
      </c>
      <c r="I12" s="0" t="s">
        <v>91</v>
      </c>
      <c r="J12" s="0" t="s">
        <v>86</v>
      </c>
      <c r="K12" s="0">
        <v>5</v>
      </c>
      <c r="L12" s="2">
        <f>'Mushroom'!B20</f>
      </c>
      <c r="M12" s="2">
        <f>'Mushroom'!B21</f>
      </c>
      <c r="N12" s="2">
        <f>'Mushroom'!B22</f>
      </c>
      <c r="O12" s="2">
        <f>'Mushroom'!B19</f>
      </c>
      <c r="P12" s="2">
        <f>IF(E12="","",ROUND((O12*F12*pw_ActionScale+E12*pw_Health)/pw_Divisor,3))</f>
      </c>
      <c r="Q12" s="2">
        <v>2</v>
      </c>
      <c r="R12" s="2">
        <f>IF(Q12="",P12,Q12)</f>
      </c>
      <c r="S12" s="2">
        <f>IF(Q12="","",ROUND(P12-Q12,3))</f>
      </c>
      <c r="T12" s="0">
        <f>IF(S12="","",IF(ABS(S12)&lt;=P12*pw_Tolerance,"OK",IF(S12&gt;0,"OVER","UNDER")))</f>
      </c>
    </row>
    <row r="13">
      <c r="A13" s="0" t="s">
        <v>257</v>
      </c>
      <c r="B13" s="0" t="s">
        <v>258</v>
      </c>
      <c r="C13" s="0" t="s">
        <v>87</v>
      </c>
      <c r="D13" s="0" t="s">
        <v>257</v>
      </c>
      <c r="E13" s="0">
        <v>5</v>
      </c>
      <c r="F13" s="0">
        <v>1</v>
      </c>
      <c r="G13" s="0" t="s">
        <v>83</v>
      </c>
      <c r="H13" s="0" t="s">
        <v>123</v>
      </c>
      <c r="I13" s="0" t="s">
        <v>80</v>
      </c>
      <c r="J13" s="0" t="s">
        <v>79</v>
      </c>
      <c r="K13" s="0">
        <v>5</v>
      </c>
      <c r="L13" s="2">
        <f>'Pebble'!B20</f>
      </c>
      <c r="M13" s="2">
        <f>'Pebble'!B21</f>
      </c>
      <c r="N13" s="2">
        <f>'Pebble'!B22</f>
      </c>
      <c r="O13" s="2">
        <f>'Pebble'!B19</f>
      </c>
      <c r="P13" s="2">
        <f>IF(E13="","",ROUND((O13*F13*pw_ActionScale+E13*pw_Health)/pw_Divisor,3))</f>
      </c>
      <c r="Q13" s="2">
        <v>0.5</v>
      </c>
      <c r="R13" s="2">
        <f>IF(Q13="",P13,Q13)</f>
      </c>
      <c r="S13" s="2">
        <f>IF(Q13="","",ROUND(P13-Q13,3))</f>
      </c>
      <c r="T13" s="0">
        <f>IF(S13="","",IF(ABS(S13)&lt;=P13*pw_Tolerance,"OK",IF(S13&gt;0,"OVER","UNDER")))</f>
      </c>
    </row>
    <row r="14">
      <c r="A14" s="0" t="s">
        <v>260</v>
      </c>
      <c r="B14" s="0" t="s">
        <v>261</v>
      </c>
      <c r="C14" s="0" t="s">
        <v>87</v>
      </c>
      <c r="D14" s="0" t="s">
        <v>262</v>
      </c>
      <c r="E14" s="0">
        <v>30</v>
      </c>
      <c r="F14" s="0">
        <v>1</v>
      </c>
      <c r="G14" s="0" t="s">
        <v>83</v>
      </c>
      <c r="H14" s="0" t="s">
        <v>84</v>
      </c>
      <c r="I14" s="0" t="s">
        <v>91</v>
      </c>
      <c r="J14" s="0" t="s">
        <v>86</v>
      </c>
      <c r="K14" s="0">
        <v>5</v>
      </c>
      <c r="L14" s="2">
        <f>'PlagueRat'!B20</f>
      </c>
      <c r="M14" s="2">
        <f>'PlagueRat'!B21</f>
      </c>
      <c r="N14" s="2">
        <f>'PlagueRat'!B22</f>
      </c>
      <c r="O14" s="2">
        <f>'PlagueRat'!B19</f>
      </c>
      <c r="P14" s="2">
        <f>IF(E14="","",ROUND((O14*F14*pw_ActionScale+E14*pw_Health)/pw_Divisor,3))</f>
      </c>
      <c r="Q14" s="2">
        <v>2</v>
      </c>
      <c r="R14" s="2">
        <f>IF(Q14="",P14,Q14)</f>
      </c>
      <c r="S14" s="2">
        <f>IF(Q14="","",ROUND(P14-Q14,3))</f>
      </c>
      <c r="T14" s="0">
        <f>IF(S14="","",IF(ABS(S14)&lt;=P14*pw_Tolerance,"OK",IF(S14&gt;0,"OVER","UNDER")))</f>
      </c>
    </row>
    <row r="15">
      <c r="A15" s="0" t="s">
        <v>264</v>
      </c>
      <c r="B15" s="0" t="s">
        <v>265</v>
      </c>
      <c r="C15" s="0" t="s">
        <v>87</v>
      </c>
      <c r="D15" s="0" t="s">
        <v>264</v>
      </c>
      <c r="E15" s="0">
        <v>25</v>
      </c>
      <c r="F15" s="0">
        <v>1</v>
      </c>
      <c r="G15" s="0" t="s">
        <v>83</v>
      </c>
      <c r="H15" s="0" t="s">
        <v>132</v>
      </c>
      <c r="I15" s="0" t="s">
        <v>91</v>
      </c>
      <c r="J15" s="0" t="s">
        <v>86</v>
      </c>
      <c r="K15" s="0">
        <v>5</v>
      </c>
      <c r="L15" s="2">
        <f>'Rat'!B20</f>
      </c>
      <c r="M15" s="2">
        <f>'Rat'!B21</f>
      </c>
      <c r="N15" s="2">
        <f>'Rat'!B22</f>
      </c>
      <c r="O15" s="2">
        <f>'Rat'!B19</f>
      </c>
      <c r="P15" s="2">
        <f>IF(E15="","",ROUND((O15*F15*pw_ActionScale+E15*pw_Health)/pw_Divisor,3))</f>
      </c>
      <c r="Q15" s="2">
        <v>1.5</v>
      </c>
      <c r="R15" s="2">
        <f>IF(Q15="",P15,Q15)</f>
      </c>
      <c r="S15" s="2">
        <f>IF(Q15="","",ROUND(P15-Q15,3))</f>
      </c>
      <c r="T15" s="0">
        <f>IF(S15="","",IF(ABS(S15)&lt;=P15*pw_Tolerance,"OK",IF(S15&gt;0,"OVER","UNDER")))</f>
      </c>
    </row>
    <row r="16">
      <c r="A16" s="0" t="s">
        <v>179</v>
      </c>
      <c r="B16" s="0" t="s">
        <v>267</v>
      </c>
      <c r="C16" s="0" t="s">
        <v>87</v>
      </c>
      <c r="D16" s="0" t="s">
        <v>179</v>
      </c>
      <c r="E16" s="0">
        <v>30</v>
      </c>
      <c r="F16" s="0">
        <v>1</v>
      </c>
      <c r="G16" s="0" t="s">
        <v>83</v>
      </c>
      <c r="H16" s="0" t="s">
        <v>84</v>
      </c>
      <c r="I16" s="0" t="s">
        <v>91</v>
      </c>
      <c r="J16" s="0" t="s">
        <v>86</v>
      </c>
      <c r="K16" s="0">
        <v>5</v>
      </c>
      <c r="L16" s="2">
        <f>'Skeleton'!B20</f>
      </c>
      <c r="M16" s="2">
        <f>'Skeleton'!B21</f>
      </c>
      <c r="N16" s="2">
        <f>'Skeleton'!B22</f>
      </c>
      <c r="O16" s="2">
        <f>'Skeleton'!B19</f>
      </c>
      <c r="P16" s="2">
        <f>IF(E16="","",ROUND((O16*F16*pw_ActionScale+E16*pw_Health)/pw_Divisor,3))</f>
      </c>
      <c r="Q16" s="2">
        <v>1.5</v>
      </c>
      <c r="R16" s="2">
        <f>IF(Q16="",P16,Q16)</f>
      </c>
      <c r="S16" s="2">
        <f>IF(Q16="","",ROUND(P16-Q16,3))</f>
      </c>
      <c r="T16" s="0">
        <f>IF(S16="","",IF(ABS(S16)&lt;=P16*pw_Tolerance,"OK",IF(S16&gt;0,"OVER","UNDER")))</f>
      </c>
    </row>
    <row r="17">
      <c r="A17" s="0" t="s">
        <v>172</v>
      </c>
      <c r="B17" s="0" t="s">
        <v>175</v>
      </c>
      <c r="C17" s="0" t="s">
        <v>87</v>
      </c>
      <c r="D17" s="0" t="s">
        <v>179</v>
      </c>
      <c r="E17" s="0">
        <v>15</v>
      </c>
      <c r="F17" s="0">
        <v>1</v>
      </c>
      <c r="G17" s="0" t="s">
        <v>83</v>
      </c>
      <c r="H17" s="0" t="s">
        <v>80</v>
      </c>
      <c r="I17" s="0" t="s">
        <v>80</v>
      </c>
      <c r="J17" s="0" t="s">
        <v>79</v>
      </c>
      <c r="K17" s="0">
        <v>4</v>
      </c>
      <c r="L17" s="2">
        <f>'SkeletonAlly'!B20</f>
      </c>
      <c r="M17" s="2">
        <f>'SkeletonAlly'!B21</f>
      </c>
      <c r="N17" s="2">
        <f>'SkeletonAlly'!B22</f>
      </c>
      <c r="O17" s="2">
        <f>'SkeletonAlly'!B19</f>
      </c>
      <c r="P17" s="2">
        <f>IF(E17="","",ROUND((O17*F17*pw_ActionScale+E17*pw_Health)/pw_Divisor,3))</f>
      </c>
      <c r="Q17" s="2">
        <v>2</v>
      </c>
      <c r="R17" s="2">
        <f>IF(Q17="",P17,Q17)</f>
      </c>
      <c r="S17" s="2">
        <f>IF(Q17="","",ROUND(P17-Q17,3))</f>
      </c>
      <c r="T17" s="0">
        <f>IF(S17="","",IF(ABS(S17)&lt;=P17*pw_Tolerance,"OK",IF(S17&gt;0,"OVER","UNDER")))</f>
      </c>
    </row>
    <row r="18">
      <c r="A18" s="0" t="s">
        <v>269</v>
      </c>
      <c r="B18" s="0" t="s">
        <v>270</v>
      </c>
      <c r="C18" s="0" t="s">
        <v>87</v>
      </c>
      <c r="D18" s="0" t="s">
        <v>271</v>
      </c>
      <c r="E18" s="0">
        <v>40</v>
      </c>
      <c r="F18" s="0">
        <v>1</v>
      </c>
      <c r="G18" s="0" t="s">
        <v>83</v>
      </c>
      <c r="H18" s="0" t="s">
        <v>84</v>
      </c>
      <c r="I18" s="0" t="s">
        <v>91</v>
      </c>
      <c r="J18" s="0" t="s">
        <v>86</v>
      </c>
      <c r="K18" s="0">
        <v>5</v>
      </c>
      <c r="L18" s="2">
        <f>'SkeletonWarrior'!B20</f>
      </c>
      <c r="M18" s="2">
        <f>'SkeletonWarrior'!B21</f>
      </c>
      <c r="N18" s="2">
        <f>'SkeletonWarrior'!B22</f>
      </c>
      <c r="O18" s="2">
        <f>'SkeletonWarrior'!B19</f>
      </c>
      <c r="P18" s="2">
        <f>IF(E18="","",ROUND((O18*F18*pw_ActionScale+E18*pw_Health)/pw_Divisor,3))</f>
      </c>
      <c r="Q18" s="2">
        <v>3</v>
      </c>
      <c r="R18" s="2">
        <f>IF(Q18="",P18,Q18)</f>
      </c>
      <c r="S18" s="2">
        <f>IF(Q18="","",ROUND(P18-Q18,3))</f>
      </c>
      <c r="T18" s="0">
        <f>IF(S18="","",IF(ABS(S18)&lt;=P18*pw_Tolerance,"OK",IF(S18&gt;0,"OVER","UNDER")))</f>
      </c>
    </row>
    <row r="19">
      <c r="A19" s="0" t="s">
        <v>272</v>
      </c>
      <c r="B19" s="0" t="s">
        <v>273</v>
      </c>
      <c r="C19" s="0" t="s">
        <v>87</v>
      </c>
      <c r="D19" s="0" t="s">
        <v>272</v>
      </c>
      <c r="E19" s="0">
        <v>15</v>
      </c>
      <c r="F19" s="0">
        <v>1</v>
      </c>
      <c r="G19" s="0" t="s">
        <v>89</v>
      </c>
      <c r="H19" s="0" t="s">
        <v>120</v>
      </c>
      <c r="I19" s="0" t="s">
        <v>91</v>
      </c>
      <c r="J19" s="0" t="s">
        <v>92</v>
      </c>
      <c r="K19" s="0">
        <v>5</v>
      </c>
      <c r="L19" s="2">
        <f>'Skull'!B20</f>
      </c>
      <c r="M19" s="2">
        <f>'Skull'!B21</f>
      </c>
      <c r="N19" s="2">
        <f>'Skull'!B22</f>
      </c>
      <c r="O19" s="2">
        <f>'Skull'!B19</f>
      </c>
      <c r="P19" s="2">
        <f>IF(E19="","",ROUND((O19*F19*pw_ActionScale+E19*pw_Health)/pw_Divisor,3))</f>
      </c>
      <c r="Q19" s="2">
        <v>1.88</v>
      </c>
      <c r="R19" s="2">
        <f>IF(Q19="",P19,Q19)</f>
      </c>
      <c r="S19" s="2">
        <f>IF(Q19="","",ROUND(P19-Q19,3))</f>
      </c>
      <c r="T19" s="0">
        <f>IF(S19="","",IF(ABS(S19)&lt;=P19*pw_Tolerance,"OK",IF(S19&gt;0,"OVER","UNDER")))</f>
      </c>
    </row>
    <row r="20">
      <c r="A20" s="0" t="s">
        <v>275</v>
      </c>
      <c r="B20" s="0" t="s">
        <v>276</v>
      </c>
      <c r="C20" s="0" t="s">
        <v>87</v>
      </c>
      <c r="D20" s="0" t="s">
        <v>275</v>
      </c>
      <c r="E20" s="0">
        <v>20</v>
      </c>
      <c r="F20" s="0">
        <v>1</v>
      </c>
      <c r="G20" s="0" t="s">
        <v>83</v>
      </c>
      <c r="H20" s="0" t="s">
        <v>84</v>
      </c>
      <c r="I20" s="0" t="s">
        <v>91</v>
      </c>
      <c r="J20" s="0" t="s">
        <v>86</v>
      </c>
      <c r="K20" s="0">
        <v>5</v>
      </c>
      <c r="L20" s="2">
        <f>'Slime'!B20</f>
      </c>
      <c r="M20" s="2">
        <f>'Slime'!B21</f>
      </c>
      <c r="N20" s="2">
        <f>'Slime'!B22</f>
      </c>
      <c r="O20" s="2">
        <f>'Slime'!B19</f>
      </c>
      <c r="P20" s="2">
        <f>IF(E20="","",ROUND((O20*F20*pw_ActionScale+E20*pw_Health)/pw_Divisor,3))</f>
      </c>
      <c r="Q20" s="2">
        <v>1.5</v>
      </c>
      <c r="R20" s="2">
        <f>IF(Q20="",P20,Q20)</f>
      </c>
      <c r="S20" s="2">
        <f>IF(Q20="","",ROUND(P20-Q20,3))</f>
      </c>
      <c r="T20" s="0">
        <f>IF(S20="","",IF(ABS(S20)&lt;=P20*pw_Tolerance,"OK",IF(S20&gt;0,"OVER","UNDER")))</f>
      </c>
    </row>
    <row r="21">
      <c r="A21" s="0" t="s">
        <v>278</v>
      </c>
      <c r="B21" s="0" t="s">
        <v>279</v>
      </c>
      <c r="C21" s="0" t="s">
        <v>87</v>
      </c>
      <c r="D21" s="0" t="s">
        <v>280</v>
      </c>
      <c r="E21" s="0">
        <v>25</v>
      </c>
      <c r="F21" s="0">
        <v>1</v>
      </c>
      <c r="G21" s="0" t="s">
        <v>83</v>
      </c>
      <c r="H21" s="0" t="s">
        <v>84</v>
      </c>
      <c r="I21" s="0" t="s">
        <v>91</v>
      </c>
      <c r="J21" s="0" t="s">
        <v>86</v>
      </c>
      <c r="K21" s="0">
        <v>5</v>
      </c>
      <c r="L21" s="2">
        <f>'SpikedSlime'!B20</f>
      </c>
      <c r="M21" s="2">
        <f>'SpikedSlime'!B21</f>
      </c>
      <c r="N21" s="2">
        <f>'SpikedSlime'!B22</f>
      </c>
      <c r="O21" s="2">
        <f>'SpikedSlime'!B19</f>
      </c>
      <c r="P21" s="2">
        <f>IF(E21="","",ROUND((O21*F21*pw_ActionScale+E21*pw_Health)/pw_Divisor,3))</f>
      </c>
      <c r="Q21" s="2">
        <v>2</v>
      </c>
      <c r="R21" s="2">
        <f>IF(Q21="",P21,Q21)</f>
      </c>
      <c r="S21" s="2">
        <f>IF(Q21="","",ROUND(P21-Q21,3))</f>
      </c>
      <c r="T21" s="0">
        <f>IF(S21="","",IF(ABS(S21)&lt;=P21*pw_Tolerance,"OK",IF(S21&gt;0,"OVER","UNDER")))</f>
      </c>
    </row>
    <row r="22">
      <c r="A22" s="0" t="s">
        <v>281</v>
      </c>
      <c r="B22" s="0" t="s">
        <v>282</v>
      </c>
      <c r="C22" s="0" t="s">
        <v>87</v>
      </c>
      <c r="D22" s="0" t="s">
        <v>283</v>
      </c>
      <c r="E22" s="0">
        <v>20</v>
      </c>
      <c r="F22" s="0">
        <v>1</v>
      </c>
      <c r="G22" s="0" t="s">
        <v>83</v>
      </c>
      <c r="H22" s="0" t="s">
        <v>123</v>
      </c>
      <c r="I22" s="0" t="s">
        <v>91</v>
      </c>
      <c r="J22" s="0" t="s">
        <v>92</v>
      </c>
      <c r="K22" s="0">
        <v>5</v>
      </c>
      <c r="L22" s="2">
        <f>'VampireBat'!B20</f>
      </c>
      <c r="M22" s="2">
        <f>'VampireBat'!B21</f>
      </c>
      <c r="N22" s="2">
        <f>'VampireBat'!B22</f>
      </c>
      <c r="O22" s="2">
        <f>'VampireBat'!B19</f>
      </c>
      <c r="P22" s="2">
        <f>IF(E22="","",ROUND((O22*F22*pw_ActionScale+E22*pw_Health)/pw_Divisor,3))</f>
      </c>
      <c r="Q22" s="2">
        <v>1.5</v>
      </c>
      <c r="R22" s="2">
        <f>IF(Q22="",P22,Q22)</f>
      </c>
      <c r="S22" s="2">
        <f>IF(Q22="","",ROUND(P22-Q22,3))</f>
      </c>
      <c r="T22" s="0">
        <f>IF(S22="","",IF(ABS(S22)&lt;=P22*pw_Tolerance,"OK",IF(S22&gt;0,"OVER","UNDER")))</f>
      </c>
    </row>
  </sheetData>
  <autoFilter ref="A1:T22"/>
  <conditionalFormatting sqref="T2:T22">
    <cfRule priority="1" type="cellIs" operator="equal" dxfId="0">
      <formula>"OVER"</formula>
    </cfRule>
    <cfRule priority="2" type="cellIs" operator="equal" dxfId="1">
      <formula>"UNDER"</formula>
    </cfRule>
    <cfRule priority="3" type="cellIs" operator="equal" dxfId="2">
      <formula>"OK"</formula>
    </cfRule>
  </conditionalFormatting>
  <dataValidations count="4">
    <dataValidation type="list" sqref="G2:G22" showErrorMessage="0" allowBlank="1">
      <formula1>=list_Brain</formula1>
    </dataValidation>
    <dataValidation type="list" sqref="H2:H22" showErrorMessage="0" allowBlank="1">
      <formula1>=list_Targeting</formula1>
    </dataValidation>
    <dataValidation type="list" sqref="I2:I22" showErrorMessage="0" allowBlank="1">
      <formula1>=list_Loot</formula1>
    </dataValidation>
    <dataValidation type="list" sqref="J2:J22" showErrorMessage="0" allowBlank="1">
      <formula1>=list_Role</formula1>
    </dataValidation>
  </dataValidations>
  <headerFooter/>
</worksheet>
</file>

<file path=xl/worksheets/sheet25.xml><?xml version="1.0" encoding="utf-8"?>
<worksheet xmlns:r="http://schemas.openxmlformats.org/officeDocument/2006/relationships" xmlns="http://schemas.openxmlformats.org/spreadsheetml/2006/main">
  <dimension ref="A1:B29"/>
  <sheetViews>
    <sheetView workbookViewId="0" tabSelected="0"/>
  </sheetViews>
  <sheetFormatPr defaultRowHeight="15"/>
  <cols>
    <col min="1" max="1" width="28" customWidth="1"/>
    <col min="2" max="2" width="110" customWidth="1" style="3"/>
  </cols>
  <sheetData>
    <row r="1">
      <c r="A1" s="8" t="s">
        <v>300</v>
      </c>
    </row>
    <row r="2">
      <c r="A2" s="0" t="s">
        <v>80</v>
      </c>
    </row>
    <row r="3">
      <c r="A3" s="0" t="s">
        <v>301</v>
      </c>
    </row>
    <row r="4">
      <c r="A4" s="0" t="s">
        <v>80</v>
      </c>
    </row>
    <row r="5">
      <c r="A5" s="9" t="s">
        <v>302</v>
      </c>
    </row>
    <row r="6">
      <c r="A6" s="1" t="s">
        <v>303</v>
      </c>
      <c r="B6" s="3" t="s">
        <v>304</v>
      </c>
    </row>
    <row r="7">
      <c r="A7" s="1" t="s">
        <v>305</v>
      </c>
      <c r="B7" s="3" t="s">
        <v>306</v>
      </c>
    </row>
    <row r="8">
      <c r="A8" s="1" t="s">
        <v>307</v>
      </c>
      <c r="B8" s="3" t="s">
        <v>308</v>
      </c>
    </row>
    <row r="9">
      <c r="A9" s="1" t="s">
        <v>309</v>
      </c>
      <c r="B9" s="3" t="s">
        <v>310</v>
      </c>
    </row>
    <row r="10">
      <c r="A10" s="1" t="s">
        <v>311</v>
      </c>
      <c r="B10" s="3" t="s">
        <v>312</v>
      </c>
    </row>
    <row r="11">
      <c r="A11" s="0" t="s">
        <v>80</v>
      </c>
    </row>
    <row r="12">
      <c r="A12" s="9" t="s">
        <v>313</v>
      </c>
    </row>
    <row r="13">
      <c r="A13" s="1" t="s">
        <v>183</v>
      </c>
      <c r="B13" s="3" t="s">
        <v>314</v>
      </c>
    </row>
    <row r="14">
      <c r="A14" s="1" t="s">
        <v>184</v>
      </c>
      <c r="B14" s="3" t="s">
        <v>315</v>
      </c>
    </row>
    <row r="15">
      <c r="A15" s="1" t="s">
        <v>75</v>
      </c>
      <c r="B15" s="3" t="s">
        <v>316</v>
      </c>
    </row>
    <row r="16">
      <c r="A16" s="1" t="s">
        <v>194</v>
      </c>
      <c r="B16" s="3" t="s">
        <v>317</v>
      </c>
    </row>
    <row r="17">
      <c r="A17" s="1" t="s">
        <v>218</v>
      </c>
      <c r="B17" s="3" t="s">
        <v>318</v>
      </c>
    </row>
    <row r="18">
      <c r="A18" s="0" t="s">
        <v>80</v>
      </c>
    </row>
    <row r="19">
      <c r="A19" s="9" t="s">
        <v>319</v>
      </c>
    </row>
    <row r="20">
      <c r="A20" s="1" t="s">
        <v>320</v>
      </c>
      <c r="B20" s="3" t="s">
        <v>321</v>
      </c>
    </row>
    <row r="21">
      <c r="A21" s="1" t="s">
        <v>190</v>
      </c>
      <c r="B21" s="3" t="s">
        <v>322</v>
      </c>
    </row>
    <row r="22">
      <c r="A22" s="1" t="s">
        <v>222</v>
      </c>
      <c r="B22" s="3" t="s">
        <v>323</v>
      </c>
    </row>
    <row r="23">
      <c r="A23" s="1" t="s">
        <v>183</v>
      </c>
      <c r="B23" s="3" t="s">
        <v>324</v>
      </c>
    </row>
    <row r="24">
      <c r="A24" s="1" t="s">
        <v>325</v>
      </c>
      <c r="B24" s="3" t="s">
        <v>326</v>
      </c>
    </row>
    <row r="25">
      <c r="A25" s="1" t="s">
        <v>327</v>
      </c>
      <c r="B25" s="3" t="s">
        <v>328</v>
      </c>
    </row>
    <row r="26">
      <c r="A26" s="1" t="s">
        <v>329</v>
      </c>
      <c r="B26" s="3" t="s">
        <v>330</v>
      </c>
    </row>
    <row r="27">
      <c r="A27" s="1" t="s">
        <v>331</v>
      </c>
      <c r="B27" s="3" t="s">
        <v>332</v>
      </c>
    </row>
    <row r="28">
      <c r="A28" s="1" t="s">
        <v>333</v>
      </c>
      <c r="B28" s="3" t="s">
        <v>334</v>
      </c>
    </row>
    <row r="29">
      <c r="A29" s="1" t="s">
        <v>335</v>
      </c>
      <c r="B29" s="3" t="s">
        <v>336</v>
      </c>
    </row>
  </sheetData>
  <headerFooter/>
</worksheet>
</file>