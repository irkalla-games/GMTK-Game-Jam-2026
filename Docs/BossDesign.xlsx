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activeTab="0"/>
  </bookViews>
  <sheets>
    <sheet name="README" sheetId="13" r:id="rId14"/>
    <sheet name="PowerLevel" sheetId="1" r:id="rId1"/>
    <sheet name="Roster" sheetId="12" r:id="rId13"/>
    <sheet name="BlackKnight" sheetId="4" r:id="rId5"/>
    <sheet name="EvilKing" sheetId="5" r:id="rId6"/>
    <sheet name="EvilKnight" sheetId="6" r:id="rId7"/>
    <sheet name="EvilWizard" sheetId="7" r:id="rId8"/>
    <sheet name="EvilWizard2" sheetId="8" r:id="rId9"/>
    <sheet name="EvilWizard3" sheetId="9" r:id="rId10"/>
    <sheet name="Reaper" sheetId="10" r:id="rId11"/>
    <sheet name="ReinforcedGolem" sheetId="11" r:id="rId12"/>
    <sheet name="Summoned" sheetId="3" r:id="rId4"/>
    <sheet name="Enums" sheetId="2" r:id="rId3"/>
  </sheets>
  <definedNames>
    <definedName name="pw_Damage">'PowerLevel'!$B$3</definedName>
    <definedName name="pw_Poison">'PowerLevel'!$B$4</definedName>
    <definedName name="pw_Shield">'PowerLevel'!$B$5</definedName>
    <definedName name="pw_Block">'PowerLevel'!$B$6</definedName>
    <definedName name="pw_Teleport">'PowerLevel'!$B$7</definedName>
    <definedName name="pw_Move">'PowerLevel'!$B$8</definedName>
    <definedName name="pw_Health">'PowerLevel'!$B$9</definedName>
    <definedName name="pw_Divisor">'PowerLevel'!$B$10</definedName>
    <definedName name="pw_Heal">'PowerLevel'!$B$11</definedName>
    <definedName name="pw_Strength">'PowerLevel'!$B$12</definedName>
    <definedName name="pw_DoubleNextAttack">'PowerLevel'!$B$13</definedName>
    <definedName name="pw_PoisonBlade">'PowerLevel'!$B$14</definedName>
    <definedName name="pw_Parry">'PowerLevel'!$B$15</definedName>
    <definedName name="pw_Dodge">'PowerLevel'!$B$16</definedName>
    <definedName name="pw_DoubleShield">'PowerLevel'!$B$17</definedName>
    <definedName name="pw_Frozen">'PowerLevel'!$B$18</definedName>
    <definedName name="pw_Rooted">'PowerLevel'!$B$19</definedName>
    <definedName name="pw_Weaken">'PowerLevel'!$B$20</definedName>
    <definedName name="pw_Vulnerable">'PowerLevel'!$B$21</definedName>
    <definedName name="pw_Taunt">'PowerLevel'!$B$22</definedName>
    <definedName name="pw_Stealth">'PowerLevel'!$B$23</definedName>
    <definedName name="pw_Summon">'PowerLevel'!$B$24</definedName>
    <definedName name="pw_SummonHorizon">'PowerLevel'!$B$25</definedName>
    <definedName name="pw_TotemActivations">'PowerLevel'!$B$26</definedName>
    <definedName name="pw_Area">'PowerLevel'!$B$27</definedName>
    <definedName name="pw_Horizon">'PowerLevel'!$B$28</definedName>
    <definedName name="pw_Draw">'PowerLevel'!$B$29</definedName>
    <definedName name="pw_Energy">'PowerLevel'!$B$30</definedName>
    <definedName name="pw_TileEffect">'PowerLevel'!$B$31</definedName>
    <definedName name="pw_SelfDamage">'PowerLevel'!$B$32</definedName>
    <definedName name="pw_ActionScale">'PowerLevel'!$B$33</definedName>
    <definedName name="pw_Tolerance">'PowerLevel'!$B$34</definedName>
    <definedName name="range_Power">'PowerLevel'!$A$39:$B$44</definedName>
    <definedName name="list_Brain">'Enums'!$A$2:$A$5</definedName>
    <definedName name="list_Targeting">'Enums'!$B$2:$B$12</definedName>
    <definedName name="list_Loot">'Enums'!$C$2:$C$14</definedName>
    <definedName name="list_Role">'Enums'!$D$2:$D$5</definedName>
    <definedName name="list_Bool">'Enums'!$E$2:$E$3</definedName>
    <definedName name="list_EnemyCard">'Enums'!$F$2:$F$49</definedName>
    <definedName name="pow_Bat">'Summoned'!$B$3</definedName>
    <definedName name="pow_Goblin">'Summoned'!$B$4</definedName>
    <definedName name="pow_HeavyBandit">'Summoned'!$B$5</definedName>
    <definedName name="pow_LightBandit">'Summoned'!$B$6</definedName>
    <definedName name="pow_Pebble">'Summoned'!$B$7</definedName>
    <definedName name="pow_Skeleton">'Summoned'!$B$8</definedName>
    <definedName name="pow_Slime">'Summoned'!$B$9</definedName>
    <definedName name="pow_BlackKnight">'BlackKnight'!$B$16</definedName>
    <definedName name="pow_EvilKing">'EvilKing'!$B$16</definedName>
    <definedName name="pow_EvilKnight">'EvilKnight'!$B$16</definedName>
    <definedName name="pow_EvilWizard">'EvilWizard'!$B$16</definedName>
    <definedName name="pow_EvilWizard2">'EvilWizard2'!$B$16</definedName>
    <definedName name="pow_EvilWizard3">'EvilWizard3'!$B$16</definedName>
    <definedName name="pow_Reaper">'Reaper'!$B$16</definedName>
    <definedName name="pow_ReinforcedGolem">'ReinforcedGolem'!$B$16</definedName>
    <definedName name="_xlnm._FilterDatabase" localSheetId="2" hidden="1">'Roster'!$A$1:$Q$9</definedName>
  </definedNames>
  <calcPr fullCalcOnLoad="1"/>
</workbook>
</file>

<file path=xl/sharedStrings.xml><?xml version="1.0" encoding="utf-8"?>
<sst xmlns="http://schemas.openxmlformats.org/spreadsheetml/2006/main" count="305" uniqueCount="305">
  <si>
    <t>READ-ONLY - mirrored from Docs\EnemySheets.xlsx on every export. Edit the weights THERE; anything typed here is discarded on the next sync.</t>
  </si>
  <si>
    <t>Term</t>
  </si>
  <si>
    <t>Value</t>
  </si>
  <si>
    <t>What this counts</t>
  </si>
  <si>
    <t>pw_Damage</t>
  </si>
  <si>
    <t>The numeraire. One point of damage to a hero = 1 power.</t>
  </si>
  <si>
    <t>pw_Poison</t>
  </si>
  <si>
    <t>Per point of lifetime damage-over-time (the triangular total of the stacks applied, not the stack count itself).</t>
  </si>
  <si>
    <t>pw_Shield</t>
  </si>
  <si>
    <t>Per point. ShieldStatus is wiped at OnTurnStart, so it only ever blocks one round.</t>
  </si>
  <si>
    <t>pw_Block</t>
  </si>
  <si>
    <t>Per point actually prevented (BlockStatus.AmountPerHit is a const 5, so a charge is worth 5 of these).</t>
  </si>
  <si>
    <t>pw_Teleport</t>
  </si>
  <si>
    <t>Reserved for a future teleport/swap effect - no enemy card uses this yet.</t>
  </si>
  <si>
    <t>pw_Move</t>
  </si>
  <si>
    <t>Per tile of forced repositioning (Move / Swap). "Move 2" is one Move card whose range reaches 2 tiles.</t>
  </si>
  <si>
    <t>pw_Health</t>
  </si>
  <si>
    <t>Per point of max health.</t>
  </si>
  <si>
    <t>pw_Divisor</t>
  </si>
  <si>
    <t>Everything above is summed and divided by this to land in the same range as Brandon's hand-authored numbers.</t>
  </si>
  <si>
    <t>pw_Heal</t>
  </si>
  <si>
    <t>Only useful once already damaged, so worth less than the same number as damage.</t>
  </si>
  <si>
    <t>pw_Strength</t>
  </si>
  <si>
    <t>Per stack per future attack this enemy is assumed to still make (see pw_Horizon).</t>
  </si>
  <si>
    <t>pw_DoubleNextAttack</t>
  </si>
  <si>
    <t>Per stack. Roughly one extra average hit.</t>
  </si>
  <si>
    <t>pw_PoisonBlade</t>
  </si>
  <si>
    <t>Per stack - the weapon-poison variant, scored the same as Poison stacks.</t>
  </si>
  <si>
    <t>pw_Parry</t>
  </si>
  <si>
    <t>Per charge. Negates a hit and reflects it - prevention plus a second attack.</t>
  </si>
  <si>
    <t>pw_Dodge</t>
  </si>
  <si>
    <t>Per charge. A fully avoided hit, but only ever one hit.</t>
  </si>
  <si>
    <t>pw_DoubleShield</t>
  </si>
  <si>
    <t>Per stack.</t>
  </si>
  <si>
    <t>pw_Frozen</t>
  </si>
  <si>
    <t>Per turn. Denies a whole hero turn - the single strongest thing an enemy card can do to a player.</t>
  </si>
  <si>
    <t>pw_Rooted</t>
  </si>
  <si>
    <t>Per turn. Denies movement only, so worth less than Frozen.</t>
  </si>
  <si>
    <t>pw_Weaken</t>
  </si>
  <si>
    <t>Per stack per future hero attack this is assumed to still reduce (see pw_Horizon).</t>
  </si>
  <si>
    <t>pw_Vulnerable</t>
  </si>
  <si>
    <t>Per stack per future hit this enemy is assumed to still amplify (see pw_Horizon). Symmetric with Weaken.</t>
  </si>
  <si>
    <t>pw_Taunt</t>
  </si>
  <si>
    <t>Per turn forced onto the party.</t>
  </si>
  <si>
    <t>pw_Stealth</t>
  </si>
  <si>
    <t>Per turn this enemy cannot be targeted.</t>
  </si>
  <si>
    <t>pw_Summon</t>
  </si>
  <si>
    <t>Multiplier on the summoned body's own Estimated Power Level (Totems use their Totem Power instead) - see the Roster tab.</t>
  </si>
  <si>
    <t>pw_SummonHorizon</t>
  </si>
  <si>
    <t>Turns a limited-lifetime summon is assumed worth. A permanent summon (lifetimeTurns 0) always scores in full; a summon lasting fewer turns than this is scaled down by lifetime/this.</t>
  </si>
  <si>
    <t>pw_TotemActivations</t>
  </si>
  <si>
    <t>How many times a totem's auras/reactions are assumed to pay out over its life - the same 3 Export-CardSheet.ps1 hardcodes for the card workbook, now tunable here.</t>
  </si>
  <si>
    <t>pw_Area</t>
  </si>
  <si>
    <t>Per extra tile an area-effect card's footprint covers, beyond the one tile it aims at.</t>
  </si>
  <si>
    <t>pw_Horizon</t>
  </si>
  <si>
    <t>How many future attacks a Strength/Weaken/Vulnerable stack is assumed to affect. Also gates how long a Poison Blade weapon-buff is assumed to keep landing.</t>
  </si>
  <si>
    <t>pw_Draw</t>
  </si>
  <si>
    <t>Per card. Enemies rarely draw, but a few summon/ritual cards do.</t>
  </si>
  <si>
    <t>pw_Energy</t>
  </si>
  <si>
    <t>Reserved - no enemy card currently grants energy.</t>
  </si>
  <si>
    <t>pw_TileEffect</t>
  </si>
  <si>
    <t>Per point of an unblockable tile-hazard's total payout (Wall of Flames magnitude * turns).</t>
  </si>
  <si>
    <t>pw_SelfDamage</t>
  </si>
  <si>
    <t>Per point. Negative - a card that hurts its own owner is a cost, not a benefit.</t>
  </si>
  <si>
    <t>pw_ActionScale</t>
  </si>
  <si>
    <t>Multiplies Average Card Power * Actions Per Turn before it is added to Health. 1 assumes every action in a turn is, on average, as strong as the deck's average card.</t>
  </si>
  <si>
    <t>pw_Tolerance</t>
  </si>
  <si>
    <t>How far Estimated Power Level may sit from Brandon's before the Roster tab flags it OVER/UNDER.</t>
  </si>
  <si>
    <t>Read-only. These weights are whatever Docs\EnemySheets.xlsx holds - retune them there and re-sync, so both workbooks keep scoring on one scale.</t>
  </si>
  <si>
    <t>Range Power</t>
  </si>
  <si>
    <t>Range</t>
  </si>
  <si>
    <t>Power</t>
  </si>
  <si>
    <t>Looked up by nearest Range at or below a card's own Range Max - add a row for a new value; anything past the last row scores the same as it.</t>
  </si>
  <si>
    <t>Brain</t>
  </si>
  <si>
    <t>Targeting</t>
  </si>
  <si>
    <t>Loot</t>
  </si>
  <si>
    <t>Role</t>
  </si>
  <si>
    <t>Bool</t>
  </si>
  <si>
    <t>EnemyCard</t>
  </si>
  <si>
    <t>Drives the dropdowns on every body tab. Regenerated on every export.</t>
  </si>
  <si>
    <t>None</t>
  </si>
  <si>
    <t/>
  </si>
  <si>
    <t>Yes</t>
  </si>
  <si>
    <t>ArcaneLance</t>
  </si>
  <si>
    <t>Warrior</t>
  </si>
  <si>
    <t>Closest</t>
  </si>
  <si>
    <t>BlackKnightDrop</t>
  </si>
  <si>
    <t>Frontline</t>
  </si>
  <si>
    <t>No</t>
  </si>
  <si>
    <t>Backstab</t>
  </si>
  <si>
    <t>Ranger</t>
  </si>
  <si>
    <t>Furthest</t>
  </si>
  <si>
    <t>EarlyGame</t>
  </si>
  <si>
    <t>Backline</t>
  </si>
  <si>
    <t>Bite</t>
  </si>
  <si>
    <t>Summoner</t>
  </si>
  <si>
    <t>Random</t>
  </si>
  <si>
    <t>EarlyLevelReward</t>
  </si>
  <si>
    <t>Both</t>
  </si>
  <si>
    <t>BlackGuard</t>
  </si>
  <si>
    <t>RangerTargeting</t>
  </si>
  <si>
    <t>EvilKingDrop</t>
  </si>
  <si>
    <t>BoneBulwark</t>
  </si>
  <si>
    <t>Strongest</t>
  </si>
  <si>
    <t>EvilKnightDrop</t>
  </si>
  <si>
    <t>BoneChill</t>
  </si>
  <si>
    <t>TotemClosest</t>
  </si>
  <si>
    <t>EvilWizard2Drop</t>
  </si>
  <si>
    <t>BoulderSmash</t>
  </si>
  <si>
    <t>TotemFurthest</t>
  </si>
  <si>
    <t>EvilWizard3Drop</t>
  </si>
  <si>
    <t>CallReinforcements</t>
  </si>
  <si>
    <t>TotemWeakest</t>
  </si>
  <si>
    <t>EvilWizardDrop</t>
  </si>
  <si>
    <t>CallTheDamned</t>
  </si>
  <si>
    <t>WarriorTargeting</t>
  </si>
  <si>
    <t>PoisonSkeleton</t>
  </si>
  <si>
    <t>CallTheSwarm</t>
  </si>
  <si>
    <t>Weakest</t>
  </si>
  <si>
    <t>ReaperDrop</t>
  </si>
  <si>
    <t>Chomp</t>
  </si>
  <si>
    <t>ReinforcedGolemDrop</t>
  </si>
  <si>
    <t>ConjureOoze</t>
  </si>
  <si>
    <t>TutorialSapDrop</t>
  </si>
  <si>
    <t>DarkBolt</t>
  </si>
  <si>
    <t>DeathsToll</t>
  </si>
  <si>
    <t>DreadCleave</t>
  </si>
  <si>
    <t>EmberShroud</t>
  </si>
  <si>
    <t>EnemyArrow</t>
  </si>
  <si>
    <t>EnemySlash</t>
  </si>
  <si>
    <t>Engulf</t>
  </si>
  <si>
    <t>ExecutionersBlow</t>
  </si>
  <si>
    <t>Gnaw</t>
  </si>
  <si>
    <t>HeavySwing</t>
  </si>
  <si>
    <t>LifeLeech</t>
  </si>
  <si>
    <t>MeteorFall</t>
  </si>
  <si>
    <t>MoveInnate</t>
  </si>
  <si>
    <t>Overflow</t>
  </si>
  <si>
    <t>PincerGrip</t>
  </si>
  <si>
    <t>PlagueBite</t>
  </si>
  <si>
    <t>QuickCut</t>
  </si>
  <si>
    <t>RaiseDead</t>
  </si>
  <si>
    <t>Rally</t>
  </si>
  <si>
    <t>Riposte</t>
  </si>
  <si>
    <t>Roll</t>
  </si>
  <si>
    <t>RoyalCommand</t>
  </si>
  <si>
    <t>RoyalGuard</t>
  </si>
  <si>
    <t>SeismicSlam</t>
  </si>
  <si>
    <t>ShadowWard</t>
  </si>
  <si>
    <t>ShieldBash</t>
  </si>
  <si>
    <t>Slash+</t>
  </si>
  <si>
    <t>SoulReap</t>
  </si>
  <si>
    <t>SpikeBurst</t>
  </si>
  <si>
    <t>SplinterOff</t>
  </si>
  <si>
    <t>SporeCloud</t>
  </si>
  <si>
    <t>StoneSkin</t>
  </si>
  <si>
    <t>SummonImp</t>
  </si>
  <si>
    <t>SummonSkeletonWarrior</t>
  </si>
  <si>
    <t>VoidBarrier</t>
  </si>
  <si>
    <t>WitheringGaze</t>
  </si>
  <si>
    <t>READ-ONLY - bodies summoned by this workbook's roster but owned by Docs\EnemySheets.xlsx. Refreshed on every export; edit them there.</t>
  </si>
  <si>
    <t>Prefab</t>
  </si>
  <si>
    <t>Summoned by</t>
  </si>
  <si>
    <t>Bat</t>
  </si>
  <si>
    <t>EvilWizard2</t>
  </si>
  <si>
    <t>Goblin</t>
  </si>
  <si>
    <t>EvilWizard</t>
  </si>
  <si>
    <t>HeavyBandit</t>
  </si>
  <si>
    <t>EvilKnight</t>
  </si>
  <si>
    <t>LightBandit</t>
  </si>
  <si>
    <t>EvilKing</t>
  </si>
  <si>
    <t>Pebble</t>
  </si>
  <si>
    <t>ReinforcedGolem</t>
  </si>
  <si>
    <t>Skeleton</t>
  </si>
  <si>
    <t>BlackKnight, Reaper</t>
  </si>
  <si>
    <t>Slime</t>
  </si>
  <si>
    <t>EvilWizard3</t>
  </si>
  <si>
    <t>Boss Name</t>
  </si>
  <si>
    <t>BlackKnight</t>
  </si>
  <si>
    <t>Boss</t>
  </si>
  <si>
    <t>GUID</t>
  </si>
  <si>
    <t>fae9e0d8df06f744cb3eed28f98bb54f</t>
  </si>
  <si>
    <t>Sync</t>
  </si>
  <si>
    <t>Stats (synced to Unity)</t>
  </si>
  <si>
    <t>Display Name</t>
  </si>
  <si>
    <t>Black Knight</t>
  </si>
  <si>
    <t>Health</t>
  </si>
  <si>
    <t>Actions Per Turn</t>
  </si>
  <si>
    <t>Loot Table</t>
  </si>
  <si>
    <t>Brandon's Power Level</t>
  </si>
  <si>
    <t>Estimated Power Level</t>
  </si>
  <si>
    <t>Delta (Estimated - Brandon's)</t>
  </si>
  <si>
    <t>Average Card Power</t>
  </si>
  <si>
    <t>Average Damage</t>
  </si>
  <si>
    <t>Average Status Power</t>
  </si>
  <si>
    <t>Average Summon Power</t>
  </si>
  <si>
    <t>Deck</t>
  </si>
  <si>
    <t>Actions from Card</t>
  </si>
  <si>
    <t>8 damage</t>
  </si>
  <si>
    <t>5 damage, Shield 10</t>
  </si>
  <si>
    <t>Summon</t>
  </si>
  <si>
    <t>Move 1</t>
  </si>
  <si>
    <t>Counted</t>
  </si>
  <si>
    <t>Card Facts</t>
  </si>
  <si>
    <t>Cost</t>
  </si>
  <si>
    <t>Range Max</t>
  </si>
  <si>
    <t>Tiles Hit</t>
  </si>
  <si>
    <t>Damage</t>
  </si>
  <si>
    <t>Poison Total</t>
  </si>
  <si>
    <t>Heal</t>
  </si>
  <si>
    <t>Shield</t>
  </si>
  <si>
    <t>Block Total</t>
  </si>
  <si>
    <t>Parry</t>
  </si>
  <si>
    <t>Dodge</t>
  </si>
  <si>
    <t>Strength</t>
  </si>
  <si>
    <t>Weaken</t>
  </si>
  <si>
    <t>Vulnerable</t>
  </si>
  <si>
    <t>Frozen</t>
  </si>
  <si>
    <t>Rooted</t>
  </si>
  <si>
    <t>Taunt</t>
  </si>
  <si>
    <t>Stealth</t>
  </si>
  <si>
    <t>Poison Blade</t>
  </si>
  <si>
    <t>Double Next Attack</t>
  </si>
  <si>
    <t>Double Shield</t>
  </si>
  <si>
    <t>Draw</t>
  </si>
  <si>
    <t>Move Tiles</t>
  </si>
  <si>
    <t>Summon Power</t>
  </si>
  <si>
    <t>Cooldown</t>
  </si>
  <si>
    <t>Card Power</t>
  </si>
  <si>
    <t>Status Power</t>
  </si>
  <si>
    <t>Notes</t>
  </si>
  <si>
    <t>e58fd978e913eea4699c373a33b5e08b</t>
  </si>
  <si>
    <t>Evil King</t>
  </si>
  <si>
    <t>9 damage</t>
  </si>
  <si>
    <t>e6c2dbc2feb811c4dbfea4d90220a6a5</t>
  </si>
  <si>
    <t>Evil Knight</t>
  </si>
  <si>
    <t>6 damage, Parry x1</t>
  </si>
  <si>
    <t>4 damage, Shield 10</t>
  </si>
  <si>
    <t>51a9fe976e746be4385a09a12bb4cc36</t>
  </si>
  <si>
    <t>Evil Wizard</t>
  </si>
  <si>
    <t>5 damage</t>
  </si>
  <si>
    <t>3 damage, Shield 7</t>
  </si>
  <si>
    <t>8a02da994bf78784c901145a07a767e4</t>
  </si>
  <si>
    <t>Dread Sorcerer</t>
  </si>
  <si>
    <t>6 damage</t>
  </si>
  <si>
    <t>3 damage, Block x4</t>
  </si>
  <si>
    <t>e47742cc0b6bff34d80516b86f0ed93e</t>
  </si>
  <si>
    <t>Emberlord</t>
  </si>
  <si>
    <t>4 damage, Shield 7</t>
  </si>
  <si>
    <t>Reaper</t>
  </si>
  <si>
    <t>f5f2a9fce9bdff34a958576185c3c68b</t>
  </si>
  <si>
    <t>6 damage, Heal 5</t>
  </si>
  <si>
    <t>4 damage, Vulnerable 1</t>
  </si>
  <si>
    <t>8d47800381e9665459f3b0826adf6b76</t>
  </si>
  <si>
    <t>Reinforced Golem</t>
  </si>
  <si>
    <t>7 damage</t>
  </si>
  <si>
    <t>Name</t>
  </si>
  <si>
    <t>Actions</t>
  </si>
  <si>
    <t>Deck Size</t>
  </si>
  <si>
    <t>Avg Damage</t>
  </si>
  <si>
    <t>Avg Status</t>
  </si>
  <si>
    <t>Avg Summon</t>
  </si>
  <si>
    <t>Avg Card Power</t>
  </si>
  <si>
    <t>Estimated</t>
  </si>
  <si>
    <t>Brandon's</t>
  </si>
  <si>
    <t>Effective Power</t>
  </si>
  <si>
    <t>Delta</t>
  </si>
  <si>
    <t>Flag</t>
  </si>
  <si>
    <t>Boss Design Workbook</t>
  </si>
  <si>
    <t>One tab per boss and totem, all built from the actual prefabs and cards under Assets/Prefabs/Bosses and Assets/Data/CardData/Enemy - this workbook only READS them today. Ordinary enemies and the ally live in Docs/EnemySheets.xlsx instead.</t>
  </si>
  <si>
    <t>The tabs</t>
  </si>
  <si>
    <t>PowerLevel</t>
  </si>
  <si>
    <t>READ-ONLY here - the pw_* weights are mirrored from Docs\EnemySheets.xlsx on every export so both workbooks score on one scale. Retune them there; anything typed on that tab here is discarded on the next sync.</t>
  </si>
  <si>
    <t>One tab per body</t>
  </si>
  <si>
    <t>Health, Actions Per Turn, Brain, Targeting, Loot Table, Role and Deck mirror the prefab's Character component. Card Facts below the deck strip are read from each card's own CardData/CardEffect assets - edit a card's numbers on Docs/CardDesign.xlsx, not here.</t>
  </si>
  <si>
    <t>One tab per totem</t>
  </si>
  <si>
    <t>A totem has no health or deck - Totem Power is its auras and reactions, weighted the same way a body's Card Power is.</t>
  </si>
  <si>
    <t>Roster</t>
  </si>
  <si>
    <t>Every body side by side, sorted by name, so you can see how they stack up. Fully formula-driven off the individual tabs.</t>
  </si>
  <si>
    <t>Enums</t>
  </si>
  <si>
    <t>Dropdown sources for Brain, Targeting, Loot Table and Deck cells.</t>
  </si>
  <si>
    <t>Summoned</t>
  </si>
  <si>
    <t>Read-only. Bodies this roster summons but does not own - their power only, so Summon Power on a body tab has something to point at. Their real tabs are in Docs\EnemySheets.xlsx; edit them there.</t>
  </si>
  <si>
    <t>Reading a body tab</t>
  </si>
  <si>
    <t>Hand-authored ground truth - type in what a body feels like it should be worth. Preserved across re-exports.</t>
  </si>
  <si>
    <t>(Average Card Power * Actions Per Turn * pw_ActionScale + Health * pw_Health) / pw_Divisor. Tune the PowerLevel weights until Delta sits near zero for the bodies you already trust, then trust the estimate for the rest.</t>
  </si>
  <si>
    <t>Which spawn row(s) this body is eligible for - None (unconstrained), Frontline, Backline or Both. Synced to Character.battleRole; drives BattleManager.SpawnParty and EncounterRoller placement.</t>
  </si>
  <si>
    <t>No for a Move-only card or a Cooldown card - excluded from every average. Cooldown cards get scored separately later.</t>
  </si>
  <si>
    <t>A live reference to the summoned body's (or totem's) own power cell, scaled down if its lifetime is shorter than pw_SummonHorizon.</t>
  </si>
  <si>
    <t>Syncing back to Unity</t>
  </si>
  <si>
    <t>One button</t>
  </si>
  <si>
    <t>In Unity: Tools &gt; Sync Bosses With Sheet. Applies your edits to Health, Actions Per Turn, Brain, Targeting, Loot Table, Role and Deck to the matching prefab, then refreshes this workbook so anything changed in the Inspector shows up here too.</t>
  </si>
  <si>
    <t>One card name per column, left to right, no gaps - the first blank cell ends the deck. Duplicates are fine and expected (four Enemy Slash cards is four cells). Pick names from the dropdown so a typo cannot silently drop a card.</t>
  </si>
  <si>
    <t>Brandon's Power Level and Notes</t>
  </si>
  <si>
    <t>Never sync anywhere - they are authored HERE and preserved across every re-export.</t>
  </si>
  <si>
    <t>Card Facts, Card Power, averages, Roster</t>
  </si>
  <si>
    <t>Never hand-edit - fully derived from the prefab and its cards, rebuilt on every export.</t>
  </si>
  <si>
    <t>Effective Power and Boss</t>
  </si>
  <si>
    <t>Not sheet columns you edit directly - Effective Power (Brandon's if set, else Estimated) and Boss (which folder the prefab lives in) are written to Character.powerLevel/isBoss one-way, every sync, regardless of whether anything else on the tab changed. A body with neither Brandon's nor a usable Estimated result is skipped with a warning and can never be drawn by EncounterRoller.</t>
  </si>
  <si>
    <t>If both sides changed</t>
  </si>
  <si>
    <t>That body is left alone on BOTH sides and named in the Unity console, the same conflict rule Docs/CardDesign.xlsx follows. Make them agree, or change only one, then sync again.</t>
  </si>
  <si>
    <t>Regenerating without syncing</t>
  </si>
  <si>
    <t>Tools &gt; Bosses &gt; Refresh Sheet From Unity discards any sheet edit that has not been synced yet - only for when the sheet is known to be wrong.</t>
  </si>
  <si>
    <t>The other roster workbook</t>
  </si>
  <si>
    <t>Enemies, the ally and bosses are two separate workbooks driven by the same engine - Docs/EnemySheets.xlsx and Docs/BossDesign.xlsx - each with its own baseline and its own sync button. A prefab belongs to exactly one of them, decided by which folder it sits in under Assets/Prefabs.</t>
  </si>
</sst>
</file>

<file path=xl/styles.xml><?xml version="1.0" encoding="utf-8"?>
<styleSheet xmlns="http://schemas.openxmlformats.org/spreadsheetml/2006/main">
  <numFmts count="1">
    <numFmt numFmtId="164" formatCode="0.000"/>
  </numFmts>
  <fonts count="6">
    <font>
      <sz val="11"/>
      <name val="Calibri"/>
    </font>
    <font>
      <b/>
      <sz val="11"/>
      <name val="Calibri"/>
    </font>
    <font>
      <b/>
      <sz val="11"/>
      <color rgb="FF962828" tint="0"/>
      <name val="Calibri"/>
    </font>
    <font>
      <i/>
      <sz val="11"/>
      <name val="Calibri"/>
    </font>
    <font>
      <b/>
      <sz val="16"/>
      <name val="Calibri"/>
    </font>
    <font>
      <b/>
      <sz val="12"/>
      <name val="Calibri"/>
    </font>
  </fonts>
  <fills count="3">
    <fill>
      <patternFill patternType="none"/>
    </fill>
    <fill>
      <patternFill patternType="gray125"/>
    </fill>
    <fill>
      <patternFill patternType="solid">
        <fgColor rgb="FFF2F2F2" tint="0"/>
      </patternFill>
    </fill>
  </fills>
  <borders count="1">
    <border>
      <left/>
      <right/>
      <top/>
      <bottom/>
      <diagonal/>
    </border>
  </borders>
  <cellStyleXfs count="1">
    <xf numFmtId="0" fontId="0"/>
  </cellStyleXfs>
  <cellXfs count="14">
    <xf numFmtId="0" applyNumberFormat="1" fontId="0" applyFont="1" xfId="0" applyProtection="1"/>
    <xf numFmtId="0" applyNumberFormat="1" fontId="1" applyFont="1" xfId="0" applyProtection="1"/>
    <xf numFmtId="0" applyNumberFormat="1" fontId="2" applyFont="1" xfId="0" applyProtection="1"/>
    <xf numFmtId="2" applyNumberFormat="1" fontId="0" applyFont="1" xfId="0" applyProtection="1"/>
    <xf numFmtId="0" applyNumberFormat="1" fontId="0" applyFont="1" xfId="0" applyProtection="1">
      <alignment wrapText="1"/>
    </xf>
    <xf numFmtId="0" applyNumberFormat="1" fontId="1" applyFont="1" xfId="0" applyProtection="1">
      <alignment wrapText="1"/>
    </xf>
    <xf numFmtId="0" applyNumberFormat="1" fontId="3" applyFont="1" xfId="0" applyProtection="1"/>
    <xf numFmtId="2" applyNumberFormat="1" fontId="1" applyFont="1" xfId="0" applyProtection="1"/>
    <xf numFmtId="0" applyNumberFormat="1" fontId="1" applyFont="1" fillId="2" applyFill="1" xfId="0" applyProtection="1"/>
    <xf numFmtId="0" applyNumberFormat="1" fontId="0" applyFont="1" fillId="2" applyFill="1" xfId="0" applyProtection="1"/>
    <xf numFmtId="164" applyNumberFormat="1" fontId="0" applyFont="1" fillId="2" applyFill="1" xfId="0" applyProtection="1"/>
    <xf numFmtId="1" applyNumberFormat="1" fontId="0" applyFont="1" xfId="0" applyProtection="1"/>
    <xf numFmtId="0" applyNumberFormat="1" fontId="4" applyFont="1" xfId="0" applyProtection="1"/>
    <xf numFmtId="0" applyNumberFormat="1" fontId="5" applyFont="1" xfId="0" applyProtection="1"/>
  </cellXfs>
  <cellStyles count="1">
    <cellStyle name="Normal" xfId="0" builtinId="0"/>
  </cellStyles>
  <dxfs count="3">
    <d:dxf xmlns:d="http://schemas.openxmlformats.org/spreadsheetml/2006/main">
      <font>
        <color rgb="ff9c0006"/>
      </font>
      <fill>
        <patternFill>
          <bgColor rgb="ffffc7ce"/>
        </patternFill>
      </fill>
    </d:dxf>
    <d:dxf xmlns:d="http://schemas.openxmlformats.org/spreadsheetml/2006/main">
      <font>
        <color rgb="ff9c6500"/>
      </font>
      <fill>
        <patternFill>
          <bgColor rgb="ffffeb9c"/>
        </patternFill>
      </fill>
    </d:dxf>
    <d:dxf xmlns:d="http://schemas.openxmlformats.org/spreadsheetml/2006/main">
      <font>
        <color rgb="ff006100"/>
      </font>
      <fill>
        <patternFill>
          <bgColor rgb="ffc6efce"/>
        </patternFill>
      </fill>
    </d: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C200"/>
  <sheetViews>
    <sheetView workbookViewId="0" tabSelected="0">
      <pane ySplit="2" topLeftCell="A3" state="frozen" activePane="bottomLeft"/>
      <selection pane="bottomLeft" activeCell="A1" sqref="A1"/>
    </sheetView>
  </sheetViews>
  <sheetFormatPr defaultRowHeight="15"/>
  <cols>
    <col min="1" max="1" width="20" customWidth="1"/>
    <col min="2" max="2" width="11" customWidth="1"/>
    <col min="3" max="3" width="90" customWidth="1" style="4"/>
  </cols>
  <sheetData>
    <row r="1">
      <c r="A1" s="2" t="s">
        <v>0</v>
      </c>
    </row>
    <row r="2">
      <c r="A2" s="1" t="s">
        <v>1</v>
      </c>
      <c r="B2" s="1" t="s">
        <v>2</v>
      </c>
      <c r="C2" s="5" t="s">
        <v>3</v>
      </c>
    </row>
    <row r="3">
      <c r="A3" s="0" t="s">
        <v>4</v>
      </c>
      <c r="B3" s="3">
        <v>1</v>
      </c>
      <c r="C3" s="4" t="s">
        <v>5</v>
      </c>
    </row>
    <row r="4">
      <c r="A4" s="0" t="s">
        <v>6</v>
      </c>
      <c r="B4" s="3">
        <v>0.9</v>
      </c>
      <c r="C4" s="4" t="s">
        <v>7</v>
      </c>
    </row>
    <row r="5">
      <c r="A5" s="0" t="s">
        <v>8</v>
      </c>
      <c r="B5" s="3">
        <v>0.5</v>
      </c>
      <c r="C5" s="4" t="s">
        <v>9</v>
      </c>
    </row>
    <row r="6">
      <c r="A6" s="0" t="s">
        <v>10</v>
      </c>
      <c r="B6" s="3">
        <v>0.5</v>
      </c>
      <c r="C6" s="4" t="s">
        <v>11</v>
      </c>
    </row>
    <row r="7">
      <c r="A7" s="0" t="s">
        <v>12</v>
      </c>
      <c r="B7" s="3">
        <v>4</v>
      </c>
      <c r="C7" s="4" t="s">
        <v>13</v>
      </c>
    </row>
    <row r="8">
      <c r="A8" s="0" t="s">
        <v>14</v>
      </c>
      <c r="B8" s="3">
        <v>1</v>
      </c>
      <c r="C8" s="4" t="s">
        <v>15</v>
      </c>
    </row>
    <row r="9">
      <c r="A9" s="0" t="s">
        <v>16</v>
      </c>
      <c r="B9" s="3">
        <v>0.5</v>
      </c>
      <c r="C9" s="4" t="s">
        <v>17</v>
      </c>
    </row>
    <row r="10">
      <c r="A10" s="0" t="s">
        <v>18</v>
      </c>
      <c r="B10" s="3">
        <v>17</v>
      </c>
      <c r="C10" s="4" t="s">
        <v>19</v>
      </c>
    </row>
    <row r="11">
      <c r="A11" s="0" t="s">
        <v>20</v>
      </c>
      <c r="B11" s="3">
        <v>0.8</v>
      </c>
      <c r="C11" s="4" t="s">
        <v>21</v>
      </c>
    </row>
    <row r="12">
      <c r="A12" s="0" t="s">
        <v>22</v>
      </c>
      <c r="B12" s="3">
        <v>0.9</v>
      </c>
      <c r="C12" s="4" t="s">
        <v>23</v>
      </c>
    </row>
    <row r="13">
      <c r="A13" s="0" t="s">
        <v>24</v>
      </c>
      <c r="B13" s="3">
        <v>3</v>
      </c>
      <c r="C13" s="4" t="s">
        <v>25</v>
      </c>
    </row>
    <row r="14">
      <c r="A14" s="0" t="s">
        <v>26</v>
      </c>
      <c r="B14" s="3">
        <v>1</v>
      </c>
      <c r="C14" s="4" t="s">
        <v>27</v>
      </c>
    </row>
    <row r="15">
      <c r="A15" s="0" t="s">
        <v>28</v>
      </c>
      <c r="B15" s="3">
        <v>1.5</v>
      </c>
      <c r="C15" s="4" t="s">
        <v>29</v>
      </c>
    </row>
    <row r="16">
      <c r="A16" s="0" t="s">
        <v>30</v>
      </c>
      <c r="B16" s="3">
        <v>1.5</v>
      </c>
      <c r="C16" s="4" t="s">
        <v>31</v>
      </c>
    </row>
    <row r="17">
      <c r="A17" s="0" t="s">
        <v>32</v>
      </c>
      <c r="B17" s="3">
        <v>2</v>
      </c>
      <c r="C17" s="4" t="s">
        <v>33</v>
      </c>
    </row>
    <row r="18">
      <c r="A18" s="0" t="s">
        <v>34</v>
      </c>
      <c r="B18" s="3">
        <v>3</v>
      </c>
      <c r="C18" s="4" t="s">
        <v>35</v>
      </c>
    </row>
    <row r="19">
      <c r="A19" s="0" t="s">
        <v>36</v>
      </c>
      <c r="B19" s="3">
        <v>1.5</v>
      </c>
      <c r="C19" s="4" t="s">
        <v>37</v>
      </c>
    </row>
    <row r="20">
      <c r="A20" s="0" t="s">
        <v>38</v>
      </c>
      <c r="B20" s="3">
        <v>0.9</v>
      </c>
      <c r="C20" s="4" t="s">
        <v>39</v>
      </c>
    </row>
    <row r="21">
      <c r="A21" s="0" t="s">
        <v>40</v>
      </c>
      <c r="B21" s="3">
        <v>0.9</v>
      </c>
      <c r="C21" s="4" t="s">
        <v>41</v>
      </c>
    </row>
    <row r="22">
      <c r="A22" s="0" t="s">
        <v>42</v>
      </c>
      <c r="B22" s="3">
        <v>1.5</v>
      </c>
      <c r="C22" s="4" t="s">
        <v>43</v>
      </c>
    </row>
    <row r="23">
      <c r="A23" s="0" t="s">
        <v>44</v>
      </c>
      <c r="B23" s="3">
        <v>1</v>
      </c>
      <c r="C23" s="4" t="s">
        <v>45</v>
      </c>
    </row>
    <row r="24">
      <c r="A24" s="0" t="s">
        <v>46</v>
      </c>
      <c r="B24" s="3">
        <v>1</v>
      </c>
      <c r="C24" s="4" t="s">
        <v>47</v>
      </c>
    </row>
    <row r="25">
      <c r="A25" s="0" t="s">
        <v>48</v>
      </c>
      <c r="B25" s="3">
        <v>5</v>
      </c>
      <c r="C25" s="4" t="s">
        <v>49</v>
      </c>
    </row>
    <row r="26">
      <c r="A26" s="0" t="s">
        <v>50</v>
      </c>
      <c r="B26" s="3">
        <v>3</v>
      </c>
      <c r="C26" s="4" t="s">
        <v>51</v>
      </c>
    </row>
    <row r="27">
      <c r="A27" s="0" t="s">
        <v>52</v>
      </c>
      <c r="B27" s="3">
        <v>0.3</v>
      </c>
      <c r="C27" s="4" t="s">
        <v>53</v>
      </c>
    </row>
    <row r="28">
      <c r="A28" s="0" t="s">
        <v>54</v>
      </c>
      <c r="B28" s="3">
        <v>3</v>
      </c>
      <c r="C28" s="4" t="s">
        <v>55</v>
      </c>
    </row>
    <row r="29">
      <c r="A29" s="0" t="s">
        <v>56</v>
      </c>
      <c r="B29" s="3">
        <v>1</v>
      </c>
      <c r="C29" s="4" t="s">
        <v>57</v>
      </c>
    </row>
    <row r="30">
      <c r="A30" s="0" t="s">
        <v>58</v>
      </c>
      <c r="B30" s="3">
        <v>1</v>
      </c>
      <c r="C30" s="4" t="s">
        <v>59</v>
      </c>
    </row>
    <row r="31">
      <c r="A31" s="0" t="s">
        <v>60</v>
      </c>
      <c r="B31" s="3">
        <v>0.5</v>
      </c>
      <c r="C31" s="4" t="s">
        <v>61</v>
      </c>
    </row>
    <row r="32">
      <c r="A32" s="0" t="s">
        <v>62</v>
      </c>
      <c r="B32" s="3">
        <v>-1</v>
      </c>
      <c r="C32" s="4" t="s">
        <v>63</v>
      </c>
    </row>
    <row r="33">
      <c r="A33" s="0" t="s">
        <v>64</v>
      </c>
      <c r="B33" s="3">
        <v>2</v>
      </c>
      <c r="C33" s="4" t="s">
        <v>65</v>
      </c>
    </row>
    <row r="34">
      <c r="A34" s="0" t="s">
        <v>66</v>
      </c>
      <c r="B34" s="3">
        <v>0.25</v>
      </c>
      <c r="C34" s="4" t="s">
        <v>67</v>
      </c>
    </row>
    <row r="35">
      <c r="B35" s="3"/>
    </row>
    <row r="36">
      <c r="A36" s="6" t="s">
        <v>68</v>
      </c>
      <c r="B36" s="3"/>
    </row>
    <row r="37">
      <c r="A37" s="1" t="s">
        <v>69</v>
      </c>
      <c r="B37" s="3"/>
    </row>
    <row r="38">
      <c r="A38" s="1" t="s">
        <v>70</v>
      </c>
      <c r="B38" s="7" t="s">
        <v>71</v>
      </c>
    </row>
    <row r="39">
      <c r="A39" s="0">
        <v>1</v>
      </c>
      <c r="B39" s="3">
        <v>0</v>
      </c>
    </row>
    <row r="40">
      <c r="A40" s="0">
        <v>2</v>
      </c>
      <c r="B40" s="3">
        <v>1.5</v>
      </c>
    </row>
    <row r="41">
      <c r="A41" s="0">
        <v>3</v>
      </c>
      <c r="B41" s="3">
        <v>5</v>
      </c>
    </row>
    <row r="42">
      <c r="A42" s="0">
        <v>4</v>
      </c>
      <c r="B42" s="3">
        <v>6</v>
      </c>
    </row>
    <row r="43">
      <c r="A43" s="0">
        <v>5</v>
      </c>
      <c r="B43" s="3">
        <v>7</v>
      </c>
    </row>
    <row r="44">
      <c r="A44" s="0">
        <v>6</v>
      </c>
      <c r="B44" s="3">
        <v>8</v>
      </c>
    </row>
    <row r="45">
      <c r="A45" s="6" t="s">
        <v>72</v>
      </c>
      <c r="B45" s="3"/>
    </row>
    <row r="46">
      <c r="B46" s="3"/>
    </row>
    <row r="47">
      <c r="B47" s="3"/>
    </row>
    <row r="48">
      <c r="B48" s="3"/>
    </row>
    <row r="49">
      <c r="B49" s="3"/>
    </row>
    <row r="50">
      <c r="B50" s="3"/>
    </row>
    <row r="51">
      <c r="B51" s="3"/>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sheetData>
  <headerFooter/>
</worksheet>
</file>

<file path=xl/worksheets/sheet2.xml><?xml version="1.0" encoding="utf-8"?>
<worksheet xmlns:r="http://schemas.openxmlformats.org/officeDocument/2006/relationships" xmlns="http://schemas.openxmlformats.org/spreadsheetml/2006/main">
  <dimension ref="A1:G49"/>
  <sheetViews>
    <sheetView workbookViewId="0" tabSelected="0"/>
  </sheetViews>
  <sheetFormatPr defaultRowHeight="15"/>
  <cols>
    <col min="1" max="1" width="22" customWidth="1"/>
    <col min="2" max="2" width="22" customWidth="1"/>
    <col min="3" max="3" width="22" customWidth="1"/>
    <col min="4" max="4" width="22" customWidth="1"/>
    <col min="5" max="5" width="22" customWidth="1"/>
    <col min="6" max="6" width="22" customWidth="1"/>
  </cols>
  <sheetData>
    <row r="1">
      <c r="A1" s="1" t="s">
        <v>73</v>
      </c>
      <c r="B1" s="1" t="s">
        <v>74</v>
      </c>
      <c r="C1" s="1" t="s">
        <v>75</v>
      </c>
      <c r="D1" s="1" t="s">
        <v>76</v>
      </c>
      <c r="E1" s="1" t="s">
        <v>77</v>
      </c>
      <c r="F1" s="1" t="s">
        <v>78</v>
      </c>
      <c r="G1" s="6" t="s">
        <v>79</v>
      </c>
    </row>
    <row r="2">
      <c r="A2" s="0" t="s">
        <v>80</v>
      </c>
      <c r="B2" s="0" t="s">
        <v>81</v>
      </c>
      <c r="C2" s="0" t="s">
        <v>81</v>
      </c>
      <c r="D2" s="0" t="s">
        <v>80</v>
      </c>
      <c r="E2" s="0" t="s">
        <v>82</v>
      </c>
      <c r="F2" s="0" t="s">
        <v>83</v>
      </c>
    </row>
    <row r="3">
      <c r="A3" s="0" t="s">
        <v>84</v>
      </c>
      <c r="B3" s="0" t="s">
        <v>85</v>
      </c>
      <c r="C3" s="0" t="s">
        <v>86</v>
      </c>
      <c r="D3" s="0" t="s">
        <v>87</v>
      </c>
      <c r="E3" s="0" t="s">
        <v>88</v>
      </c>
      <c r="F3" s="0" t="s">
        <v>89</v>
      </c>
    </row>
    <row r="4">
      <c r="A4" s="0" t="s">
        <v>90</v>
      </c>
      <c r="B4" s="0" t="s">
        <v>91</v>
      </c>
      <c r="C4" s="0" t="s">
        <v>92</v>
      </c>
      <c r="D4" s="0" t="s">
        <v>93</v>
      </c>
      <c r="F4" s="0" t="s">
        <v>94</v>
      </c>
    </row>
    <row r="5">
      <c r="A5" s="0" t="s">
        <v>95</v>
      </c>
      <c r="B5" s="0" t="s">
        <v>96</v>
      </c>
      <c r="C5" s="0" t="s">
        <v>97</v>
      </c>
      <c r="D5" s="0" t="s">
        <v>98</v>
      </c>
      <c r="F5" s="0" t="s">
        <v>99</v>
      </c>
    </row>
    <row r="6">
      <c r="B6" s="0" t="s">
        <v>100</v>
      </c>
      <c r="C6" s="0" t="s">
        <v>101</v>
      </c>
      <c r="F6" s="0" t="s">
        <v>102</v>
      </c>
    </row>
    <row r="7">
      <c r="B7" s="0" t="s">
        <v>103</v>
      </c>
      <c r="C7" s="0" t="s">
        <v>104</v>
      </c>
      <c r="F7" s="0" t="s">
        <v>105</v>
      </c>
    </row>
    <row r="8">
      <c r="B8" s="0" t="s">
        <v>106</v>
      </c>
      <c r="C8" s="0" t="s">
        <v>107</v>
      </c>
      <c r="F8" s="0" t="s">
        <v>108</v>
      </c>
    </row>
    <row r="9">
      <c r="B9" s="0" t="s">
        <v>109</v>
      </c>
      <c r="C9" s="0" t="s">
        <v>110</v>
      </c>
      <c r="F9" s="0" t="s">
        <v>111</v>
      </c>
    </row>
    <row r="10">
      <c r="B10" s="0" t="s">
        <v>112</v>
      </c>
      <c r="C10" s="0" t="s">
        <v>113</v>
      </c>
      <c r="F10" s="0" t="s">
        <v>114</v>
      </c>
    </row>
    <row r="11">
      <c r="B11" s="0" t="s">
        <v>115</v>
      </c>
      <c r="C11" s="0" t="s">
        <v>116</v>
      </c>
      <c r="F11" s="0" t="s">
        <v>117</v>
      </c>
    </row>
    <row r="12">
      <c r="B12" s="0" t="s">
        <v>118</v>
      </c>
      <c r="C12" s="0" t="s">
        <v>119</v>
      </c>
      <c r="F12" s="0" t="s">
        <v>120</v>
      </c>
    </row>
    <row r="13">
      <c r="C13" s="0" t="s">
        <v>121</v>
      </c>
      <c r="F13" s="0" t="s">
        <v>122</v>
      </c>
    </row>
    <row r="14">
      <c r="C14" s="0" t="s">
        <v>123</v>
      </c>
      <c r="F14" s="0" t="s">
        <v>124</v>
      </c>
    </row>
    <row r="15">
      <c r="F15" s="0" t="s">
        <v>125</v>
      </c>
    </row>
    <row r="16">
      <c r="F16" s="0" t="s">
        <v>126</v>
      </c>
    </row>
    <row r="17">
      <c r="F17" s="0" t="s">
        <v>127</v>
      </c>
    </row>
    <row r="18">
      <c r="F18" s="0" t="s">
        <v>128</v>
      </c>
    </row>
    <row r="19">
      <c r="F19" s="0" t="s">
        <v>129</v>
      </c>
    </row>
    <row r="20">
      <c r="F20" s="0" t="s">
        <v>130</v>
      </c>
    </row>
    <row r="21">
      <c r="F21" s="0" t="s">
        <v>131</v>
      </c>
    </row>
    <row r="22">
      <c r="F22" s="0" t="s">
        <v>132</v>
      </c>
    </row>
    <row r="23">
      <c r="F23" s="0" t="s">
        <v>133</v>
      </c>
    </row>
    <row r="24">
      <c r="F24" s="0" t="s">
        <v>134</v>
      </c>
    </row>
    <row r="25">
      <c r="F25" s="0" t="s">
        <v>135</v>
      </c>
    </row>
    <row r="26">
      <c r="F26" s="0" t="s">
        <v>136</v>
      </c>
    </row>
    <row r="27">
      <c r="F27" s="0" t="s">
        <v>137</v>
      </c>
    </row>
    <row r="28">
      <c r="F28" s="0" t="s">
        <v>138</v>
      </c>
    </row>
    <row r="29">
      <c r="F29" s="0" t="s">
        <v>139</v>
      </c>
    </row>
    <row r="30">
      <c r="F30" s="0" t="s">
        <v>140</v>
      </c>
    </row>
    <row r="31">
      <c r="F31" s="0" t="s">
        <v>141</v>
      </c>
    </row>
    <row r="32">
      <c r="F32" s="0" t="s">
        <v>142</v>
      </c>
    </row>
    <row r="33">
      <c r="F33" s="0" t="s">
        <v>143</v>
      </c>
    </row>
    <row r="34">
      <c r="F34" s="0" t="s">
        <v>144</v>
      </c>
    </row>
    <row r="35">
      <c r="F35" s="0" t="s">
        <v>145</v>
      </c>
    </row>
    <row r="36">
      <c r="F36" s="0" t="s">
        <v>146</v>
      </c>
    </row>
    <row r="37">
      <c r="F37" s="0" t="s">
        <v>147</v>
      </c>
    </row>
    <row r="38">
      <c r="F38" s="0" t="s">
        <v>148</v>
      </c>
    </row>
    <row r="39">
      <c r="F39" s="0" t="s">
        <v>149</v>
      </c>
    </row>
    <row r="40">
      <c r="F40" s="0" t="s">
        <v>150</v>
      </c>
    </row>
    <row r="41">
      <c r="F41" s="0" t="s">
        <v>151</v>
      </c>
    </row>
    <row r="42">
      <c r="F42" s="0" t="s">
        <v>152</v>
      </c>
    </row>
    <row r="43">
      <c r="F43" s="0" t="s">
        <v>153</v>
      </c>
    </row>
    <row r="44">
      <c r="F44" s="0" t="s">
        <v>154</v>
      </c>
    </row>
    <row r="45">
      <c r="F45" s="0" t="s">
        <v>155</v>
      </c>
    </row>
    <row r="46">
      <c r="F46" s="0" t="s">
        <v>156</v>
      </c>
    </row>
    <row r="47">
      <c r="F47" s="0" t="s">
        <v>157</v>
      </c>
    </row>
    <row r="48">
      <c r="F48" s="0" t="s">
        <v>158</v>
      </c>
    </row>
    <row r="49">
      <c r="F49" s="0" t="s">
        <v>159</v>
      </c>
    </row>
  </sheetData>
  <headerFooter/>
</worksheet>
</file>

<file path=xl/worksheets/sheet3.xml><?xml version="1.0" encoding="utf-8"?>
<worksheet xmlns:r="http://schemas.openxmlformats.org/officeDocument/2006/relationships" xmlns="http://schemas.openxmlformats.org/spreadsheetml/2006/main">
  <dimension ref="A1:C9"/>
  <sheetViews>
    <sheetView workbookViewId="0" tabSelected="0"/>
  </sheetViews>
  <sheetFormatPr defaultRowHeight="15"/>
  <cols>
    <col min="1" max="1" width="22" customWidth="1"/>
    <col min="2" max="2" width="11" customWidth="1"/>
    <col min="3" max="3" width="46" customWidth="1"/>
  </cols>
  <sheetData>
    <row r="1">
      <c r="A1" s="2" t="s">
        <v>160</v>
      </c>
    </row>
    <row r="2">
      <c r="A2" s="8" t="s">
        <v>161</v>
      </c>
      <c r="B2" s="8" t="s">
        <v>71</v>
      </c>
      <c r="C2" s="8" t="s">
        <v>162</v>
      </c>
    </row>
    <row r="3">
      <c r="A3" s="9" t="s">
        <v>163</v>
      </c>
      <c r="B3" s="10">
        <v>2</v>
      </c>
      <c r="C3" s="9" t="s">
        <v>164</v>
      </c>
    </row>
    <row r="4">
      <c r="A4" s="9" t="s">
        <v>165</v>
      </c>
      <c r="B4" s="10">
        <v>2</v>
      </c>
      <c r="C4" s="9" t="s">
        <v>166</v>
      </c>
    </row>
    <row r="5">
      <c r="A5" s="9" t="s">
        <v>167</v>
      </c>
      <c r="B5" s="10">
        <v>2</v>
      </c>
      <c r="C5" s="9" t="s">
        <v>168</v>
      </c>
    </row>
    <row r="6">
      <c r="A6" s="9" t="s">
        <v>169</v>
      </c>
      <c r="B6" s="10">
        <v>2</v>
      </c>
      <c r="C6" s="9" t="s">
        <v>170</v>
      </c>
    </row>
    <row r="7">
      <c r="A7" s="9" t="s">
        <v>171</v>
      </c>
      <c r="B7" s="10">
        <v>2</v>
      </c>
      <c r="C7" s="9" t="s">
        <v>172</v>
      </c>
    </row>
    <row r="8">
      <c r="A8" s="9" t="s">
        <v>173</v>
      </c>
      <c r="B8" s="10">
        <v>2</v>
      </c>
      <c r="C8" s="9" t="s">
        <v>174</v>
      </c>
    </row>
    <row r="9">
      <c r="A9" s="9" t="s">
        <v>175</v>
      </c>
      <c r="B9" s="10">
        <v>2</v>
      </c>
      <c r="C9" s="9" t="s">
        <v>176</v>
      </c>
    </row>
  </sheetData>
  <headerFooter/>
</worksheet>
</file>

<file path=xl/worksheets/sheet4.xml><?xml version="1.0" encoding="utf-8"?>
<worksheet xmlns:r="http://schemas.openxmlformats.org/officeDocument/2006/relationships" xmlns="http://schemas.openxmlformats.org/spreadsheetml/2006/main">
  <dimension ref="A1:F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s>
  <sheetData>
    <row r="1">
      <c r="A1" s="1" t="s">
        <v>177</v>
      </c>
      <c r="B1" s="0" t="s">
        <v>178</v>
      </c>
    </row>
    <row r="2">
      <c r="A2" s="1" t="s">
        <v>179</v>
      </c>
      <c r="B2" s="0" t="s">
        <v>82</v>
      </c>
    </row>
    <row r="3">
      <c r="A3" s="1" t="s">
        <v>180</v>
      </c>
      <c r="B3" s="0" t="s">
        <v>181</v>
      </c>
    </row>
    <row r="4">
      <c r="A4" s="1" t="s">
        <v>182</v>
      </c>
      <c r="B4" s="0">
        <f>IF($B$3="","NEW","Live")</f>
      </c>
    </row>
    <row r="6">
      <c r="A6" s="1" t="s">
        <v>183</v>
      </c>
    </row>
    <row r="7">
      <c r="A7" s="6" t="s">
        <v>184</v>
      </c>
      <c r="B7" s="0" t="s">
        <v>185</v>
      </c>
    </row>
    <row r="8">
      <c r="A8" s="6" t="s">
        <v>186</v>
      </c>
      <c r="B8" s="0">
        <v>150</v>
      </c>
    </row>
    <row r="9">
      <c r="A9" s="6" t="s">
        <v>187</v>
      </c>
      <c r="B9" s="0">
        <v>2</v>
      </c>
    </row>
    <row r="10">
      <c r="A10" s="6" t="s">
        <v>73</v>
      </c>
      <c r="B10" s="0" t="s">
        <v>95</v>
      </c>
    </row>
    <row r="11">
      <c r="A11" s="6" t="s">
        <v>74</v>
      </c>
      <c r="B11" s="0" t="s">
        <v>103</v>
      </c>
    </row>
    <row r="12">
      <c r="A12" s="6" t="s">
        <v>188</v>
      </c>
      <c r="B12" s="0" t="s">
        <v>86</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IFERROR(AVERAGEIF(B$26:F$26,"Yes",B$54:F$54),0)</f>
      </c>
    </row>
    <row r="20">
      <c r="A20" s="0" t="s">
        <v>193</v>
      </c>
      <c r="B20" s="3">
        <f>IFERROR(AVERAGEIF(B$26:F$26,"Yes",B$32:F$32),0)</f>
      </c>
    </row>
    <row r="21">
      <c r="A21" s="0" t="s">
        <v>194</v>
      </c>
      <c r="B21" s="3">
        <f>IFERROR(AVERAGEIF(B$26:F$26,"Yes",B$55:F$55),0)</f>
      </c>
    </row>
    <row r="22">
      <c r="A22" s="0" t="s">
        <v>195</v>
      </c>
      <c r="B22" s="3">
        <f>IFERROR(AVERAGEIF(B$26:F$26,"Yes",B$52:F$52),0)</f>
      </c>
    </row>
    <row r="24">
      <c r="A24" s="1" t="s">
        <v>196</v>
      </c>
      <c r="B24" s="0" t="s">
        <v>126</v>
      </c>
      <c r="C24" s="0" t="s">
        <v>126</v>
      </c>
      <c r="D24" s="0" t="s">
        <v>99</v>
      </c>
      <c r="E24" s="0" t="s">
        <v>114</v>
      </c>
      <c r="F24" s="0" t="s">
        <v>136</v>
      </c>
    </row>
    <row r="25">
      <c r="A25" s="0" t="s">
        <v>197</v>
      </c>
      <c r="B25" s="0" t="s">
        <v>198</v>
      </c>
      <c r="C25" s="0" t="s">
        <v>198</v>
      </c>
      <c r="D25" s="0" t="s">
        <v>199</v>
      </c>
      <c r="E25" s="0" t="s">
        <v>200</v>
      </c>
      <c r="F25" s="0" t="s">
        <v>201</v>
      </c>
    </row>
    <row r="26">
      <c r="A26" s="0" t="s">
        <v>202</v>
      </c>
      <c r="B26" s="0" t="s">
        <v>82</v>
      </c>
      <c r="C26" s="0" t="s">
        <v>82</v>
      </c>
      <c r="D26" s="0" t="s">
        <v>82</v>
      </c>
      <c r="E26" s="0" t="s">
        <v>88</v>
      </c>
      <c r="F26" s="0" t="s">
        <v>88</v>
      </c>
    </row>
    <row r="28">
      <c r="A28" s="1" t="s">
        <v>203</v>
      </c>
    </row>
    <row r="29">
      <c r="A29" s="0" t="s">
        <v>204</v>
      </c>
      <c r="B29" s="11">
        <v>1</v>
      </c>
      <c r="C29" s="11">
        <v>1</v>
      </c>
      <c r="D29" s="11">
        <v>1</v>
      </c>
      <c r="E29" s="11">
        <v>0</v>
      </c>
      <c r="F29" s="11">
        <v>1</v>
      </c>
    </row>
    <row r="30">
      <c r="A30" s="0" t="s">
        <v>205</v>
      </c>
      <c r="B30" s="11">
        <v>1</v>
      </c>
      <c r="C30" s="11">
        <v>1</v>
      </c>
      <c r="D30" s="11">
        <v>1</v>
      </c>
      <c r="E30" s="11">
        <v>3</v>
      </c>
      <c r="F30" s="11">
        <v>1</v>
      </c>
    </row>
    <row r="31">
      <c r="A31" s="0" t="s">
        <v>206</v>
      </c>
      <c r="B31" s="11">
        <v>9</v>
      </c>
      <c r="C31" s="11">
        <v>9</v>
      </c>
      <c r="D31" s="11">
        <v>1</v>
      </c>
      <c r="E31" s="11">
        <v>1</v>
      </c>
      <c r="F31" s="11">
        <v>1</v>
      </c>
    </row>
    <row r="32">
      <c r="A32" s="0" t="s">
        <v>207</v>
      </c>
      <c r="B32" s="3">
        <v>8</v>
      </c>
      <c r="C32" s="3">
        <v>8</v>
      </c>
      <c r="D32" s="3">
        <v>5</v>
      </c>
      <c r="E32" s="3">
        <v>0</v>
      </c>
      <c r="F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row>
    <row r="34">
      <c r="A34" s="0" t="s">
        <v>208</v>
      </c>
      <c r="B34" s="3">
        <v>0</v>
      </c>
      <c r="C34" s="3">
        <v>0</v>
      </c>
      <c r="D34" s="3">
        <v>0</v>
      </c>
      <c r="E34" s="3">
        <v>0</v>
      </c>
      <c r="F34" s="3">
        <v>0</v>
      </c>
    </row>
    <row r="35">
      <c r="A35" s="0" t="s">
        <v>209</v>
      </c>
      <c r="B35" s="3">
        <v>0</v>
      </c>
      <c r="C35" s="3">
        <v>0</v>
      </c>
      <c r="D35" s="3">
        <v>0</v>
      </c>
      <c r="E35" s="3">
        <v>0</v>
      </c>
      <c r="F35" s="3">
        <v>0</v>
      </c>
    </row>
    <row r="36">
      <c r="A36" s="0" t="s">
        <v>210</v>
      </c>
      <c r="B36" s="3">
        <v>0</v>
      </c>
      <c r="C36" s="3">
        <v>0</v>
      </c>
      <c r="D36" s="3">
        <v>10</v>
      </c>
      <c r="E36" s="3">
        <v>0</v>
      </c>
      <c r="F36" s="3">
        <v>0</v>
      </c>
    </row>
    <row r="37">
      <c r="A37" s="0" t="s">
        <v>211</v>
      </c>
      <c r="B37" s="3">
        <v>0</v>
      </c>
      <c r="C37" s="3">
        <v>0</v>
      </c>
      <c r="D37" s="3">
        <v>0</v>
      </c>
      <c r="E37" s="3">
        <v>0</v>
      </c>
      <c r="F37" s="3">
        <v>0</v>
      </c>
    </row>
    <row r="38">
      <c r="A38" s="0" t="s">
        <v>212</v>
      </c>
      <c r="B38" s="3">
        <v>0</v>
      </c>
      <c r="C38" s="3">
        <v>0</v>
      </c>
      <c r="D38" s="3">
        <v>0</v>
      </c>
      <c r="E38" s="3">
        <v>0</v>
      </c>
      <c r="F38" s="3">
        <v>0</v>
      </c>
    </row>
    <row r="39">
      <c r="A39" s="0" t="s">
        <v>213</v>
      </c>
      <c r="B39" s="3">
        <v>0</v>
      </c>
      <c r="C39" s="3">
        <v>0</v>
      </c>
      <c r="D39" s="3">
        <v>0</v>
      </c>
      <c r="E39" s="3">
        <v>0</v>
      </c>
      <c r="F39" s="3">
        <v>0</v>
      </c>
    </row>
    <row r="40">
      <c r="A40" s="0" t="s">
        <v>214</v>
      </c>
      <c r="B40" s="3">
        <v>0</v>
      </c>
      <c r="C40" s="3">
        <v>0</v>
      </c>
      <c r="D40" s="3">
        <v>0</v>
      </c>
      <c r="E40" s="3">
        <v>0</v>
      </c>
      <c r="F40" s="3">
        <v>0</v>
      </c>
    </row>
    <row r="41">
      <c r="A41" s="0" t="s">
        <v>215</v>
      </c>
      <c r="B41" s="3">
        <v>0</v>
      </c>
      <c r="C41" s="3">
        <v>0</v>
      </c>
      <c r="D41" s="3">
        <v>0</v>
      </c>
      <c r="E41" s="3">
        <v>0</v>
      </c>
      <c r="F41" s="3">
        <v>0</v>
      </c>
    </row>
    <row r="42">
      <c r="A42" s="0" t="s">
        <v>216</v>
      </c>
      <c r="B42" s="3">
        <v>0</v>
      </c>
      <c r="C42" s="3">
        <v>0</v>
      </c>
      <c r="D42" s="3">
        <v>0</v>
      </c>
      <c r="E42" s="3">
        <v>0</v>
      </c>
      <c r="F42" s="3">
        <v>0</v>
      </c>
    </row>
    <row r="43">
      <c r="A43" s="0" t="s">
        <v>217</v>
      </c>
      <c r="B43" s="3">
        <v>0</v>
      </c>
      <c r="C43" s="3">
        <v>0</v>
      </c>
      <c r="D43" s="3">
        <v>0</v>
      </c>
      <c r="E43" s="3">
        <v>0</v>
      </c>
      <c r="F43" s="3">
        <v>0</v>
      </c>
    </row>
    <row r="44">
      <c r="A44" s="0" t="s">
        <v>218</v>
      </c>
      <c r="B44" s="3">
        <v>0</v>
      </c>
      <c r="C44" s="3">
        <v>0</v>
      </c>
      <c r="D44" s="3">
        <v>0</v>
      </c>
      <c r="E44" s="3">
        <v>0</v>
      </c>
      <c r="F44" s="3">
        <v>0</v>
      </c>
    </row>
    <row r="45">
      <c r="A45" s="0" t="s">
        <v>219</v>
      </c>
      <c r="B45" s="3">
        <v>0</v>
      </c>
      <c r="C45" s="3">
        <v>0</v>
      </c>
      <c r="D45" s="3">
        <v>0</v>
      </c>
      <c r="E45" s="3">
        <v>0</v>
      </c>
      <c r="F45" s="3">
        <v>0</v>
      </c>
    </row>
    <row r="46">
      <c r="A46" s="0" t="s">
        <v>220</v>
      </c>
      <c r="B46" s="3">
        <v>0</v>
      </c>
      <c r="C46" s="3">
        <v>0</v>
      </c>
      <c r="D46" s="3">
        <v>0</v>
      </c>
      <c r="E46" s="3">
        <v>0</v>
      </c>
      <c r="F46" s="3">
        <v>0</v>
      </c>
    </row>
    <row r="47">
      <c r="A47" s="0" t="s">
        <v>221</v>
      </c>
      <c r="B47" s="3">
        <v>0</v>
      </c>
      <c r="C47" s="3">
        <v>0</v>
      </c>
      <c r="D47" s="3">
        <v>0</v>
      </c>
      <c r="E47" s="3">
        <v>0</v>
      </c>
      <c r="F47" s="3">
        <v>0</v>
      </c>
    </row>
    <row r="48">
      <c r="A48" s="0" t="s">
        <v>222</v>
      </c>
      <c r="B48" s="3">
        <v>0</v>
      </c>
      <c r="C48" s="3">
        <v>0</v>
      </c>
      <c r="D48" s="3">
        <v>0</v>
      </c>
      <c r="E48" s="3">
        <v>0</v>
      </c>
      <c r="F48" s="3">
        <v>0</v>
      </c>
    </row>
    <row r="49">
      <c r="A49" s="0" t="s">
        <v>223</v>
      </c>
      <c r="B49" s="3">
        <v>0</v>
      </c>
      <c r="C49" s="3">
        <v>0</v>
      </c>
      <c r="D49" s="3">
        <v>0</v>
      </c>
      <c r="E49" s="3">
        <v>0</v>
      </c>
      <c r="F49" s="3">
        <v>0</v>
      </c>
    </row>
    <row r="50">
      <c r="A50" s="0" t="s">
        <v>224</v>
      </c>
      <c r="B50" s="3">
        <v>0</v>
      </c>
      <c r="C50" s="3">
        <v>0</v>
      </c>
      <c r="D50" s="3">
        <v>0</v>
      </c>
      <c r="E50" s="3">
        <v>0</v>
      </c>
      <c r="F50" s="3">
        <v>0</v>
      </c>
    </row>
    <row r="51">
      <c r="A51" s="0" t="s">
        <v>225</v>
      </c>
      <c r="B51" s="3">
        <v>0</v>
      </c>
      <c r="C51" s="3">
        <v>0</v>
      </c>
      <c r="D51" s="3">
        <v>0</v>
      </c>
      <c r="E51" s="3">
        <v>0</v>
      </c>
      <c r="F51" s="3">
        <v>1</v>
      </c>
    </row>
    <row r="52">
      <c r="A52" s="0" t="s">
        <v>226</v>
      </c>
      <c r="B52" s="3">
        <v>0</v>
      </c>
      <c r="C52" s="3">
        <v>0</v>
      </c>
      <c r="D52" s="3">
        <v>0</v>
      </c>
      <c r="E52" s="3">
        <f>pow_Skeleton</f>
      </c>
      <c r="F52" s="3">
        <v>0</v>
      </c>
    </row>
    <row r="53">
      <c r="A53" s="0" t="s">
        <v>227</v>
      </c>
      <c r="B53" s="11">
        <v>0</v>
      </c>
      <c r="C53" s="11">
        <v>0</v>
      </c>
      <c r="D53" s="11">
        <v>0</v>
      </c>
      <c r="E53" s="11">
        <v>3</v>
      </c>
      <c r="F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row>
    <row r="55">
      <c r="A55" s="0" t="s">
        <v>229</v>
      </c>
      <c r="B55" s="3">
        <f>B$54-B$32*pw_Damage-B$33-B$52*pw_Summon</f>
      </c>
      <c r="C55" s="3">
        <f>C$54-C$32*pw_Damage-C$33-C$52*pw_Summon</f>
      </c>
      <c r="D55" s="3">
        <f>D$54-D$32*pw_Damage-D$33-D$52*pw_Summon</f>
      </c>
      <c r="E55" s="3">
        <f>E$54-E$32*pw_Damage-E$33-E$52*pw_Summon</f>
      </c>
      <c r="F55" s="3">
        <f>F$54-F$32*pw_Damage-F$33-F$52*pw_Summon</f>
      </c>
    </row>
    <row r="57">
      <c r="A57" s="1" t="s">
        <v>230</v>
      </c>
      <c r="B57" s="4"/>
    </row>
  </sheetData>
  <dataValidations count="9">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s>
  <headerFooter/>
</worksheet>
</file>

<file path=xl/worksheets/sheet5.xml><?xml version="1.0" encoding="utf-8"?>
<worksheet xmlns:r="http://schemas.openxmlformats.org/officeDocument/2006/relationships" xmlns="http://schemas.openxmlformats.org/spreadsheetml/2006/main">
  <dimension ref="A1:H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 min="7" max="7" width="16" customWidth="1"/>
    <col min="8" max="8" width="16" customWidth="1"/>
  </cols>
  <sheetData>
    <row r="1">
      <c r="A1" s="1" t="s">
        <v>177</v>
      </c>
      <c r="B1" s="0" t="s">
        <v>170</v>
      </c>
    </row>
    <row r="2">
      <c r="A2" s="1" t="s">
        <v>179</v>
      </c>
      <c r="B2" s="0" t="s">
        <v>82</v>
      </c>
    </row>
    <row r="3">
      <c r="A3" s="1" t="s">
        <v>180</v>
      </c>
      <c r="B3" s="0" t="s">
        <v>231</v>
      </c>
    </row>
    <row r="4">
      <c r="A4" s="1" t="s">
        <v>182</v>
      </c>
      <c r="B4" s="0">
        <f>IF($B$3="","NEW","Live")</f>
      </c>
    </row>
    <row r="6">
      <c r="A6" s="1" t="s">
        <v>183</v>
      </c>
    </row>
    <row r="7">
      <c r="A7" s="6" t="s">
        <v>184</v>
      </c>
      <c r="B7" s="0" t="s">
        <v>232</v>
      </c>
    </row>
    <row r="8">
      <c r="A8" s="6" t="s">
        <v>186</v>
      </c>
      <c r="B8" s="0">
        <v>140</v>
      </c>
    </row>
    <row r="9">
      <c r="A9" s="6" t="s">
        <v>187</v>
      </c>
      <c r="B9" s="0">
        <v>2</v>
      </c>
    </row>
    <row r="10">
      <c r="A10" s="6" t="s">
        <v>73</v>
      </c>
      <c r="B10" s="0" t="s">
        <v>95</v>
      </c>
    </row>
    <row r="11">
      <c r="A11" s="6" t="s">
        <v>74</v>
      </c>
      <c r="B11" s="0" t="s">
        <v>103</v>
      </c>
    </row>
    <row r="12">
      <c r="A12" s="6" t="s">
        <v>188</v>
      </c>
      <c r="B12" s="0" t="s">
        <v>101</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IFERROR(AVERAGEIF(B$26:H$26,"Yes",B$54:H$54),0)</f>
      </c>
    </row>
    <row r="20">
      <c r="A20" s="0" t="s">
        <v>193</v>
      </c>
      <c r="B20" s="3">
        <f>IFERROR(AVERAGEIF(B$26:H$26,"Yes",B$32:H$32),0)</f>
      </c>
    </row>
    <row r="21">
      <c r="A21" s="0" t="s">
        <v>194</v>
      </c>
      <c r="B21" s="3">
        <f>IFERROR(AVERAGEIF(B$26:H$26,"Yes",B$55:H$55),0)</f>
      </c>
    </row>
    <row r="22">
      <c r="A22" s="0" t="s">
        <v>195</v>
      </c>
      <c r="B22" s="3">
        <f>IFERROR(AVERAGEIF(B$26:H$26,"Yes",B$52:H$52),0)</f>
      </c>
    </row>
    <row r="24">
      <c r="A24" s="1" t="s">
        <v>196</v>
      </c>
      <c r="B24" s="0" t="s">
        <v>131</v>
      </c>
      <c r="C24" s="0" t="s">
        <v>131</v>
      </c>
      <c r="D24" s="0" t="s">
        <v>146</v>
      </c>
      <c r="E24" s="0" t="s">
        <v>146</v>
      </c>
      <c r="F24" s="0" t="s">
        <v>145</v>
      </c>
      <c r="G24" s="0" t="s">
        <v>136</v>
      </c>
      <c r="H24" s="0" t="s">
        <v>136</v>
      </c>
    </row>
    <row r="25">
      <c r="A25" s="0" t="s">
        <v>197</v>
      </c>
      <c r="B25" s="0" t="s">
        <v>233</v>
      </c>
      <c r="C25" s="0" t="s">
        <v>233</v>
      </c>
      <c r="D25" s="0" t="s">
        <v>199</v>
      </c>
      <c r="E25" s="0" t="s">
        <v>199</v>
      </c>
      <c r="F25" s="0" t="s">
        <v>200</v>
      </c>
      <c r="G25" s="0" t="s">
        <v>201</v>
      </c>
      <c r="H25" s="0" t="s">
        <v>201</v>
      </c>
    </row>
    <row r="26">
      <c r="A26" s="0" t="s">
        <v>202</v>
      </c>
      <c r="B26" s="0" t="s">
        <v>82</v>
      </c>
      <c r="C26" s="0" t="s">
        <v>82</v>
      </c>
      <c r="D26" s="0" t="s">
        <v>82</v>
      </c>
      <c r="E26" s="0" t="s">
        <v>82</v>
      </c>
      <c r="F26" s="0" t="s">
        <v>88</v>
      </c>
      <c r="G26" s="0" t="s">
        <v>88</v>
      </c>
      <c r="H26" s="0" t="s">
        <v>88</v>
      </c>
    </row>
    <row r="28">
      <c r="A28" s="1" t="s">
        <v>203</v>
      </c>
    </row>
    <row r="29">
      <c r="A29" s="0" t="s">
        <v>204</v>
      </c>
      <c r="B29" s="11">
        <v>1</v>
      </c>
      <c r="C29" s="11">
        <v>1</v>
      </c>
      <c r="D29" s="11">
        <v>1</v>
      </c>
      <c r="E29" s="11">
        <v>1</v>
      </c>
      <c r="F29" s="11">
        <v>0</v>
      </c>
      <c r="G29" s="11">
        <v>1</v>
      </c>
      <c r="H29" s="11">
        <v>1</v>
      </c>
    </row>
    <row r="30">
      <c r="A30" s="0" t="s">
        <v>205</v>
      </c>
      <c r="B30" s="11">
        <v>1</v>
      </c>
      <c r="C30" s="11">
        <v>1</v>
      </c>
      <c r="D30" s="11">
        <v>1</v>
      </c>
      <c r="E30" s="11">
        <v>1</v>
      </c>
      <c r="F30" s="11">
        <v>3</v>
      </c>
      <c r="G30" s="11">
        <v>1</v>
      </c>
      <c r="H30" s="11">
        <v>1</v>
      </c>
    </row>
    <row r="31">
      <c r="A31" s="0" t="s">
        <v>206</v>
      </c>
      <c r="B31" s="11">
        <v>1</v>
      </c>
      <c r="C31" s="11">
        <v>1</v>
      </c>
      <c r="D31" s="11">
        <v>9</v>
      </c>
      <c r="E31" s="11">
        <v>9</v>
      </c>
      <c r="F31" s="11">
        <v>1</v>
      </c>
      <c r="G31" s="11">
        <v>1</v>
      </c>
      <c r="H31" s="11">
        <v>1</v>
      </c>
    </row>
    <row r="32">
      <c r="A32" s="0" t="s">
        <v>207</v>
      </c>
      <c r="B32" s="3">
        <v>9</v>
      </c>
      <c r="C32" s="3">
        <v>9</v>
      </c>
      <c r="D32" s="3">
        <v>5</v>
      </c>
      <c r="E32" s="3">
        <v>5</v>
      </c>
      <c r="F32" s="3">
        <v>0</v>
      </c>
      <c r="G32" s="3">
        <v>0</v>
      </c>
      <c r="H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c r="G33" s="3">
        <f>IFERROR(VLOOKUP(G$30,range_Power,2,TRUE),0)</f>
      </c>
      <c r="H33" s="3">
        <f>IFERROR(VLOOKUP(H$30,range_Power,2,TRUE),0)</f>
      </c>
    </row>
    <row r="34">
      <c r="A34" s="0" t="s">
        <v>208</v>
      </c>
      <c r="B34" s="3">
        <v>0</v>
      </c>
      <c r="C34" s="3">
        <v>0</v>
      </c>
      <c r="D34" s="3">
        <v>0</v>
      </c>
      <c r="E34" s="3">
        <v>0</v>
      </c>
      <c r="F34" s="3">
        <v>0</v>
      </c>
      <c r="G34" s="3">
        <v>0</v>
      </c>
      <c r="H34" s="3">
        <v>0</v>
      </c>
    </row>
    <row r="35">
      <c r="A35" s="0" t="s">
        <v>209</v>
      </c>
      <c r="B35" s="3">
        <v>0</v>
      </c>
      <c r="C35" s="3">
        <v>0</v>
      </c>
      <c r="D35" s="3">
        <v>0</v>
      </c>
      <c r="E35" s="3">
        <v>0</v>
      </c>
      <c r="F35" s="3">
        <v>0</v>
      </c>
      <c r="G35" s="3">
        <v>0</v>
      </c>
      <c r="H35" s="3">
        <v>0</v>
      </c>
    </row>
    <row r="36">
      <c r="A36" s="0" t="s">
        <v>210</v>
      </c>
      <c r="B36" s="3">
        <v>0</v>
      </c>
      <c r="C36" s="3">
        <v>0</v>
      </c>
      <c r="D36" s="3">
        <v>10</v>
      </c>
      <c r="E36" s="3">
        <v>10</v>
      </c>
      <c r="F36" s="3">
        <v>0</v>
      </c>
      <c r="G36" s="3">
        <v>0</v>
      </c>
      <c r="H36" s="3">
        <v>0</v>
      </c>
    </row>
    <row r="37">
      <c r="A37" s="0" t="s">
        <v>211</v>
      </c>
      <c r="B37" s="3">
        <v>0</v>
      </c>
      <c r="C37" s="3">
        <v>0</v>
      </c>
      <c r="D37" s="3">
        <v>0</v>
      </c>
      <c r="E37" s="3">
        <v>0</v>
      </c>
      <c r="F37" s="3">
        <v>0</v>
      </c>
      <c r="G37" s="3">
        <v>0</v>
      </c>
      <c r="H37" s="3">
        <v>0</v>
      </c>
    </row>
    <row r="38">
      <c r="A38" s="0" t="s">
        <v>212</v>
      </c>
      <c r="B38" s="3">
        <v>0</v>
      </c>
      <c r="C38" s="3">
        <v>0</v>
      </c>
      <c r="D38" s="3">
        <v>0</v>
      </c>
      <c r="E38" s="3">
        <v>0</v>
      </c>
      <c r="F38" s="3">
        <v>0</v>
      </c>
      <c r="G38" s="3">
        <v>0</v>
      </c>
      <c r="H38" s="3">
        <v>0</v>
      </c>
    </row>
    <row r="39">
      <c r="A39" s="0" t="s">
        <v>213</v>
      </c>
      <c r="B39" s="3">
        <v>0</v>
      </c>
      <c r="C39" s="3">
        <v>0</v>
      </c>
      <c r="D39" s="3">
        <v>0</v>
      </c>
      <c r="E39" s="3">
        <v>0</v>
      </c>
      <c r="F39" s="3">
        <v>0</v>
      </c>
      <c r="G39" s="3">
        <v>0</v>
      </c>
      <c r="H39" s="3">
        <v>0</v>
      </c>
    </row>
    <row r="40">
      <c r="A40" s="0" t="s">
        <v>214</v>
      </c>
      <c r="B40" s="3">
        <v>0</v>
      </c>
      <c r="C40" s="3">
        <v>0</v>
      </c>
      <c r="D40" s="3">
        <v>0</v>
      </c>
      <c r="E40" s="3">
        <v>0</v>
      </c>
      <c r="F40" s="3">
        <v>0</v>
      </c>
      <c r="G40" s="3">
        <v>0</v>
      </c>
      <c r="H40" s="3">
        <v>0</v>
      </c>
    </row>
    <row r="41">
      <c r="A41" s="0" t="s">
        <v>215</v>
      </c>
      <c r="B41" s="3">
        <v>0</v>
      </c>
      <c r="C41" s="3">
        <v>0</v>
      </c>
      <c r="D41" s="3">
        <v>0</v>
      </c>
      <c r="E41" s="3">
        <v>0</v>
      </c>
      <c r="F41" s="3">
        <v>0</v>
      </c>
      <c r="G41" s="3">
        <v>0</v>
      </c>
      <c r="H41" s="3">
        <v>0</v>
      </c>
    </row>
    <row r="42">
      <c r="A42" s="0" t="s">
        <v>216</v>
      </c>
      <c r="B42" s="3">
        <v>0</v>
      </c>
      <c r="C42" s="3">
        <v>0</v>
      </c>
      <c r="D42" s="3">
        <v>0</v>
      </c>
      <c r="E42" s="3">
        <v>0</v>
      </c>
      <c r="F42" s="3">
        <v>0</v>
      </c>
      <c r="G42" s="3">
        <v>0</v>
      </c>
      <c r="H42" s="3">
        <v>0</v>
      </c>
    </row>
    <row r="43">
      <c r="A43" s="0" t="s">
        <v>217</v>
      </c>
      <c r="B43" s="3">
        <v>0</v>
      </c>
      <c r="C43" s="3">
        <v>0</v>
      </c>
      <c r="D43" s="3">
        <v>0</v>
      </c>
      <c r="E43" s="3">
        <v>0</v>
      </c>
      <c r="F43" s="3">
        <v>0</v>
      </c>
      <c r="G43" s="3">
        <v>0</v>
      </c>
      <c r="H43" s="3">
        <v>0</v>
      </c>
    </row>
    <row r="44">
      <c r="A44" s="0" t="s">
        <v>218</v>
      </c>
      <c r="B44" s="3">
        <v>0</v>
      </c>
      <c r="C44" s="3">
        <v>0</v>
      </c>
      <c r="D44" s="3">
        <v>0</v>
      </c>
      <c r="E44" s="3">
        <v>0</v>
      </c>
      <c r="F44" s="3">
        <v>0</v>
      </c>
      <c r="G44" s="3">
        <v>0</v>
      </c>
      <c r="H44" s="3">
        <v>0</v>
      </c>
    </row>
    <row r="45">
      <c r="A45" s="0" t="s">
        <v>219</v>
      </c>
      <c r="B45" s="3">
        <v>0</v>
      </c>
      <c r="C45" s="3">
        <v>0</v>
      </c>
      <c r="D45" s="3">
        <v>0</v>
      </c>
      <c r="E45" s="3">
        <v>0</v>
      </c>
      <c r="F45" s="3">
        <v>0</v>
      </c>
      <c r="G45" s="3">
        <v>0</v>
      </c>
      <c r="H45" s="3">
        <v>0</v>
      </c>
    </row>
    <row r="46">
      <c r="A46" s="0" t="s">
        <v>220</v>
      </c>
      <c r="B46" s="3">
        <v>0</v>
      </c>
      <c r="C46" s="3">
        <v>0</v>
      </c>
      <c r="D46" s="3">
        <v>0</v>
      </c>
      <c r="E46" s="3">
        <v>0</v>
      </c>
      <c r="F46" s="3">
        <v>0</v>
      </c>
      <c r="G46" s="3">
        <v>0</v>
      </c>
      <c r="H46" s="3">
        <v>0</v>
      </c>
    </row>
    <row r="47">
      <c r="A47" s="0" t="s">
        <v>221</v>
      </c>
      <c r="B47" s="3">
        <v>0</v>
      </c>
      <c r="C47" s="3">
        <v>0</v>
      </c>
      <c r="D47" s="3">
        <v>0</v>
      </c>
      <c r="E47" s="3">
        <v>0</v>
      </c>
      <c r="F47" s="3">
        <v>0</v>
      </c>
      <c r="G47" s="3">
        <v>0</v>
      </c>
      <c r="H47" s="3">
        <v>0</v>
      </c>
    </row>
    <row r="48">
      <c r="A48" s="0" t="s">
        <v>222</v>
      </c>
      <c r="B48" s="3">
        <v>0</v>
      </c>
      <c r="C48" s="3">
        <v>0</v>
      </c>
      <c r="D48" s="3">
        <v>0</v>
      </c>
      <c r="E48" s="3">
        <v>0</v>
      </c>
      <c r="F48" s="3">
        <v>0</v>
      </c>
      <c r="G48" s="3">
        <v>0</v>
      </c>
      <c r="H48" s="3">
        <v>0</v>
      </c>
    </row>
    <row r="49">
      <c r="A49" s="0" t="s">
        <v>223</v>
      </c>
      <c r="B49" s="3">
        <v>0</v>
      </c>
      <c r="C49" s="3">
        <v>0</v>
      </c>
      <c r="D49" s="3">
        <v>0</v>
      </c>
      <c r="E49" s="3">
        <v>0</v>
      </c>
      <c r="F49" s="3">
        <v>0</v>
      </c>
      <c r="G49" s="3">
        <v>0</v>
      </c>
      <c r="H49" s="3">
        <v>0</v>
      </c>
    </row>
    <row r="50">
      <c r="A50" s="0" t="s">
        <v>224</v>
      </c>
      <c r="B50" s="3">
        <v>0</v>
      </c>
      <c r="C50" s="3">
        <v>0</v>
      </c>
      <c r="D50" s="3">
        <v>0</v>
      </c>
      <c r="E50" s="3">
        <v>0</v>
      </c>
      <c r="F50" s="3">
        <v>0</v>
      </c>
      <c r="G50" s="3">
        <v>0</v>
      </c>
      <c r="H50" s="3">
        <v>0</v>
      </c>
    </row>
    <row r="51">
      <c r="A51" s="0" t="s">
        <v>225</v>
      </c>
      <c r="B51" s="3">
        <v>0</v>
      </c>
      <c r="C51" s="3">
        <v>0</v>
      </c>
      <c r="D51" s="3">
        <v>0</v>
      </c>
      <c r="E51" s="3">
        <v>0</v>
      </c>
      <c r="F51" s="3">
        <v>0</v>
      </c>
      <c r="G51" s="3">
        <v>1</v>
      </c>
      <c r="H51" s="3">
        <v>1</v>
      </c>
    </row>
    <row r="52">
      <c r="A52" s="0" t="s">
        <v>226</v>
      </c>
      <c r="B52" s="3">
        <v>0</v>
      </c>
      <c r="C52" s="3">
        <v>0</v>
      </c>
      <c r="D52" s="3">
        <v>0</v>
      </c>
      <c r="E52" s="3">
        <v>0</v>
      </c>
      <c r="F52" s="3">
        <f>pow_LightBandit</f>
      </c>
      <c r="G52" s="3">
        <v>0</v>
      </c>
      <c r="H52" s="3">
        <v>0</v>
      </c>
    </row>
    <row r="53">
      <c r="A53" s="0" t="s">
        <v>227</v>
      </c>
      <c r="B53" s="11">
        <v>0</v>
      </c>
      <c r="C53" s="11">
        <v>0</v>
      </c>
      <c r="D53" s="11">
        <v>0</v>
      </c>
      <c r="E53" s="11">
        <v>0</v>
      </c>
      <c r="F53" s="11">
        <v>3</v>
      </c>
      <c r="G53" s="11">
        <v>0</v>
      </c>
      <c r="H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c r="G54" s="3">
        <f>G$32*pw_Damage+G$33+G$34*pw_Poison+G$35*pw_Heal+G$36*pw_Shield+G$37*pw_Block+G$38*pw_Parry+G$39*pw_Dodge+G$40*pw_Strength*pw_Horizon+G$41*pw_Weaken*pw_Horizon+G$42*pw_Vulnerable*pw_Horizon+G$43*pw_Frozen+G$44*pw_Rooted+G$45*pw_Taunt+G$46*pw_Stealth+G$47*pw_PoisonBlade*pw_Horizon+G$48*pw_DoubleNextAttack+G$49*pw_DoubleShield+G$50*pw_Draw+G$51*pw_Move+G$52*pw_Summon+MAX(0,G$31-1)*pw_Area</f>
      </c>
      <c r="H54" s="3">
        <f>H$32*pw_Damage+H$33+H$34*pw_Poison+H$35*pw_Heal+H$36*pw_Shield+H$37*pw_Block+H$38*pw_Parry+H$39*pw_Dodge+H$40*pw_Strength*pw_Horizon+H$41*pw_Weaken*pw_Horizon+H$42*pw_Vulnerable*pw_Horizon+H$43*pw_Frozen+H$44*pw_Rooted+H$45*pw_Taunt+H$46*pw_Stealth+H$47*pw_PoisonBlade*pw_Horizon+H$48*pw_DoubleNextAttack+H$49*pw_DoubleShield+H$50*pw_Draw+H$51*pw_Move+H$52*pw_Summon+MAX(0,H$31-1)*pw_Area</f>
      </c>
    </row>
    <row r="55">
      <c r="A55" s="0" t="s">
        <v>229</v>
      </c>
      <c r="B55" s="3">
        <f>B$54-B$32*pw_Damage-B$33-B$52*pw_Summon</f>
      </c>
      <c r="C55" s="3">
        <f>C$54-C$32*pw_Damage-C$33-C$52*pw_Summon</f>
      </c>
      <c r="D55" s="3">
        <f>D$54-D$32*pw_Damage-D$33-D$52*pw_Summon</f>
      </c>
      <c r="E55" s="3">
        <f>E$54-E$32*pw_Damage-E$33-E$52*pw_Summon</f>
      </c>
      <c r="F55" s="3">
        <f>F$54-F$32*pw_Damage-F$33-F$52*pw_Summon</f>
      </c>
      <c r="G55" s="3">
        <f>G$54-G$32*pw_Damage-G$33-G$52*pw_Summon</f>
      </c>
      <c r="H55" s="3">
        <f>H$54-H$32*pw_Damage-H$33-H$52*pw_Summon</f>
      </c>
    </row>
    <row r="57">
      <c r="A57" s="1" t="s">
        <v>230</v>
      </c>
      <c r="B57" s="4"/>
    </row>
  </sheetData>
  <dataValidations count="11">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 type="list" sqref="G24" showErrorMessage="0" allowBlank="1">
      <formula1>=list_EnemyCard</formula1>
    </dataValidation>
    <dataValidation type="list" sqref="H24" showErrorMessage="0" allowBlank="1">
      <formula1>=list_EnemyCard</formula1>
    </dataValidation>
  </dataValidations>
  <headerFooter/>
</worksheet>
</file>

<file path=xl/worksheets/sheet6.xml><?xml version="1.0" encoding="utf-8"?>
<worksheet xmlns:r="http://schemas.openxmlformats.org/officeDocument/2006/relationships" xmlns="http://schemas.openxmlformats.org/spreadsheetml/2006/main">
  <dimension ref="A1:H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 min="7" max="7" width="16" customWidth="1"/>
    <col min="8" max="8" width="16" customWidth="1"/>
  </cols>
  <sheetData>
    <row r="1">
      <c r="A1" s="1" t="s">
        <v>177</v>
      </c>
      <c r="B1" s="0" t="s">
        <v>168</v>
      </c>
    </row>
    <row r="2">
      <c r="A2" s="1" t="s">
        <v>179</v>
      </c>
      <c r="B2" s="0" t="s">
        <v>82</v>
      </c>
    </row>
    <row r="3">
      <c r="A3" s="1" t="s">
        <v>180</v>
      </c>
      <c r="B3" s="0" t="s">
        <v>234</v>
      </c>
    </row>
    <row r="4">
      <c r="A4" s="1" t="s">
        <v>182</v>
      </c>
      <c r="B4" s="0">
        <f>IF($B$3="","NEW","Live")</f>
      </c>
    </row>
    <row r="6">
      <c r="A6" s="1" t="s">
        <v>183</v>
      </c>
    </row>
    <row r="7">
      <c r="A7" s="6" t="s">
        <v>184</v>
      </c>
      <c r="B7" s="0" t="s">
        <v>235</v>
      </c>
    </row>
    <row r="8">
      <c r="A8" s="6" t="s">
        <v>186</v>
      </c>
      <c r="B8" s="0">
        <v>130</v>
      </c>
    </row>
    <row r="9">
      <c r="A9" s="6" t="s">
        <v>187</v>
      </c>
      <c r="B9" s="0">
        <v>2</v>
      </c>
    </row>
    <row r="10">
      <c r="A10" s="6" t="s">
        <v>73</v>
      </c>
      <c r="B10" s="0" t="s">
        <v>95</v>
      </c>
    </row>
    <row r="11">
      <c r="A11" s="6" t="s">
        <v>74</v>
      </c>
      <c r="B11" s="0" t="s">
        <v>85</v>
      </c>
    </row>
    <row r="12">
      <c r="A12" s="6" t="s">
        <v>188</v>
      </c>
      <c r="B12" s="0" t="s">
        <v>104</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IFERROR(AVERAGEIF(B$26:H$26,"Yes",B$54:H$54),0)</f>
      </c>
    </row>
    <row r="20">
      <c r="A20" s="0" t="s">
        <v>193</v>
      </c>
      <c r="B20" s="3">
        <f>IFERROR(AVERAGEIF(B$26:H$26,"Yes",B$32:H$32),0)</f>
      </c>
    </row>
    <row r="21">
      <c r="A21" s="0" t="s">
        <v>194</v>
      </c>
      <c r="B21" s="3">
        <f>IFERROR(AVERAGEIF(B$26:H$26,"Yes",B$55:H$55),0)</f>
      </c>
    </row>
    <row r="22">
      <c r="A22" s="0" t="s">
        <v>195</v>
      </c>
      <c r="B22" s="3">
        <f>IFERROR(AVERAGEIF(B$26:H$26,"Yes",B$52:H$52),0)</f>
      </c>
    </row>
    <row r="24">
      <c r="A24" s="1" t="s">
        <v>196</v>
      </c>
      <c r="B24" s="0" t="s">
        <v>143</v>
      </c>
      <c r="C24" s="0" t="s">
        <v>143</v>
      </c>
      <c r="D24" s="0" t="s">
        <v>149</v>
      </c>
      <c r="E24" s="0" t="s">
        <v>149</v>
      </c>
      <c r="F24" s="0" t="s">
        <v>142</v>
      </c>
      <c r="G24" s="0" t="s">
        <v>136</v>
      </c>
      <c r="H24" s="0" t="s">
        <v>136</v>
      </c>
    </row>
    <row r="25">
      <c r="A25" s="0" t="s">
        <v>197</v>
      </c>
      <c r="B25" s="0" t="s">
        <v>236</v>
      </c>
      <c r="C25" s="0" t="s">
        <v>236</v>
      </c>
      <c r="D25" s="0" t="s">
        <v>237</v>
      </c>
      <c r="E25" s="0" t="s">
        <v>237</v>
      </c>
      <c r="F25" s="0" t="s">
        <v>200</v>
      </c>
      <c r="G25" s="0" t="s">
        <v>201</v>
      </c>
      <c r="H25" s="0" t="s">
        <v>201</v>
      </c>
    </row>
    <row r="26">
      <c r="A26" s="0" t="s">
        <v>202</v>
      </c>
      <c r="B26" s="0" t="s">
        <v>82</v>
      </c>
      <c r="C26" s="0" t="s">
        <v>82</v>
      </c>
      <c r="D26" s="0" t="s">
        <v>82</v>
      </c>
      <c r="E26" s="0" t="s">
        <v>82</v>
      </c>
      <c r="F26" s="0" t="s">
        <v>88</v>
      </c>
      <c r="G26" s="0" t="s">
        <v>88</v>
      </c>
      <c r="H26" s="0" t="s">
        <v>88</v>
      </c>
    </row>
    <row r="28">
      <c r="A28" s="1" t="s">
        <v>203</v>
      </c>
    </row>
    <row r="29">
      <c r="A29" s="0" t="s">
        <v>204</v>
      </c>
      <c r="B29" s="11">
        <v>1</v>
      </c>
      <c r="C29" s="11">
        <v>1</v>
      </c>
      <c r="D29" s="11">
        <v>1</v>
      </c>
      <c r="E29" s="11">
        <v>1</v>
      </c>
      <c r="F29" s="11">
        <v>0</v>
      </c>
      <c r="G29" s="11">
        <v>1</v>
      </c>
      <c r="H29" s="11">
        <v>1</v>
      </c>
    </row>
    <row r="30">
      <c r="A30" s="0" t="s">
        <v>205</v>
      </c>
      <c r="B30" s="11">
        <v>1</v>
      </c>
      <c r="C30" s="11">
        <v>1</v>
      </c>
      <c r="D30" s="11">
        <v>1</v>
      </c>
      <c r="E30" s="11">
        <v>1</v>
      </c>
      <c r="F30" s="11">
        <v>3</v>
      </c>
      <c r="G30" s="11">
        <v>1</v>
      </c>
      <c r="H30" s="11">
        <v>1</v>
      </c>
    </row>
    <row r="31">
      <c r="A31" s="0" t="s">
        <v>206</v>
      </c>
      <c r="B31" s="11">
        <v>1</v>
      </c>
      <c r="C31" s="11">
        <v>1</v>
      </c>
      <c r="D31" s="11">
        <v>1</v>
      </c>
      <c r="E31" s="11">
        <v>1</v>
      </c>
      <c r="F31" s="11">
        <v>1</v>
      </c>
      <c r="G31" s="11">
        <v>1</v>
      </c>
      <c r="H31" s="11">
        <v>1</v>
      </c>
    </row>
    <row r="32">
      <c r="A32" s="0" t="s">
        <v>207</v>
      </c>
      <c r="B32" s="3">
        <v>6</v>
      </c>
      <c r="C32" s="3">
        <v>6</v>
      </c>
      <c r="D32" s="3">
        <v>4</v>
      </c>
      <c r="E32" s="3">
        <v>4</v>
      </c>
      <c r="F32" s="3">
        <v>0</v>
      </c>
      <c r="G32" s="3">
        <v>0</v>
      </c>
      <c r="H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c r="G33" s="3">
        <f>IFERROR(VLOOKUP(G$30,range_Power,2,TRUE),0)</f>
      </c>
      <c r="H33" s="3">
        <f>IFERROR(VLOOKUP(H$30,range_Power,2,TRUE),0)</f>
      </c>
    </row>
    <row r="34">
      <c r="A34" s="0" t="s">
        <v>208</v>
      </c>
      <c r="B34" s="3">
        <v>0</v>
      </c>
      <c r="C34" s="3">
        <v>0</v>
      </c>
      <c r="D34" s="3">
        <v>0</v>
      </c>
      <c r="E34" s="3">
        <v>0</v>
      </c>
      <c r="F34" s="3">
        <v>0</v>
      </c>
      <c r="G34" s="3">
        <v>0</v>
      </c>
      <c r="H34" s="3">
        <v>0</v>
      </c>
    </row>
    <row r="35">
      <c r="A35" s="0" t="s">
        <v>209</v>
      </c>
      <c r="B35" s="3">
        <v>0</v>
      </c>
      <c r="C35" s="3">
        <v>0</v>
      </c>
      <c r="D35" s="3">
        <v>0</v>
      </c>
      <c r="E35" s="3">
        <v>0</v>
      </c>
      <c r="F35" s="3">
        <v>0</v>
      </c>
      <c r="G35" s="3">
        <v>0</v>
      </c>
      <c r="H35" s="3">
        <v>0</v>
      </c>
    </row>
    <row r="36">
      <c r="A36" s="0" t="s">
        <v>210</v>
      </c>
      <c r="B36" s="3">
        <v>0</v>
      </c>
      <c r="C36" s="3">
        <v>0</v>
      </c>
      <c r="D36" s="3">
        <v>10</v>
      </c>
      <c r="E36" s="3">
        <v>10</v>
      </c>
      <c r="F36" s="3">
        <v>0</v>
      </c>
      <c r="G36" s="3">
        <v>0</v>
      </c>
      <c r="H36" s="3">
        <v>0</v>
      </c>
    </row>
    <row r="37">
      <c r="A37" s="0" t="s">
        <v>211</v>
      </c>
      <c r="B37" s="3">
        <v>0</v>
      </c>
      <c r="C37" s="3">
        <v>0</v>
      </c>
      <c r="D37" s="3">
        <v>0</v>
      </c>
      <c r="E37" s="3">
        <v>0</v>
      </c>
      <c r="F37" s="3">
        <v>0</v>
      </c>
      <c r="G37" s="3">
        <v>0</v>
      </c>
      <c r="H37" s="3">
        <v>0</v>
      </c>
    </row>
    <row r="38">
      <c r="A38" s="0" t="s">
        <v>212</v>
      </c>
      <c r="B38" s="3">
        <v>1</v>
      </c>
      <c r="C38" s="3">
        <v>1</v>
      </c>
      <c r="D38" s="3">
        <v>0</v>
      </c>
      <c r="E38" s="3">
        <v>0</v>
      </c>
      <c r="F38" s="3">
        <v>0</v>
      </c>
      <c r="G38" s="3">
        <v>0</v>
      </c>
      <c r="H38" s="3">
        <v>0</v>
      </c>
    </row>
    <row r="39">
      <c r="A39" s="0" t="s">
        <v>213</v>
      </c>
      <c r="B39" s="3">
        <v>0</v>
      </c>
      <c r="C39" s="3">
        <v>0</v>
      </c>
      <c r="D39" s="3">
        <v>0</v>
      </c>
      <c r="E39" s="3">
        <v>0</v>
      </c>
      <c r="F39" s="3">
        <v>0</v>
      </c>
      <c r="G39" s="3">
        <v>0</v>
      </c>
      <c r="H39" s="3">
        <v>0</v>
      </c>
    </row>
    <row r="40">
      <c r="A40" s="0" t="s">
        <v>214</v>
      </c>
      <c r="B40" s="3">
        <v>0</v>
      </c>
      <c r="C40" s="3">
        <v>0</v>
      </c>
      <c r="D40" s="3">
        <v>0</v>
      </c>
      <c r="E40" s="3">
        <v>0</v>
      </c>
      <c r="F40" s="3">
        <v>0</v>
      </c>
      <c r="G40" s="3">
        <v>0</v>
      </c>
      <c r="H40" s="3">
        <v>0</v>
      </c>
    </row>
    <row r="41">
      <c r="A41" s="0" t="s">
        <v>215</v>
      </c>
      <c r="B41" s="3">
        <v>0</v>
      </c>
      <c r="C41" s="3">
        <v>0</v>
      </c>
      <c r="D41" s="3">
        <v>0</v>
      </c>
      <c r="E41" s="3">
        <v>0</v>
      </c>
      <c r="F41" s="3">
        <v>0</v>
      </c>
      <c r="G41" s="3">
        <v>0</v>
      </c>
      <c r="H41" s="3">
        <v>0</v>
      </c>
    </row>
    <row r="42">
      <c r="A42" s="0" t="s">
        <v>216</v>
      </c>
      <c r="B42" s="3">
        <v>0</v>
      </c>
      <c r="C42" s="3">
        <v>0</v>
      </c>
      <c r="D42" s="3">
        <v>0</v>
      </c>
      <c r="E42" s="3">
        <v>0</v>
      </c>
      <c r="F42" s="3">
        <v>0</v>
      </c>
      <c r="G42" s="3">
        <v>0</v>
      </c>
      <c r="H42" s="3">
        <v>0</v>
      </c>
    </row>
    <row r="43">
      <c r="A43" s="0" t="s">
        <v>217</v>
      </c>
      <c r="B43" s="3">
        <v>0</v>
      </c>
      <c r="C43" s="3">
        <v>0</v>
      </c>
      <c r="D43" s="3">
        <v>0</v>
      </c>
      <c r="E43" s="3">
        <v>0</v>
      </c>
      <c r="F43" s="3">
        <v>0</v>
      </c>
      <c r="G43" s="3">
        <v>0</v>
      </c>
      <c r="H43" s="3">
        <v>0</v>
      </c>
    </row>
    <row r="44">
      <c r="A44" s="0" t="s">
        <v>218</v>
      </c>
      <c r="B44" s="3">
        <v>0</v>
      </c>
      <c r="C44" s="3">
        <v>0</v>
      </c>
      <c r="D44" s="3">
        <v>0</v>
      </c>
      <c r="E44" s="3">
        <v>0</v>
      </c>
      <c r="F44" s="3">
        <v>0</v>
      </c>
      <c r="G44" s="3">
        <v>0</v>
      </c>
      <c r="H44" s="3">
        <v>0</v>
      </c>
    </row>
    <row r="45">
      <c r="A45" s="0" t="s">
        <v>219</v>
      </c>
      <c r="B45" s="3">
        <v>0</v>
      </c>
      <c r="C45" s="3">
        <v>0</v>
      </c>
      <c r="D45" s="3">
        <v>0</v>
      </c>
      <c r="E45" s="3">
        <v>0</v>
      </c>
      <c r="F45" s="3">
        <v>0</v>
      </c>
      <c r="G45" s="3">
        <v>0</v>
      </c>
      <c r="H45" s="3">
        <v>0</v>
      </c>
    </row>
    <row r="46">
      <c r="A46" s="0" t="s">
        <v>220</v>
      </c>
      <c r="B46" s="3">
        <v>0</v>
      </c>
      <c r="C46" s="3">
        <v>0</v>
      </c>
      <c r="D46" s="3">
        <v>0</v>
      </c>
      <c r="E46" s="3">
        <v>0</v>
      </c>
      <c r="F46" s="3">
        <v>0</v>
      </c>
      <c r="G46" s="3">
        <v>0</v>
      </c>
      <c r="H46" s="3">
        <v>0</v>
      </c>
    </row>
    <row r="47">
      <c r="A47" s="0" t="s">
        <v>221</v>
      </c>
      <c r="B47" s="3">
        <v>0</v>
      </c>
      <c r="C47" s="3">
        <v>0</v>
      </c>
      <c r="D47" s="3">
        <v>0</v>
      </c>
      <c r="E47" s="3">
        <v>0</v>
      </c>
      <c r="F47" s="3">
        <v>0</v>
      </c>
      <c r="G47" s="3">
        <v>0</v>
      </c>
      <c r="H47" s="3">
        <v>0</v>
      </c>
    </row>
    <row r="48">
      <c r="A48" s="0" t="s">
        <v>222</v>
      </c>
      <c r="B48" s="3">
        <v>0</v>
      </c>
      <c r="C48" s="3">
        <v>0</v>
      </c>
      <c r="D48" s="3">
        <v>0</v>
      </c>
      <c r="E48" s="3">
        <v>0</v>
      </c>
      <c r="F48" s="3">
        <v>0</v>
      </c>
      <c r="G48" s="3">
        <v>0</v>
      </c>
      <c r="H48" s="3">
        <v>0</v>
      </c>
    </row>
    <row r="49">
      <c r="A49" s="0" t="s">
        <v>223</v>
      </c>
      <c r="B49" s="3">
        <v>0</v>
      </c>
      <c r="C49" s="3">
        <v>0</v>
      </c>
      <c r="D49" s="3">
        <v>0</v>
      </c>
      <c r="E49" s="3">
        <v>0</v>
      </c>
      <c r="F49" s="3">
        <v>0</v>
      </c>
      <c r="G49" s="3">
        <v>0</v>
      </c>
      <c r="H49" s="3">
        <v>0</v>
      </c>
    </row>
    <row r="50">
      <c r="A50" s="0" t="s">
        <v>224</v>
      </c>
      <c r="B50" s="3">
        <v>0</v>
      </c>
      <c r="C50" s="3">
        <v>0</v>
      </c>
      <c r="D50" s="3">
        <v>0</v>
      </c>
      <c r="E50" s="3">
        <v>0</v>
      </c>
      <c r="F50" s="3">
        <v>0</v>
      </c>
      <c r="G50" s="3">
        <v>0</v>
      </c>
      <c r="H50" s="3">
        <v>0</v>
      </c>
    </row>
    <row r="51">
      <c r="A51" s="0" t="s">
        <v>225</v>
      </c>
      <c r="B51" s="3">
        <v>0</v>
      </c>
      <c r="C51" s="3">
        <v>0</v>
      </c>
      <c r="D51" s="3">
        <v>0</v>
      </c>
      <c r="E51" s="3">
        <v>0</v>
      </c>
      <c r="F51" s="3">
        <v>0</v>
      </c>
      <c r="G51" s="3">
        <v>1</v>
      </c>
      <c r="H51" s="3">
        <v>1</v>
      </c>
    </row>
    <row r="52">
      <c r="A52" s="0" t="s">
        <v>226</v>
      </c>
      <c r="B52" s="3">
        <v>0</v>
      </c>
      <c r="C52" s="3">
        <v>0</v>
      </c>
      <c r="D52" s="3">
        <v>0</v>
      </c>
      <c r="E52" s="3">
        <v>0</v>
      </c>
      <c r="F52" s="3">
        <f>pow_HeavyBandit</f>
      </c>
      <c r="G52" s="3">
        <v>0</v>
      </c>
      <c r="H52" s="3">
        <v>0</v>
      </c>
    </row>
    <row r="53">
      <c r="A53" s="0" t="s">
        <v>227</v>
      </c>
      <c r="B53" s="11">
        <v>0</v>
      </c>
      <c r="C53" s="11">
        <v>0</v>
      </c>
      <c r="D53" s="11">
        <v>0</v>
      </c>
      <c r="E53" s="11">
        <v>0</v>
      </c>
      <c r="F53" s="11">
        <v>4</v>
      </c>
      <c r="G53" s="11">
        <v>0</v>
      </c>
      <c r="H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c r="G54" s="3">
        <f>G$32*pw_Damage+G$33+G$34*pw_Poison+G$35*pw_Heal+G$36*pw_Shield+G$37*pw_Block+G$38*pw_Parry+G$39*pw_Dodge+G$40*pw_Strength*pw_Horizon+G$41*pw_Weaken*pw_Horizon+G$42*pw_Vulnerable*pw_Horizon+G$43*pw_Frozen+G$44*pw_Rooted+G$45*pw_Taunt+G$46*pw_Stealth+G$47*pw_PoisonBlade*pw_Horizon+G$48*pw_DoubleNextAttack+G$49*pw_DoubleShield+G$50*pw_Draw+G$51*pw_Move+G$52*pw_Summon+MAX(0,G$31-1)*pw_Area</f>
      </c>
      <c r="H54" s="3">
        <f>H$32*pw_Damage+H$33+H$34*pw_Poison+H$35*pw_Heal+H$36*pw_Shield+H$37*pw_Block+H$38*pw_Parry+H$39*pw_Dodge+H$40*pw_Strength*pw_Horizon+H$41*pw_Weaken*pw_Horizon+H$42*pw_Vulnerable*pw_Horizon+H$43*pw_Frozen+H$44*pw_Rooted+H$45*pw_Taunt+H$46*pw_Stealth+H$47*pw_PoisonBlade*pw_Horizon+H$48*pw_DoubleNextAttack+H$49*pw_DoubleShield+H$50*pw_Draw+H$51*pw_Move+H$52*pw_Summon+MAX(0,H$31-1)*pw_Area</f>
      </c>
    </row>
    <row r="55">
      <c r="A55" s="0" t="s">
        <v>229</v>
      </c>
      <c r="B55" s="3">
        <f>B$54-B$32*pw_Damage-B$33-B$52*pw_Summon</f>
      </c>
      <c r="C55" s="3">
        <f>C$54-C$32*pw_Damage-C$33-C$52*pw_Summon</f>
      </c>
      <c r="D55" s="3">
        <f>D$54-D$32*pw_Damage-D$33-D$52*pw_Summon</f>
      </c>
      <c r="E55" s="3">
        <f>E$54-E$32*pw_Damage-E$33-E$52*pw_Summon</f>
      </c>
      <c r="F55" s="3">
        <f>F$54-F$32*pw_Damage-F$33-F$52*pw_Summon</f>
      </c>
      <c r="G55" s="3">
        <f>G$54-G$32*pw_Damage-G$33-G$52*pw_Summon</f>
      </c>
      <c r="H55" s="3">
        <f>H$54-H$32*pw_Damage-H$33-H$52*pw_Summon</f>
      </c>
    </row>
    <row r="57">
      <c r="A57" s="1" t="s">
        <v>230</v>
      </c>
      <c r="B57" s="4"/>
    </row>
  </sheetData>
  <dataValidations count="11">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 type="list" sqref="G24" showErrorMessage="0" allowBlank="1">
      <formula1>=list_EnemyCard</formula1>
    </dataValidation>
    <dataValidation type="list" sqref="H24" showErrorMessage="0" allowBlank="1">
      <formula1>=list_EnemyCard</formula1>
    </dataValidation>
  </dataValidations>
  <headerFooter/>
</worksheet>
</file>

<file path=xl/worksheets/sheet7.xml><?xml version="1.0" encoding="utf-8"?>
<worksheet xmlns:r="http://schemas.openxmlformats.org/officeDocument/2006/relationships" xmlns="http://schemas.openxmlformats.org/spreadsheetml/2006/main">
  <dimension ref="A1:H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 min="7" max="7" width="16" customWidth="1"/>
    <col min="8" max="8" width="16" customWidth="1"/>
  </cols>
  <sheetData>
    <row r="1">
      <c r="A1" s="1" t="s">
        <v>177</v>
      </c>
      <c r="B1" s="0" t="s">
        <v>166</v>
      </c>
    </row>
    <row r="2">
      <c r="A2" s="1" t="s">
        <v>179</v>
      </c>
      <c r="B2" s="0" t="s">
        <v>82</v>
      </c>
    </row>
    <row r="3">
      <c r="A3" s="1" t="s">
        <v>180</v>
      </c>
      <c r="B3" s="0" t="s">
        <v>238</v>
      </c>
    </row>
    <row r="4">
      <c r="A4" s="1" t="s">
        <v>182</v>
      </c>
      <c r="B4" s="0">
        <f>IF($B$3="","NEW","Live")</f>
      </c>
    </row>
    <row r="6">
      <c r="A6" s="1" t="s">
        <v>183</v>
      </c>
    </row>
    <row r="7">
      <c r="A7" s="6" t="s">
        <v>184</v>
      </c>
      <c r="B7" s="0" t="s">
        <v>239</v>
      </c>
    </row>
    <row r="8">
      <c r="A8" s="6" t="s">
        <v>186</v>
      </c>
      <c r="B8" s="0">
        <v>90</v>
      </c>
    </row>
    <row r="9">
      <c r="A9" s="6" t="s">
        <v>187</v>
      </c>
      <c r="B9" s="0">
        <v>2</v>
      </c>
    </row>
    <row r="10">
      <c r="A10" s="6" t="s">
        <v>73</v>
      </c>
      <c r="B10" s="0" t="s">
        <v>95</v>
      </c>
    </row>
    <row r="11">
      <c r="A11" s="6" t="s">
        <v>74</v>
      </c>
      <c r="B11" s="0" t="s">
        <v>118</v>
      </c>
    </row>
    <row r="12">
      <c r="A12" s="6" t="s">
        <v>188</v>
      </c>
      <c r="B12" s="0" t="s">
        <v>113</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IFERROR(AVERAGEIF(B$26:H$26,"Yes",B$54:H$54),0)</f>
      </c>
    </row>
    <row r="20">
      <c r="A20" s="0" t="s">
        <v>193</v>
      </c>
      <c r="B20" s="3">
        <f>IFERROR(AVERAGEIF(B$26:H$26,"Yes",B$32:H$32),0)</f>
      </c>
    </row>
    <row r="21">
      <c r="A21" s="0" t="s">
        <v>194</v>
      </c>
      <c r="B21" s="3">
        <f>IFERROR(AVERAGEIF(B$26:H$26,"Yes",B$55:H$55),0)</f>
      </c>
    </row>
    <row r="22">
      <c r="A22" s="0" t="s">
        <v>195</v>
      </c>
      <c r="B22" s="3">
        <f>IFERROR(AVERAGEIF(B$26:H$26,"Yes",B$52:H$52),0)</f>
      </c>
    </row>
    <row r="24">
      <c r="A24" s="1" t="s">
        <v>196</v>
      </c>
      <c r="B24" s="0" t="s">
        <v>124</v>
      </c>
      <c r="C24" s="0" t="s">
        <v>124</v>
      </c>
      <c r="D24" s="0" t="s">
        <v>148</v>
      </c>
      <c r="E24" s="0" t="s">
        <v>148</v>
      </c>
      <c r="F24" s="0" t="s">
        <v>156</v>
      </c>
      <c r="G24" s="0" t="s">
        <v>136</v>
      </c>
      <c r="H24" s="0" t="s">
        <v>136</v>
      </c>
    </row>
    <row r="25">
      <c r="A25" s="0" t="s">
        <v>197</v>
      </c>
      <c r="B25" s="0" t="s">
        <v>240</v>
      </c>
      <c r="C25" s="0" t="s">
        <v>240</v>
      </c>
      <c r="D25" s="0" t="s">
        <v>241</v>
      </c>
      <c r="E25" s="0" t="s">
        <v>241</v>
      </c>
      <c r="F25" s="0" t="s">
        <v>200</v>
      </c>
      <c r="G25" s="0" t="s">
        <v>201</v>
      </c>
      <c r="H25" s="0" t="s">
        <v>201</v>
      </c>
    </row>
    <row r="26">
      <c r="A26" s="0" t="s">
        <v>202</v>
      </c>
      <c r="B26" s="0" t="s">
        <v>82</v>
      </c>
      <c r="C26" s="0" t="s">
        <v>82</v>
      </c>
      <c r="D26" s="0" t="s">
        <v>82</v>
      </c>
      <c r="E26" s="0" t="s">
        <v>82</v>
      </c>
      <c r="F26" s="0" t="s">
        <v>88</v>
      </c>
      <c r="G26" s="0" t="s">
        <v>88</v>
      </c>
      <c r="H26" s="0" t="s">
        <v>88</v>
      </c>
    </row>
    <row r="28">
      <c r="A28" s="1" t="s">
        <v>203</v>
      </c>
    </row>
    <row r="29">
      <c r="A29" s="0" t="s">
        <v>204</v>
      </c>
      <c r="B29" s="11">
        <v>1</v>
      </c>
      <c r="C29" s="11">
        <v>1</v>
      </c>
      <c r="D29" s="11">
        <v>1</v>
      </c>
      <c r="E29" s="11">
        <v>1</v>
      </c>
      <c r="F29" s="11">
        <v>0</v>
      </c>
      <c r="G29" s="11">
        <v>1</v>
      </c>
      <c r="H29" s="11">
        <v>1</v>
      </c>
    </row>
    <row r="30">
      <c r="A30" s="0" t="s">
        <v>205</v>
      </c>
      <c r="B30" s="11">
        <v>5</v>
      </c>
      <c r="C30" s="11">
        <v>5</v>
      </c>
      <c r="D30" s="11">
        <v>4</v>
      </c>
      <c r="E30" s="11">
        <v>4</v>
      </c>
      <c r="F30" s="11">
        <v>3</v>
      </c>
      <c r="G30" s="11">
        <v>1</v>
      </c>
      <c r="H30" s="11">
        <v>1</v>
      </c>
    </row>
    <row r="31">
      <c r="A31" s="0" t="s">
        <v>206</v>
      </c>
      <c r="B31" s="11">
        <v>1</v>
      </c>
      <c r="C31" s="11">
        <v>1</v>
      </c>
      <c r="D31" s="11">
        <v>1</v>
      </c>
      <c r="E31" s="11">
        <v>1</v>
      </c>
      <c r="F31" s="11">
        <v>1</v>
      </c>
      <c r="G31" s="11">
        <v>1</v>
      </c>
      <c r="H31" s="11">
        <v>1</v>
      </c>
    </row>
    <row r="32">
      <c r="A32" s="0" t="s">
        <v>207</v>
      </c>
      <c r="B32" s="3">
        <v>5</v>
      </c>
      <c r="C32" s="3">
        <v>5</v>
      </c>
      <c r="D32" s="3">
        <v>3</v>
      </c>
      <c r="E32" s="3">
        <v>3</v>
      </c>
      <c r="F32" s="3">
        <v>0</v>
      </c>
      <c r="G32" s="3">
        <v>0</v>
      </c>
      <c r="H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c r="G33" s="3">
        <f>IFERROR(VLOOKUP(G$30,range_Power,2,TRUE),0)</f>
      </c>
      <c r="H33" s="3">
        <f>IFERROR(VLOOKUP(H$30,range_Power,2,TRUE),0)</f>
      </c>
    </row>
    <row r="34">
      <c r="A34" s="0" t="s">
        <v>208</v>
      </c>
      <c r="B34" s="3">
        <v>0</v>
      </c>
      <c r="C34" s="3">
        <v>0</v>
      </c>
      <c r="D34" s="3">
        <v>0</v>
      </c>
      <c r="E34" s="3">
        <v>0</v>
      </c>
      <c r="F34" s="3">
        <v>0</v>
      </c>
      <c r="G34" s="3">
        <v>0</v>
      </c>
      <c r="H34" s="3">
        <v>0</v>
      </c>
    </row>
    <row r="35">
      <c r="A35" s="0" t="s">
        <v>209</v>
      </c>
      <c r="B35" s="3">
        <v>0</v>
      </c>
      <c r="C35" s="3">
        <v>0</v>
      </c>
      <c r="D35" s="3">
        <v>0</v>
      </c>
      <c r="E35" s="3">
        <v>0</v>
      </c>
      <c r="F35" s="3">
        <v>0</v>
      </c>
      <c r="G35" s="3">
        <v>0</v>
      </c>
      <c r="H35" s="3">
        <v>0</v>
      </c>
    </row>
    <row r="36">
      <c r="A36" s="0" t="s">
        <v>210</v>
      </c>
      <c r="B36" s="3">
        <v>0</v>
      </c>
      <c r="C36" s="3">
        <v>0</v>
      </c>
      <c r="D36" s="3">
        <v>7</v>
      </c>
      <c r="E36" s="3">
        <v>7</v>
      </c>
      <c r="F36" s="3">
        <v>0</v>
      </c>
      <c r="G36" s="3">
        <v>0</v>
      </c>
      <c r="H36" s="3">
        <v>0</v>
      </c>
    </row>
    <row r="37">
      <c r="A37" s="0" t="s">
        <v>211</v>
      </c>
      <c r="B37" s="3">
        <v>0</v>
      </c>
      <c r="C37" s="3">
        <v>0</v>
      </c>
      <c r="D37" s="3">
        <v>0</v>
      </c>
      <c r="E37" s="3">
        <v>0</v>
      </c>
      <c r="F37" s="3">
        <v>0</v>
      </c>
      <c r="G37" s="3">
        <v>0</v>
      </c>
      <c r="H37" s="3">
        <v>0</v>
      </c>
    </row>
    <row r="38">
      <c r="A38" s="0" t="s">
        <v>212</v>
      </c>
      <c r="B38" s="3">
        <v>0</v>
      </c>
      <c r="C38" s="3">
        <v>0</v>
      </c>
      <c r="D38" s="3">
        <v>0</v>
      </c>
      <c r="E38" s="3">
        <v>0</v>
      </c>
      <c r="F38" s="3">
        <v>0</v>
      </c>
      <c r="G38" s="3">
        <v>0</v>
      </c>
      <c r="H38" s="3">
        <v>0</v>
      </c>
    </row>
    <row r="39">
      <c r="A39" s="0" t="s">
        <v>213</v>
      </c>
      <c r="B39" s="3">
        <v>0</v>
      </c>
      <c r="C39" s="3">
        <v>0</v>
      </c>
      <c r="D39" s="3">
        <v>0</v>
      </c>
      <c r="E39" s="3">
        <v>0</v>
      </c>
      <c r="F39" s="3">
        <v>0</v>
      </c>
      <c r="G39" s="3">
        <v>0</v>
      </c>
      <c r="H39" s="3">
        <v>0</v>
      </c>
    </row>
    <row r="40">
      <c r="A40" s="0" t="s">
        <v>214</v>
      </c>
      <c r="B40" s="3">
        <v>0</v>
      </c>
      <c r="C40" s="3">
        <v>0</v>
      </c>
      <c r="D40" s="3">
        <v>0</v>
      </c>
      <c r="E40" s="3">
        <v>0</v>
      </c>
      <c r="F40" s="3">
        <v>0</v>
      </c>
      <c r="G40" s="3">
        <v>0</v>
      </c>
      <c r="H40" s="3">
        <v>0</v>
      </c>
    </row>
    <row r="41">
      <c r="A41" s="0" t="s">
        <v>215</v>
      </c>
      <c r="B41" s="3">
        <v>0</v>
      </c>
      <c r="C41" s="3">
        <v>0</v>
      </c>
      <c r="D41" s="3">
        <v>0</v>
      </c>
      <c r="E41" s="3">
        <v>0</v>
      </c>
      <c r="F41" s="3">
        <v>0</v>
      </c>
      <c r="G41" s="3">
        <v>0</v>
      </c>
      <c r="H41" s="3">
        <v>0</v>
      </c>
    </row>
    <row r="42">
      <c r="A42" s="0" t="s">
        <v>216</v>
      </c>
      <c r="B42" s="3">
        <v>0</v>
      </c>
      <c r="C42" s="3">
        <v>0</v>
      </c>
      <c r="D42" s="3">
        <v>0</v>
      </c>
      <c r="E42" s="3">
        <v>0</v>
      </c>
      <c r="F42" s="3">
        <v>0</v>
      </c>
      <c r="G42" s="3">
        <v>0</v>
      </c>
      <c r="H42" s="3">
        <v>0</v>
      </c>
    </row>
    <row r="43">
      <c r="A43" s="0" t="s">
        <v>217</v>
      </c>
      <c r="B43" s="3">
        <v>0</v>
      </c>
      <c r="C43" s="3">
        <v>0</v>
      </c>
      <c r="D43" s="3">
        <v>0</v>
      </c>
      <c r="E43" s="3">
        <v>0</v>
      </c>
      <c r="F43" s="3">
        <v>0</v>
      </c>
      <c r="G43" s="3">
        <v>0</v>
      </c>
      <c r="H43" s="3">
        <v>0</v>
      </c>
    </row>
    <row r="44">
      <c r="A44" s="0" t="s">
        <v>218</v>
      </c>
      <c r="B44" s="3">
        <v>0</v>
      </c>
      <c r="C44" s="3">
        <v>0</v>
      </c>
      <c r="D44" s="3">
        <v>0</v>
      </c>
      <c r="E44" s="3">
        <v>0</v>
      </c>
      <c r="F44" s="3">
        <v>0</v>
      </c>
      <c r="G44" s="3">
        <v>0</v>
      </c>
      <c r="H44" s="3">
        <v>0</v>
      </c>
    </row>
    <row r="45">
      <c r="A45" s="0" t="s">
        <v>219</v>
      </c>
      <c r="B45" s="3">
        <v>0</v>
      </c>
      <c r="C45" s="3">
        <v>0</v>
      </c>
      <c r="D45" s="3">
        <v>0</v>
      </c>
      <c r="E45" s="3">
        <v>0</v>
      </c>
      <c r="F45" s="3">
        <v>0</v>
      </c>
      <c r="G45" s="3">
        <v>0</v>
      </c>
      <c r="H45" s="3">
        <v>0</v>
      </c>
    </row>
    <row r="46">
      <c r="A46" s="0" t="s">
        <v>220</v>
      </c>
      <c r="B46" s="3">
        <v>0</v>
      </c>
      <c r="C46" s="3">
        <v>0</v>
      </c>
      <c r="D46" s="3">
        <v>0</v>
      </c>
      <c r="E46" s="3">
        <v>0</v>
      </c>
      <c r="F46" s="3">
        <v>0</v>
      </c>
      <c r="G46" s="3">
        <v>0</v>
      </c>
      <c r="H46" s="3">
        <v>0</v>
      </c>
    </row>
    <row r="47">
      <c r="A47" s="0" t="s">
        <v>221</v>
      </c>
      <c r="B47" s="3">
        <v>0</v>
      </c>
      <c r="C47" s="3">
        <v>0</v>
      </c>
      <c r="D47" s="3">
        <v>0</v>
      </c>
      <c r="E47" s="3">
        <v>0</v>
      </c>
      <c r="F47" s="3">
        <v>0</v>
      </c>
      <c r="G47" s="3">
        <v>0</v>
      </c>
      <c r="H47" s="3">
        <v>0</v>
      </c>
    </row>
    <row r="48">
      <c r="A48" s="0" t="s">
        <v>222</v>
      </c>
      <c r="B48" s="3">
        <v>0</v>
      </c>
      <c r="C48" s="3">
        <v>0</v>
      </c>
      <c r="D48" s="3">
        <v>0</v>
      </c>
      <c r="E48" s="3">
        <v>0</v>
      </c>
      <c r="F48" s="3">
        <v>0</v>
      </c>
      <c r="G48" s="3">
        <v>0</v>
      </c>
      <c r="H48" s="3">
        <v>0</v>
      </c>
    </row>
    <row r="49">
      <c r="A49" s="0" t="s">
        <v>223</v>
      </c>
      <c r="B49" s="3">
        <v>0</v>
      </c>
      <c r="C49" s="3">
        <v>0</v>
      </c>
      <c r="D49" s="3">
        <v>0</v>
      </c>
      <c r="E49" s="3">
        <v>0</v>
      </c>
      <c r="F49" s="3">
        <v>0</v>
      </c>
      <c r="G49" s="3">
        <v>0</v>
      </c>
      <c r="H49" s="3">
        <v>0</v>
      </c>
    </row>
    <row r="50">
      <c r="A50" s="0" t="s">
        <v>224</v>
      </c>
      <c r="B50" s="3">
        <v>0</v>
      </c>
      <c r="C50" s="3">
        <v>0</v>
      </c>
      <c r="D50" s="3">
        <v>0</v>
      </c>
      <c r="E50" s="3">
        <v>0</v>
      </c>
      <c r="F50" s="3">
        <v>0</v>
      </c>
      <c r="G50" s="3">
        <v>0</v>
      </c>
      <c r="H50" s="3">
        <v>0</v>
      </c>
    </row>
    <row r="51">
      <c r="A51" s="0" t="s">
        <v>225</v>
      </c>
      <c r="B51" s="3">
        <v>0</v>
      </c>
      <c r="C51" s="3">
        <v>0</v>
      </c>
      <c r="D51" s="3">
        <v>0</v>
      </c>
      <c r="E51" s="3">
        <v>0</v>
      </c>
      <c r="F51" s="3">
        <v>0</v>
      </c>
      <c r="G51" s="3">
        <v>1</v>
      </c>
      <c r="H51" s="3">
        <v>1</v>
      </c>
    </row>
    <row r="52">
      <c r="A52" s="0" t="s">
        <v>226</v>
      </c>
      <c r="B52" s="3">
        <v>0</v>
      </c>
      <c r="C52" s="3">
        <v>0</v>
      </c>
      <c r="D52" s="3">
        <v>0</v>
      </c>
      <c r="E52" s="3">
        <v>0</v>
      </c>
      <c r="F52" s="3">
        <f>pow_Goblin</f>
      </c>
      <c r="G52" s="3">
        <v>0</v>
      </c>
      <c r="H52" s="3">
        <v>0</v>
      </c>
    </row>
    <row r="53">
      <c r="A53" s="0" t="s">
        <v>227</v>
      </c>
      <c r="B53" s="11">
        <v>0</v>
      </c>
      <c r="C53" s="11">
        <v>0</v>
      </c>
      <c r="D53" s="11">
        <v>0</v>
      </c>
      <c r="E53" s="11">
        <v>0</v>
      </c>
      <c r="F53" s="11">
        <v>3</v>
      </c>
      <c r="G53" s="11">
        <v>0</v>
      </c>
      <c r="H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c r="G54" s="3">
        <f>G$32*pw_Damage+G$33+G$34*pw_Poison+G$35*pw_Heal+G$36*pw_Shield+G$37*pw_Block+G$38*pw_Parry+G$39*pw_Dodge+G$40*pw_Strength*pw_Horizon+G$41*pw_Weaken*pw_Horizon+G$42*pw_Vulnerable*pw_Horizon+G$43*pw_Frozen+G$44*pw_Rooted+G$45*pw_Taunt+G$46*pw_Stealth+G$47*pw_PoisonBlade*pw_Horizon+G$48*pw_DoubleNextAttack+G$49*pw_DoubleShield+G$50*pw_Draw+G$51*pw_Move+G$52*pw_Summon+MAX(0,G$31-1)*pw_Area</f>
      </c>
      <c r="H54" s="3">
        <f>H$32*pw_Damage+H$33+H$34*pw_Poison+H$35*pw_Heal+H$36*pw_Shield+H$37*pw_Block+H$38*pw_Parry+H$39*pw_Dodge+H$40*pw_Strength*pw_Horizon+H$41*pw_Weaken*pw_Horizon+H$42*pw_Vulnerable*pw_Horizon+H$43*pw_Frozen+H$44*pw_Rooted+H$45*pw_Taunt+H$46*pw_Stealth+H$47*pw_PoisonBlade*pw_Horizon+H$48*pw_DoubleNextAttack+H$49*pw_DoubleShield+H$50*pw_Draw+H$51*pw_Move+H$52*pw_Summon+MAX(0,H$31-1)*pw_Area</f>
      </c>
    </row>
    <row r="55">
      <c r="A55" s="0" t="s">
        <v>229</v>
      </c>
      <c r="B55" s="3">
        <f>B$54-B$32*pw_Damage-B$33-B$52*pw_Summon</f>
      </c>
      <c r="C55" s="3">
        <f>C$54-C$32*pw_Damage-C$33-C$52*pw_Summon</f>
      </c>
      <c r="D55" s="3">
        <f>D$54-D$32*pw_Damage-D$33-D$52*pw_Summon</f>
      </c>
      <c r="E55" s="3">
        <f>E$54-E$32*pw_Damage-E$33-E$52*pw_Summon</f>
      </c>
      <c r="F55" s="3">
        <f>F$54-F$32*pw_Damage-F$33-F$52*pw_Summon</f>
      </c>
      <c r="G55" s="3">
        <f>G$54-G$32*pw_Damage-G$33-G$52*pw_Summon</f>
      </c>
      <c r="H55" s="3">
        <f>H$54-H$32*pw_Damage-H$33-H$52*pw_Summon</f>
      </c>
    </row>
    <row r="57">
      <c r="A57" s="1" t="s">
        <v>230</v>
      </c>
      <c r="B57" s="4"/>
    </row>
  </sheetData>
  <dataValidations count="11">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 type="list" sqref="G24" showErrorMessage="0" allowBlank="1">
      <formula1>=list_EnemyCard</formula1>
    </dataValidation>
    <dataValidation type="list" sqref="H24" showErrorMessage="0" allowBlank="1">
      <formula1>=list_EnemyCard</formula1>
    </dataValidation>
  </dataValidations>
  <headerFooter/>
</worksheet>
</file>

<file path=xl/worksheets/sheet8.xml><?xml version="1.0" encoding="utf-8"?>
<worksheet xmlns:r="http://schemas.openxmlformats.org/officeDocument/2006/relationships" xmlns="http://schemas.openxmlformats.org/spreadsheetml/2006/main">
  <dimension ref="A1:H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 min="7" max="7" width="16" customWidth="1"/>
    <col min="8" max="8" width="16" customWidth="1"/>
  </cols>
  <sheetData>
    <row r="1">
      <c r="A1" s="1" t="s">
        <v>177</v>
      </c>
      <c r="B1" s="0" t="s">
        <v>164</v>
      </c>
    </row>
    <row r="2">
      <c r="A2" s="1" t="s">
        <v>179</v>
      </c>
      <c r="B2" s="0" t="s">
        <v>82</v>
      </c>
    </row>
    <row r="3">
      <c r="A3" s="1" t="s">
        <v>180</v>
      </c>
      <c r="B3" s="0" t="s">
        <v>242</v>
      </c>
    </row>
    <row r="4">
      <c r="A4" s="1" t="s">
        <v>182</v>
      </c>
      <c r="B4" s="0">
        <f>IF($B$3="","NEW","Live")</f>
      </c>
    </row>
    <row r="6">
      <c r="A6" s="1" t="s">
        <v>183</v>
      </c>
    </row>
    <row r="7">
      <c r="A7" s="6" t="s">
        <v>184</v>
      </c>
      <c r="B7" s="0" t="s">
        <v>243</v>
      </c>
    </row>
    <row r="8">
      <c r="A8" s="6" t="s">
        <v>186</v>
      </c>
      <c r="B8" s="0">
        <v>95</v>
      </c>
    </row>
    <row r="9">
      <c r="A9" s="6" t="s">
        <v>187</v>
      </c>
      <c r="B9" s="0">
        <v>2</v>
      </c>
    </row>
    <row r="10">
      <c r="A10" s="6" t="s">
        <v>73</v>
      </c>
      <c r="B10" s="0" t="s">
        <v>95</v>
      </c>
    </row>
    <row r="11">
      <c r="A11" s="6" t="s">
        <v>74</v>
      </c>
      <c r="B11" s="0" t="s">
        <v>91</v>
      </c>
    </row>
    <row r="12">
      <c r="A12" s="6" t="s">
        <v>188</v>
      </c>
      <c r="B12" s="0" t="s">
        <v>107</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IFERROR(AVERAGEIF(B$26:H$26,"Yes",B$54:H$54),0)</f>
      </c>
    </row>
    <row r="20">
      <c r="A20" s="0" t="s">
        <v>193</v>
      </c>
      <c r="B20" s="3">
        <f>IFERROR(AVERAGEIF(B$26:H$26,"Yes",B$32:H$32),0)</f>
      </c>
    </row>
    <row r="21">
      <c r="A21" s="0" t="s">
        <v>194</v>
      </c>
      <c r="B21" s="3">
        <f>IFERROR(AVERAGEIF(B$26:H$26,"Yes",B$55:H$55),0)</f>
      </c>
    </row>
    <row r="22">
      <c r="A22" s="0" t="s">
        <v>195</v>
      </c>
      <c r="B22" s="3">
        <f>IFERROR(AVERAGEIF(B$26:H$26,"Yes",B$52:H$52),0)</f>
      </c>
    </row>
    <row r="24">
      <c r="A24" s="1" t="s">
        <v>196</v>
      </c>
      <c r="B24" s="0" t="s">
        <v>83</v>
      </c>
      <c r="C24" s="0" t="s">
        <v>83</v>
      </c>
      <c r="D24" s="0" t="s">
        <v>158</v>
      </c>
      <c r="E24" s="0" t="s">
        <v>158</v>
      </c>
      <c r="F24" s="0" t="s">
        <v>117</v>
      </c>
      <c r="G24" s="0" t="s">
        <v>136</v>
      </c>
      <c r="H24" s="0" t="s">
        <v>136</v>
      </c>
    </row>
    <row r="25">
      <c r="A25" s="0" t="s">
        <v>197</v>
      </c>
      <c r="B25" s="0" t="s">
        <v>244</v>
      </c>
      <c r="C25" s="0" t="s">
        <v>244</v>
      </c>
      <c r="D25" s="0" t="s">
        <v>245</v>
      </c>
      <c r="E25" s="0" t="s">
        <v>245</v>
      </c>
      <c r="F25" s="0" t="s">
        <v>200</v>
      </c>
      <c r="G25" s="0" t="s">
        <v>201</v>
      </c>
      <c r="H25" s="0" t="s">
        <v>201</v>
      </c>
    </row>
    <row r="26">
      <c r="A26" s="0" t="s">
        <v>202</v>
      </c>
      <c r="B26" s="0" t="s">
        <v>82</v>
      </c>
      <c r="C26" s="0" t="s">
        <v>82</v>
      </c>
      <c r="D26" s="0" t="s">
        <v>82</v>
      </c>
      <c r="E26" s="0" t="s">
        <v>82</v>
      </c>
      <c r="F26" s="0" t="s">
        <v>88</v>
      </c>
      <c r="G26" s="0" t="s">
        <v>88</v>
      </c>
      <c r="H26" s="0" t="s">
        <v>88</v>
      </c>
    </row>
    <row r="28">
      <c r="A28" s="1" t="s">
        <v>203</v>
      </c>
    </row>
    <row r="29">
      <c r="A29" s="0" t="s">
        <v>204</v>
      </c>
      <c r="B29" s="11">
        <v>1</v>
      </c>
      <c r="C29" s="11">
        <v>1</v>
      </c>
      <c r="D29" s="11">
        <v>1</v>
      </c>
      <c r="E29" s="11">
        <v>1</v>
      </c>
      <c r="F29" s="11">
        <v>0</v>
      </c>
      <c r="G29" s="11">
        <v>1</v>
      </c>
      <c r="H29" s="11">
        <v>1</v>
      </c>
    </row>
    <row r="30">
      <c r="A30" s="0" t="s">
        <v>205</v>
      </c>
      <c r="B30" s="11">
        <v>5</v>
      </c>
      <c r="C30" s="11">
        <v>5</v>
      </c>
      <c r="D30" s="11">
        <v>4</v>
      </c>
      <c r="E30" s="11">
        <v>4</v>
      </c>
      <c r="F30" s="11">
        <v>3</v>
      </c>
      <c r="G30" s="11">
        <v>1</v>
      </c>
      <c r="H30" s="11">
        <v>1</v>
      </c>
    </row>
    <row r="31">
      <c r="A31" s="0" t="s">
        <v>206</v>
      </c>
      <c r="B31" s="11">
        <v>1</v>
      </c>
      <c r="C31" s="11">
        <v>1</v>
      </c>
      <c r="D31" s="11">
        <v>1</v>
      </c>
      <c r="E31" s="11">
        <v>1</v>
      </c>
      <c r="F31" s="11">
        <v>1</v>
      </c>
      <c r="G31" s="11">
        <v>1</v>
      </c>
      <c r="H31" s="11">
        <v>1</v>
      </c>
    </row>
    <row r="32">
      <c r="A32" s="0" t="s">
        <v>207</v>
      </c>
      <c r="B32" s="3">
        <v>6</v>
      </c>
      <c r="C32" s="3">
        <v>6</v>
      </c>
      <c r="D32" s="3">
        <v>3</v>
      </c>
      <c r="E32" s="3">
        <v>3</v>
      </c>
      <c r="F32" s="3">
        <v>0</v>
      </c>
      <c r="G32" s="3">
        <v>0</v>
      </c>
      <c r="H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c r="G33" s="3">
        <f>IFERROR(VLOOKUP(G$30,range_Power,2,TRUE),0)</f>
      </c>
      <c r="H33" s="3">
        <f>IFERROR(VLOOKUP(H$30,range_Power,2,TRUE),0)</f>
      </c>
    </row>
    <row r="34">
      <c r="A34" s="0" t="s">
        <v>208</v>
      </c>
      <c r="B34" s="3">
        <v>0</v>
      </c>
      <c r="C34" s="3">
        <v>0</v>
      </c>
      <c r="D34" s="3">
        <v>0</v>
      </c>
      <c r="E34" s="3">
        <v>0</v>
      </c>
      <c r="F34" s="3">
        <v>0</v>
      </c>
      <c r="G34" s="3">
        <v>0</v>
      </c>
      <c r="H34" s="3">
        <v>0</v>
      </c>
    </row>
    <row r="35">
      <c r="A35" s="0" t="s">
        <v>209</v>
      </c>
      <c r="B35" s="3">
        <v>0</v>
      </c>
      <c r="C35" s="3">
        <v>0</v>
      </c>
      <c r="D35" s="3">
        <v>0</v>
      </c>
      <c r="E35" s="3">
        <v>0</v>
      </c>
      <c r="F35" s="3">
        <v>0</v>
      </c>
      <c r="G35" s="3">
        <v>0</v>
      </c>
      <c r="H35" s="3">
        <v>0</v>
      </c>
    </row>
    <row r="36">
      <c r="A36" s="0" t="s">
        <v>210</v>
      </c>
      <c r="B36" s="3">
        <v>0</v>
      </c>
      <c r="C36" s="3">
        <v>0</v>
      </c>
      <c r="D36" s="3">
        <v>0</v>
      </c>
      <c r="E36" s="3">
        <v>0</v>
      </c>
      <c r="F36" s="3">
        <v>0</v>
      </c>
      <c r="G36" s="3">
        <v>0</v>
      </c>
      <c r="H36" s="3">
        <v>0</v>
      </c>
    </row>
    <row r="37">
      <c r="A37" s="0" t="s">
        <v>211</v>
      </c>
      <c r="B37" s="3">
        <v>0</v>
      </c>
      <c r="C37" s="3">
        <v>0</v>
      </c>
      <c r="D37" s="3">
        <v>20</v>
      </c>
      <c r="E37" s="3">
        <v>20</v>
      </c>
      <c r="F37" s="3">
        <v>0</v>
      </c>
      <c r="G37" s="3">
        <v>0</v>
      </c>
      <c r="H37" s="3">
        <v>0</v>
      </c>
    </row>
    <row r="38">
      <c r="A38" s="0" t="s">
        <v>212</v>
      </c>
      <c r="B38" s="3">
        <v>0</v>
      </c>
      <c r="C38" s="3">
        <v>0</v>
      </c>
      <c r="D38" s="3">
        <v>0</v>
      </c>
      <c r="E38" s="3">
        <v>0</v>
      </c>
      <c r="F38" s="3">
        <v>0</v>
      </c>
      <c r="G38" s="3">
        <v>0</v>
      </c>
      <c r="H38" s="3">
        <v>0</v>
      </c>
    </row>
    <row r="39">
      <c r="A39" s="0" t="s">
        <v>213</v>
      </c>
      <c r="B39" s="3">
        <v>0</v>
      </c>
      <c r="C39" s="3">
        <v>0</v>
      </c>
      <c r="D39" s="3">
        <v>0</v>
      </c>
      <c r="E39" s="3">
        <v>0</v>
      </c>
      <c r="F39" s="3">
        <v>0</v>
      </c>
      <c r="G39" s="3">
        <v>0</v>
      </c>
      <c r="H39" s="3">
        <v>0</v>
      </c>
    </row>
    <row r="40">
      <c r="A40" s="0" t="s">
        <v>214</v>
      </c>
      <c r="B40" s="3">
        <v>0</v>
      </c>
      <c r="C40" s="3">
        <v>0</v>
      </c>
      <c r="D40" s="3">
        <v>0</v>
      </c>
      <c r="E40" s="3">
        <v>0</v>
      </c>
      <c r="F40" s="3">
        <v>0</v>
      </c>
      <c r="G40" s="3">
        <v>0</v>
      </c>
      <c r="H40" s="3">
        <v>0</v>
      </c>
    </row>
    <row r="41">
      <c r="A41" s="0" t="s">
        <v>215</v>
      </c>
      <c r="B41" s="3">
        <v>0</v>
      </c>
      <c r="C41" s="3">
        <v>0</v>
      </c>
      <c r="D41" s="3">
        <v>0</v>
      </c>
      <c r="E41" s="3">
        <v>0</v>
      </c>
      <c r="F41" s="3">
        <v>0</v>
      </c>
      <c r="G41" s="3">
        <v>0</v>
      </c>
      <c r="H41" s="3">
        <v>0</v>
      </c>
    </row>
    <row r="42">
      <c r="A42" s="0" t="s">
        <v>216</v>
      </c>
      <c r="B42" s="3">
        <v>0</v>
      </c>
      <c r="C42" s="3">
        <v>0</v>
      </c>
      <c r="D42" s="3">
        <v>0</v>
      </c>
      <c r="E42" s="3">
        <v>0</v>
      </c>
      <c r="F42" s="3">
        <v>0</v>
      </c>
      <c r="G42" s="3">
        <v>0</v>
      </c>
      <c r="H42" s="3">
        <v>0</v>
      </c>
    </row>
    <row r="43">
      <c r="A43" s="0" t="s">
        <v>217</v>
      </c>
      <c r="B43" s="3">
        <v>0</v>
      </c>
      <c r="C43" s="3">
        <v>0</v>
      </c>
      <c r="D43" s="3">
        <v>0</v>
      </c>
      <c r="E43" s="3">
        <v>0</v>
      </c>
      <c r="F43" s="3">
        <v>0</v>
      </c>
      <c r="G43" s="3">
        <v>0</v>
      </c>
      <c r="H43" s="3">
        <v>0</v>
      </c>
    </row>
    <row r="44">
      <c r="A44" s="0" t="s">
        <v>218</v>
      </c>
      <c r="B44" s="3">
        <v>0</v>
      </c>
      <c r="C44" s="3">
        <v>0</v>
      </c>
      <c r="D44" s="3">
        <v>0</v>
      </c>
      <c r="E44" s="3">
        <v>0</v>
      </c>
      <c r="F44" s="3">
        <v>0</v>
      </c>
      <c r="G44" s="3">
        <v>0</v>
      </c>
      <c r="H44" s="3">
        <v>0</v>
      </c>
    </row>
    <row r="45">
      <c r="A45" s="0" t="s">
        <v>219</v>
      </c>
      <c r="B45" s="3">
        <v>0</v>
      </c>
      <c r="C45" s="3">
        <v>0</v>
      </c>
      <c r="D45" s="3">
        <v>0</v>
      </c>
      <c r="E45" s="3">
        <v>0</v>
      </c>
      <c r="F45" s="3">
        <v>0</v>
      </c>
      <c r="G45" s="3">
        <v>0</v>
      </c>
      <c r="H45" s="3">
        <v>0</v>
      </c>
    </row>
    <row r="46">
      <c r="A46" s="0" t="s">
        <v>220</v>
      </c>
      <c r="B46" s="3">
        <v>0</v>
      </c>
      <c r="C46" s="3">
        <v>0</v>
      </c>
      <c r="D46" s="3">
        <v>0</v>
      </c>
      <c r="E46" s="3">
        <v>0</v>
      </c>
      <c r="F46" s="3">
        <v>0</v>
      </c>
      <c r="G46" s="3">
        <v>0</v>
      </c>
      <c r="H46" s="3">
        <v>0</v>
      </c>
    </row>
    <row r="47">
      <c r="A47" s="0" t="s">
        <v>221</v>
      </c>
      <c r="B47" s="3">
        <v>0</v>
      </c>
      <c r="C47" s="3">
        <v>0</v>
      </c>
      <c r="D47" s="3">
        <v>0</v>
      </c>
      <c r="E47" s="3">
        <v>0</v>
      </c>
      <c r="F47" s="3">
        <v>0</v>
      </c>
      <c r="G47" s="3">
        <v>0</v>
      </c>
      <c r="H47" s="3">
        <v>0</v>
      </c>
    </row>
    <row r="48">
      <c r="A48" s="0" t="s">
        <v>222</v>
      </c>
      <c r="B48" s="3">
        <v>0</v>
      </c>
      <c r="C48" s="3">
        <v>0</v>
      </c>
      <c r="D48" s="3">
        <v>0</v>
      </c>
      <c r="E48" s="3">
        <v>0</v>
      </c>
      <c r="F48" s="3">
        <v>0</v>
      </c>
      <c r="G48" s="3">
        <v>0</v>
      </c>
      <c r="H48" s="3">
        <v>0</v>
      </c>
    </row>
    <row r="49">
      <c r="A49" s="0" t="s">
        <v>223</v>
      </c>
      <c r="B49" s="3">
        <v>0</v>
      </c>
      <c r="C49" s="3">
        <v>0</v>
      </c>
      <c r="D49" s="3">
        <v>0</v>
      </c>
      <c r="E49" s="3">
        <v>0</v>
      </c>
      <c r="F49" s="3">
        <v>0</v>
      </c>
      <c r="G49" s="3">
        <v>0</v>
      </c>
      <c r="H49" s="3">
        <v>0</v>
      </c>
    </row>
    <row r="50">
      <c r="A50" s="0" t="s">
        <v>224</v>
      </c>
      <c r="B50" s="3">
        <v>0</v>
      </c>
      <c r="C50" s="3">
        <v>0</v>
      </c>
      <c r="D50" s="3">
        <v>0</v>
      </c>
      <c r="E50" s="3">
        <v>0</v>
      </c>
      <c r="F50" s="3">
        <v>0</v>
      </c>
      <c r="G50" s="3">
        <v>0</v>
      </c>
      <c r="H50" s="3">
        <v>0</v>
      </c>
    </row>
    <row r="51">
      <c r="A51" s="0" t="s">
        <v>225</v>
      </c>
      <c r="B51" s="3">
        <v>0</v>
      </c>
      <c r="C51" s="3">
        <v>0</v>
      </c>
      <c r="D51" s="3">
        <v>0</v>
      </c>
      <c r="E51" s="3">
        <v>0</v>
      </c>
      <c r="F51" s="3">
        <v>0</v>
      </c>
      <c r="G51" s="3">
        <v>1</v>
      </c>
      <c r="H51" s="3">
        <v>1</v>
      </c>
    </row>
    <row r="52">
      <c r="A52" s="0" t="s">
        <v>226</v>
      </c>
      <c r="B52" s="3">
        <v>0</v>
      </c>
      <c r="C52" s="3">
        <v>0</v>
      </c>
      <c r="D52" s="3">
        <v>0</v>
      </c>
      <c r="E52" s="3">
        <v>0</v>
      </c>
      <c r="F52" s="3">
        <f>pow_Bat</f>
      </c>
      <c r="G52" s="3">
        <v>0</v>
      </c>
      <c r="H52" s="3">
        <v>0</v>
      </c>
    </row>
    <row r="53">
      <c r="A53" s="0" t="s">
        <v>227</v>
      </c>
      <c r="B53" s="11">
        <v>0</v>
      </c>
      <c r="C53" s="11">
        <v>0</v>
      </c>
      <c r="D53" s="11">
        <v>0</v>
      </c>
      <c r="E53" s="11">
        <v>0</v>
      </c>
      <c r="F53" s="11">
        <v>2</v>
      </c>
      <c r="G53" s="11">
        <v>0</v>
      </c>
      <c r="H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c r="G54" s="3">
        <f>G$32*pw_Damage+G$33+G$34*pw_Poison+G$35*pw_Heal+G$36*pw_Shield+G$37*pw_Block+G$38*pw_Parry+G$39*pw_Dodge+G$40*pw_Strength*pw_Horizon+G$41*pw_Weaken*pw_Horizon+G$42*pw_Vulnerable*pw_Horizon+G$43*pw_Frozen+G$44*pw_Rooted+G$45*pw_Taunt+G$46*pw_Stealth+G$47*pw_PoisonBlade*pw_Horizon+G$48*pw_DoubleNextAttack+G$49*pw_DoubleShield+G$50*pw_Draw+G$51*pw_Move+G$52*pw_Summon+MAX(0,G$31-1)*pw_Area</f>
      </c>
      <c r="H54" s="3">
        <f>H$32*pw_Damage+H$33+H$34*pw_Poison+H$35*pw_Heal+H$36*pw_Shield+H$37*pw_Block+H$38*pw_Parry+H$39*pw_Dodge+H$40*pw_Strength*pw_Horizon+H$41*pw_Weaken*pw_Horizon+H$42*pw_Vulnerable*pw_Horizon+H$43*pw_Frozen+H$44*pw_Rooted+H$45*pw_Taunt+H$46*pw_Stealth+H$47*pw_PoisonBlade*pw_Horizon+H$48*pw_DoubleNextAttack+H$49*pw_DoubleShield+H$50*pw_Draw+H$51*pw_Move+H$52*pw_Summon+MAX(0,H$31-1)*pw_Area</f>
      </c>
    </row>
    <row r="55">
      <c r="A55" s="0" t="s">
        <v>229</v>
      </c>
      <c r="B55" s="3">
        <f>B$54-B$32*pw_Damage-B$33-B$52*pw_Summon</f>
      </c>
      <c r="C55" s="3">
        <f>C$54-C$32*pw_Damage-C$33-C$52*pw_Summon</f>
      </c>
      <c r="D55" s="3">
        <f>D$54-D$32*pw_Damage-D$33-D$52*pw_Summon</f>
      </c>
      <c r="E55" s="3">
        <f>E$54-E$32*pw_Damage-E$33-E$52*pw_Summon</f>
      </c>
      <c r="F55" s="3">
        <f>F$54-F$32*pw_Damage-F$33-F$52*pw_Summon</f>
      </c>
      <c r="G55" s="3">
        <f>G$54-G$32*pw_Damage-G$33-G$52*pw_Summon</f>
      </c>
      <c r="H55" s="3">
        <f>H$54-H$32*pw_Damage-H$33-H$52*pw_Summon</f>
      </c>
    </row>
    <row r="57">
      <c r="A57" s="1" t="s">
        <v>230</v>
      </c>
      <c r="B57" s="4"/>
    </row>
  </sheetData>
  <dataValidations count="11">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 type="list" sqref="G24" showErrorMessage="0" allowBlank="1">
      <formula1>=list_EnemyCard</formula1>
    </dataValidation>
    <dataValidation type="list" sqref="H24" showErrorMessage="0" allowBlank="1">
      <formula1>=list_EnemyCard</formula1>
    </dataValidation>
  </dataValidations>
  <headerFooter/>
</worksheet>
</file>

<file path=xl/worksheets/sheet9.xml><?xml version="1.0" encoding="utf-8"?>
<worksheet xmlns:r="http://schemas.openxmlformats.org/officeDocument/2006/relationships" xmlns="http://schemas.openxmlformats.org/spreadsheetml/2006/main">
  <dimension ref="A1:H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 min="7" max="7" width="16" customWidth="1"/>
    <col min="8" max="8" width="16" customWidth="1"/>
  </cols>
  <sheetData>
    <row r="1">
      <c r="A1" s="1" t="s">
        <v>177</v>
      </c>
      <c r="B1" s="0" t="s">
        <v>176</v>
      </c>
    </row>
    <row r="2">
      <c r="A2" s="1" t="s">
        <v>179</v>
      </c>
      <c r="B2" s="0" t="s">
        <v>82</v>
      </c>
    </row>
    <row r="3">
      <c r="A3" s="1" t="s">
        <v>180</v>
      </c>
      <c r="B3" s="0" t="s">
        <v>246</v>
      </c>
    </row>
    <row r="4">
      <c r="A4" s="1" t="s">
        <v>182</v>
      </c>
      <c r="B4" s="0">
        <f>IF($B$3="","NEW","Live")</f>
      </c>
    </row>
    <row r="6">
      <c r="A6" s="1" t="s">
        <v>183</v>
      </c>
    </row>
    <row r="7">
      <c r="A7" s="6" t="s">
        <v>184</v>
      </c>
      <c r="B7" s="0" t="s">
        <v>247</v>
      </c>
    </row>
    <row r="8">
      <c r="A8" s="6" t="s">
        <v>186</v>
      </c>
      <c r="B8" s="0">
        <v>100</v>
      </c>
    </row>
    <row r="9">
      <c r="A9" s="6" t="s">
        <v>187</v>
      </c>
      <c r="B9" s="0">
        <v>2</v>
      </c>
    </row>
    <row r="10">
      <c r="A10" s="6" t="s">
        <v>73</v>
      </c>
      <c r="B10" s="0" t="s">
        <v>95</v>
      </c>
    </row>
    <row r="11">
      <c r="A11" s="6" t="s">
        <v>74</v>
      </c>
      <c r="B11" s="0" t="s">
        <v>103</v>
      </c>
    </row>
    <row r="12">
      <c r="A12" s="6" t="s">
        <v>188</v>
      </c>
      <c r="B12" s="0" t="s">
        <v>110</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IFERROR(AVERAGEIF(B$26:H$26,"Yes",B$54:H$54),0)</f>
      </c>
    </row>
    <row r="20">
      <c r="A20" s="0" t="s">
        <v>193</v>
      </c>
      <c r="B20" s="3">
        <f>IFERROR(AVERAGEIF(B$26:H$26,"Yes",B$32:H$32),0)</f>
      </c>
    </row>
    <row r="21">
      <c r="A21" s="0" t="s">
        <v>194</v>
      </c>
      <c r="B21" s="3">
        <f>IFERROR(AVERAGEIF(B$26:H$26,"Yes",B$55:H$55),0)</f>
      </c>
    </row>
    <row r="22">
      <c r="A22" s="0" t="s">
        <v>195</v>
      </c>
      <c r="B22" s="3">
        <f>IFERROR(AVERAGEIF(B$26:H$26,"Yes",B$52:H$52),0)</f>
      </c>
    </row>
    <row r="24">
      <c r="A24" s="1" t="s">
        <v>196</v>
      </c>
      <c r="B24" s="0" t="s">
        <v>135</v>
      </c>
      <c r="C24" s="0" t="s">
        <v>135</v>
      </c>
      <c r="D24" s="0" t="s">
        <v>127</v>
      </c>
      <c r="E24" s="0" t="s">
        <v>127</v>
      </c>
      <c r="F24" s="0" t="s">
        <v>122</v>
      </c>
      <c r="G24" s="0" t="s">
        <v>136</v>
      </c>
      <c r="H24" s="0" t="s">
        <v>136</v>
      </c>
    </row>
    <row r="25">
      <c r="A25" s="0" t="s">
        <v>197</v>
      </c>
      <c r="B25" s="0" t="s">
        <v>244</v>
      </c>
      <c r="C25" s="0" t="s">
        <v>244</v>
      </c>
      <c r="D25" s="0" t="s">
        <v>248</v>
      </c>
      <c r="E25" s="0" t="s">
        <v>248</v>
      </c>
      <c r="F25" s="0" t="s">
        <v>200</v>
      </c>
      <c r="G25" s="0" t="s">
        <v>201</v>
      </c>
      <c r="H25" s="0" t="s">
        <v>201</v>
      </c>
    </row>
    <row r="26">
      <c r="A26" s="0" t="s">
        <v>202</v>
      </c>
      <c r="B26" s="0" t="s">
        <v>82</v>
      </c>
      <c r="C26" s="0" t="s">
        <v>82</v>
      </c>
      <c r="D26" s="0" t="s">
        <v>82</v>
      </c>
      <c r="E26" s="0" t="s">
        <v>82</v>
      </c>
      <c r="F26" s="0" t="s">
        <v>88</v>
      </c>
      <c r="G26" s="0" t="s">
        <v>88</v>
      </c>
      <c r="H26" s="0" t="s">
        <v>88</v>
      </c>
    </row>
    <row r="28">
      <c r="A28" s="1" t="s">
        <v>203</v>
      </c>
    </row>
    <row r="29">
      <c r="A29" s="0" t="s">
        <v>204</v>
      </c>
      <c r="B29" s="11">
        <v>1</v>
      </c>
      <c r="C29" s="11">
        <v>1</v>
      </c>
      <c r="D29" s="11">
        <v>1</v>
      </c>
      <c r="E29" s="11">
        <v>1</v>
      </c>
      <c r="F29" s="11">
        <v>0</v>
      </c>
      <c r="G29" s="11">
        <v>1</v>
      </c>
      <c r="H29" s="11">
        <v>1</v>
      </c>
    </row>
    <row r="30">
      <c r="A30" s="0" t="s">
        <v>205</v>
      </c>
      <c r="B30" s="11">
        <v>5</v>
      </c>
      <c r="C30" s="11">
        <v>5</v>
      </c>
      <c r="D30" s="11">
        <v>4</v>
      </c>
      <c r="E30" s="11">
        <v>4</v>
      </c>
      <c r="F30" s="11">
        <v>3</v>
      </c>
      <c r="G30" s="11">
        <v>1</v>
      </c>
      <c r="H30" s="11">
        <v>1</v>
      </c>
    </row>
    <row r="31">
      <c r="A31" s="0" t="s">
        <v>206</v>
      </c>
      <c r="B31" s="11">
        <v>9</v>
      </c>
      <c r="C31" s="11">
        <v>9</v>
      </c>
      <c r="D31" s="11">
        <v>1</v>
      </c>
      <c r="E31" s="11">
        <v>1</v>
      </c>
      <c r="F31" s="11">
        <v>1</v>
      </c>
      <c r="G31" s="11">
        <v>1</v>
      </c>
      <c r="H31" s="11">
        <v>1</v>
      </c>
    </row>
    <row r="32">
      <c r="A32" s="0" t="s">
        <v>207</v>
      </c>
      <c r="B32" s="3">
        <v>6</v>
      </c>
      <c r="C32" s="3">
        <v>6</v>
      </c>
      <c r="D32" s="3">
        <v>4</v>
      </c>
      <c r="E32" s="3">
        <v>4</v>
      </c>
      <c r="F32" s="3">
        <v>0</v>
      </c>
      <c r="G32" s="3">
        <v>0</v>
      </c>
      <c r="H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c r="G33" s="3">
        <f>IFERROR(VLOOKUP(G$30,range_Power,2,TRUE),0)</f>
      </c>
      <c r="H33" s="3">
        <f>IFERROR(VLOOKUP(H$30,range_Power,2,TRUE),0)</f>
      </c>
    </row>
    <row r="34">
      <c r="A34" s="0" t="s">
        <v>208</v>
      </c>
      <c r="B34" s="3">
        <v>0</v>
      </c>
      <c r="C34" s="3">
        <v>0</v>
      </c>
      <c r="D34" s="3">
        <v>0</v>
      </c>
      <c r="E34" s="3">
        <v>0</v>
      </c>
      <c r="F34" s="3">
        <v>0</v>
      </c>
      <c r="G34" s="3">
        <v>0</v>
      </c>
      <c r="H34" s="3">
        <v>0</v>
      </c>
    </row>
    <row r="35">
      <c r="A35" s="0" t="s">
        <v>209</v>
      </c>
      <c r="B35" s="3">
        <v>0</v>
      </c>
      <c r="C35" s="3">
        <v>0</v>
      </c>
      <c r="D35" s="3">
        <v>0</v>
      </c>
      <c r="E35" s="3">
        <v>0</v>
      </c>
      <c r="F35" s="3">
        <v>0</v>
      </c>
      <c r="G35" s="3">
        <v>0</v>
      </c>
      <c r="H35" s="3">
        <v>0</v>
      </c>
    </row>
    <row r="36">
      <c r="A36" s="0" t="s">
        <v>210</v>
      </c>
      <c r="B36" s="3">
        <v>0</v>
      </c>
      <c r="C36" s="3">
        <v>0</v>
      </c>
      <c r="D36" s="3">
        <v>7</v>
      </c>
      <c r="E36" s="3">
        <v>7</v>
      </c>
      <c r="F36" s="3">
        <v>0</v>
      </c>
      <c r="G36" s="3">
        <v>0</v>
      </c>
      <c r="H36" s="3">
        <v>0</v>
      </c>
    </row>
    <row r="37">
      <c r="A37" s="0" t="s">
        <v>211</v>
      </c>
      <c r="B37" s="3">
        <v>0</v>
      </c>
      <c r="C37" s="3">
        <v>0</v>
      </c>
      <c r="D37" s="3">
        <v>0</v>
      </c>
      <c r="E37" s="3">
        <v>0</v>
      </c>
      <c r="F37" s="3">
        <v>0</v>
      </c>
      <c r="G37" s="3">
        <v>0</v>
      </c>
      <c r="H37" s="3">
        <v>0</v>
      </c>
    </row>
    <row r="38">
      <c r="A38" s="0" t="s">
        <v>212</v>
      </c>
      <c r="B38" s="3">
        <v>0</v>
      </c>
      <c r="C38" s="3">
        <v>0</v>
      </c>
      <c r="D38" s="3">
        <v>0</v>
      </c>
      <c r="E38" s="3">
        <v>0</v>
      </c>
      <c r="F38" s="3">
        <v>0</v>
      </c>
      <c r="G38" s="3">
        <v>0</v>
      </c>
      <c r="H38" s="3">
        <v>0</v>
      </c>
    </row>
    <row r="39">
      <c r="A39" s="0" t="s">
        <v>213</v>
      </c>
      <c r="B39" s="3">
        <v>0</v>
      </c>
      <c r="C39" s="3">
        <v>0</v>
      </c>
      <c r="D39" s="3">
        <v>0</v>
      </c>
      <c r="E39" s="3">
        <v>0</v>
      </c>
      <c r="F39" s="3">
        <v>0</v>
      </c>
      <c r="G39" s="3">
        <v>0</v>
      </c>
      <c r="H39" s="3">
        <v>0</v>
      </c>
    </row>
    <row r="40">
      <c r="A40" s="0" t="s">
        <v>214</v>
      </c>
      <c r="B40" s="3">
        <v>0</v>
      </c>
      <c r="C40" s="3">
        <v>0</v>
      </c>
      <c r="D40" s="3">
        <v>0</v>
      </c>
      <c r="E40" s="3">
        <v>0</v>
      </c>
      <c r="F40" s="3">
        <v>0</v>
      </c>
      <c r="G40" s="3">
        <v>0</v>
      </c>
      <c r="H40" s="3">
        <v>0</v>
      </c>
    </row>
    <row r="41">
      <c r="A41" s="0" t="s">
        <v>215</v>
      </c>
      <c r="B41" s="3">
        <v>0</v>
      </c>
      <c r="C41" s="3">
        <v>0</v>
      </c>
      <c r="D41" s="3">
        <v>0</v>
      </c>
      <c r="E41" s="3">
        <v>0</v>
      </c>
      <c r="F41" s="3">
        <v>0</v>
      </c>
      <c r="G41" s="3">
        <v>0</v>
      </c>
      <c r="H41" s="3">
        <v>0</v>
      </c>
    </row>
    <row r="42">
      <c r="A42" s="0" t="s">
        <v>216</v>
      </c>
      <c r="B42" s="3">
        <v>0</v>
      </c>
      <c r="C42" s="3">
        <v>0</v>
      </c>
      <c r="D42" s="3">
        <v>0</v>
      </c>
      <c r="E42" s="3">
        <v>0</v>
      </c>
      <c r="F42" s="3">
        <v>0</v>
      </c>
      <c r="G42" s="3">
        <v>0</v>
      </c>
      <c r="H42" s="3">
        <v>0</v>
      </c>
    </row>
    <row r="43">
      <c r="A43" s="0" t="s">
        <v>217</v>
      </c>
      <c r="B43" s="3">
        <v>0</v>
      </c>
      <c r="C43" s="3">
        <v>0</v>
      </c>
      <c r="D43" s="3">
        <v>0</v>
      </c>
      <c r="E43" s="3">
        <v>0</v>
      </c>
      <c r="F43" s="3">
        <v>0</v>
      </c>
      <c r="G43" s="3">
        <v>0</v>
      </c>
      <c r="H43" s="3">
        <v>0</v>
      </c>
    </row>
    <row r="44">
      <c r="A44" s="0" t="s">
        <v>218</v>
      </c>
      <c r="B44" s="3">
        <v>0</v>
      </c>
      <c r="C44" s="3">
        <v>0</v>
      </c>
      <c r="D44" s="3">
        <v>0</v>
      </c>
      <c r="E44" s="3">
        <v>0</v>
      </c>
      <c r="F44" s="3">
        <v>0</v>
      </c>
      <c r="G44" s="3">
        <v>0</v>
      </c>
      <c r="H44" s="3">
        <v>0</v>
      </c>
    </row>
    <row r="45">
      <c r="A45" s="0" t="s">
        <v>219</v>
      </c>
      <c r="B45" s="3">
        <v>0</v>
      </c>
      <c r="C45" s="3">
        <v>0</v>
      </c>
      <c r="D45" s="3">
        <v>0</v>
      </c>
      <c r="E45" s="3">
        <v>0</v>
      </c>
      <c r="F45" s="3">
        <v>0</v>
      </c>
      <c r="G45" s="3">
        <v>0</v>
      </c>
      <c r="H45" s="3">
        <v>0</v>
      </c>
    </row>
    <row r="46">
      <c r="A46" s="0" t="s">
        <v>220</v>
      </c>
      <c r="B46" s="3">
        <v>0</v>
      </c>
      <c r="C46" s="3">
        <v>0</v>
      </c>
      <c r="D46" s="3">
        <v>0</v>
      </c>
      <c r="E46" s="3">
        <v>0</v>
      </c>
      <c r="F46" s="3">
        <v>0</v>
      </c>
      <c r="G46" s="3">
        <v>0</v>
      </c>
      <c r="H46" s="3">
        <v>0</v>
      </c>
    </row>
    <row r="47">
      <c r="A47" s="0" t="s">
        <v>221</v>
      </c>
      <c r="B47" s="3">
        <v>0</v>
      </c>
      <c r="C47" s="3">
        <v>0</v>
      </c>
      <c r="D47" s="3">
        <v>0</v>
      </c>
      <c r="E47" s="3">
        <v>0</v>
      </c>
      <c r="F47" s="3">
        <v>0</v>
      </c>
      <c r="G47" s="3">
        <v>0</v>
      </c>
      <c r="H47" s="3">
        <v>0</v>
      </c>
    </row>
    <row r="48">
      <c r="A48" s="0" t="s">
        <v>222</v>
      </c>
      <c r="B48" s="3">
        <v>0</v>
      </c>
      <c r="C48" s="3">
        <v>0</v>
      </c>
      <c r="D48" s="3">
        <v>0</v>
      </c>
      <c r="E48" s="3">
        <v>0</v>
      </c>
      <c r="F48" s="3">
        <v>0</v>
      </c>
      <c r="G48" s="3">
        <v>0</v>
      </c>
      <c r="H48" s="3">
        <v>0</v>
      </c>
    </row>
    <row r="49">
      <c r="A49" s="0" t="s">
        <v>223</v>
      </c>
      <c r="B49" s="3">
        <v>0</v>
      </c>
      <c r="C49" s="3">
        <v>0</v>
      </c>
      <c r="D49" s="3">
        <v>0</v>
      </c>
      <c r="E49" s="3">
        <v>0</v>
      </c>
      <c r="F49" s="3">
        <v>0</v>
      </c>
      <c r="G49" s="3">
        <v>0</v>
      </c>
      <c r="H49" s="3">
        <v>0</v>
      </c>
    </row>
    <row r="50">
      <c r="A50" s="0" t="s">
        <v>224</v>
      </c>
      <c r="B50" s="3">
        <v>0</v>
      </c>
      <c r="C50" s="3">
        <v>0</v>
      </c>
      <c r="D50" s="3">
        <v>0</v>
      </c>
      <c r="E50" s="3">
        <v>0</v>
      </c>
      <c r="F50" s="3">
        <v>0</v>
      </c>
      <c r="G50" s="3">
        <v>0</v>
      </c>
      <c r="H50" s="3">
        <v>0</v>
      </c>
    </row>
    <row r="51">
      <c r="A51" s="0" t="s">
        <v>225</v>
      </c>
      <c r="B51" s="3">
        <v>0</v>
      </c>
      <c r="C51" s="3">
        <v>0</v>
      </c>
      <c r="D51" s="3">
        <v>0</v>
      </c>
      <c r="E51" s="3">
        <v>0</v>
      </c>
      <c r="F51" s="3">
        <v>0</v>
      </c>
      <c r="G51" s="3">
        <v>1</v>
      </c>
      <c r="H51" s="3">
        <v>1</v>
      </c>
    </row>
    <row r="52">
      <c r="A52" s="0" t="s">
        <v>226</v>
      </c>
      <c r="B52" s="3">
        <v>0</v>
      </c>
      <c r="C52" s="3">
        <v>0</v>
      </c>
      <c r="D52" s="3">
        <v>0</v>
      </c>
      <c r="E52" s="3">
        <v>0</v>
      </c>
      <c r="F52" s="3">
        <f>pow_Slime</f>
      </c>
      <c r="G52" s="3">
        <v>0</v>
      </c>
      <c r="H52" s="3">
        <v>0</v>
      </c>
    </row>
    <row r="53">
      <c r="A53" s="0" t="s">
        <v>227</v>
      </c>
      <c r="B53" s="11">
        <v>0</v>
      </c>
      <c r="C53" s="11">
        <v>0</v>
      </c>
      <c r="D53" s="11">
        <v>0</v>
      </c>
      <c r="E53" s="11">
        <v>0</v>
      </c>
      <c r="F53" s="11">
        <v>3</v>
      </c>
      <c r="G53" s="11">
        <v>0</v>
      </c>
      <c r="H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c r="G54" s="3">
        <f>G$32*pw_Damage+G$33+G$34*pw_Poison+G$35*pw_Heal+G$36*pw_Shield+G$37*pw_Block+G$38*pw_Parry+G$39*pw_Dodge+G$40*pw_Strength*pw_Horizon+G$41*pw_Weaken*pw_Horizon+G$42*pw_Vulnerable*pw_Horizon+G$43*pw_Frozen+G$44*pw_Rooted+G$45*pw_Taunt+G$46*pw_Stealth+G$47*pw_PoisonBlade*pw_Horizon+G$48*pw_DoubleNextAttack+G$49*pw_DoubleShield+G$50*pw_Draw+G$51*pw_Move+G$52*pw_Summon+MAX(0,G$31-1)*pw_Area</f>
      </c>
      <c r="H54" s="3">
        <f>H$32*pw_Damage+H$33+H$34*pw_Poison+H$35*pw_Heal+H$36*pw_Shield+H$37*pw_Block+H$38*pw_Parry+H$39*pw_Dodge+H$40*pw_Strength*pw_Horizon+H$41*pw_Weaken*pw_Horizon+H$42*pw_Vulnerable*pw_Horizon+H$43*pw_Frozen+H$44*pw_Rooted+H$45*pw_Taunt+H$46*pw_Stealth+H$47*pw_PoisonBlade*pw_Horizon+H$48*pw_DoubleNextAttack+H$49*pw_DoubleShield+H$50*pw_Draw+H$51*pw_Move+H$52*pw_Summon+MAX(0,H$31-1)*pw_Area</f>
      </c>
    </row>
    <row r="55">
      <c r="A55" s="0" t="s">
        <v>229</v>
      </c>
      <c r="B55" s="3">
        <f>B$54-B$32*pw_Damage-B$33-B$52*pw_Summon</f>
      </c>
      <c r="C55" s="3">
        <f>C$54-C$32*pw_Damage-C$33-C$52*pw_Summon</f>
      </c>
      <c r="D55" s="3">
        <f>D$54-D$32*pw_Damage-D$33-D$52*pw_Summon</f>
      </c>
      <c r="E55" s="3">
        <f>E$54-E$32*pw_Damage-E$33-E$52*pw_Summon</f>
      </c>
      <c r="F55" s="3">
        <f>F$54-F$32*pw_Damage-F$33-F$52*pw_Summon</f>
      </c>
      <c r="G55" s="3">
        <f>G$54-G$32*pw_Damage-G$33-G$52*pw_Summon</f>
      </c>
      <c r="H55" s="3">
        <f>H$54-H$32*pw_Damage-H$33-H$52*pw_Summon</f>
      </c>
    </row>
    <row r="57">
      <c r="A57" s="1" t="s">
        <v>230</v>
      </c>
      <c r="B57" s="4"/>
    </row>
  </sheetData>
  <dataValidations count="11">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 type="list" sqref="G24" showErrorMessage="0" allowBlank="1">
      <formula1>=list_EnemyCard</formula1>
    </dataValidation>
    <dataValidation type="list" sqref="H24" showErrorMessage="0" allowBlank="1">
      <formula1>=list_EnemyCard</formula1>
    </dataValidation>
  </dataValidations>
  <headerFooter/>
</worksheet>
</file>

<file path=xl/worksheets/sheet10.xml><?xml version="1.0" encoding="utf-8"?>
<worksheet xmlns:r="http://schemas.openxmlformats.org/officeDocument/2006/relationships" xmlns="http://schemas.openxmlformats.org/spreadsheetml/2006/main">
  <dimension ref="A1:H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 min="7" max="7" width="16" customWidth="1"/>
    <col min="8" max="8" width="16" customWidth="1"/>
  </cols>
  <sheetData>
    <row r="1">
      <c r="A1" s="1" t="s">
        <v>177</v>
      </c>
      <c r="B1" s="0" t="s">
        <v>249</v>
      </c>
    </row>
    <row r="2">
      <c r="A2" s="1" t="s">
        <v>179</v>
      </c>
      <c r="B2" s="0" t="s">
        <v>82</v>
      </c>
    </row>
    <row r="3">
      <c r="A3" s="1" t="s">
        <v>180</v>
      </c>
      <c r="B3" s="0" t="s">
        <v>250</v>
      </c>
    </row>
    <row r="4">
      <c r="A4" s="1" t="s">
        <v>182</v>
      </c>
      <c r="B4" s="0">
        <f>IF($B$3="","NEW","Live")</f>
      </c>
    </row>
    <row r="6">
      <c r="A6" s="1" t="s">
        <v>183</v>
      </c>
    </row>
    <row r="7">
      <c r="A7" s="6" t="s">
        <v>184</v>
      </c>
      <c r="B7" s="0" t="s">
        <v>249</v>
      </c>
    </row>
    <row r="8">
      <c r="A8" s="6" t="s">
        <v>186</v>
      </c>
      <c r="B8" s="0">
        <v>110</v>
      </c>
    </row>
    <row r="9">
      <c r="A9" s="6" t="s">
        <v>187</v>
      </c>
      <c r="B9" s="0">
        <v>2</v>
      </c>
    </row>
    <row r="10">
      <c r="A10" s="6" t="s">
        <v>73</v>
      </c>
      <c r="B10" s="0" t="s">
        <v>95</v>
      </c>
    </row>
    <row r="11">
      <c r="A11" s="6" t="s">
        <v>74</v>
      </c>
      <c r="B11" s="0" t="s">
        <v>118</v>
      </c>
    </row>
    <row r="12">
      <c r="A12" s="6" t="s">
        <v>188</v>
      </c>
      <c r="B12" s="0" t="s">
        <v>119</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IFERROR(AVERAGEIF(B$26:H$26,"Yes",B$54:H$54),0)</f>
      </c>
    </row>
    <row r="20">
      <c r="A20" s="0" t="s">
        <v>193</v>
      </c>
      <c r="B20" s="3">
        <f>IFERROR(AVERAGEIF(B$26:H$26,"Yes",B$32:H$32),0)</f>
      </c>
    </row>
    <row r="21">
      <c r="A21" s="0" t="s">
        <v>194</v>
      </c>
      <c r="B21" s="3">
        <f>IFERROR(AVERAGEIF(B$26:H$26,"Yes",B$55:H$55),0)</f>
      </c>
    </row>
    <row r="22">
      <c r="A22" s="0" t="s">
        <v>195</v>
      </c>
      <c r="B22" s="3">
        <f>IFERROR(AVERAGEIF(B$26:H$26,"Yes",B$52:H$52),0)</f>
      </c>
    </row>
    <row r="24">
      <c r="A24" s="1" t="s">
        <v>196</v>
      </c>
      <c r="B24" s="0" t="s">
        <v>151</v>
      </c>
      <c r="C24" s="0" t="s">
        <v>151</v>
      </c>
      <c r="D24" s="0" t="s">
        <v>125</v>
      </c>
      <c r="E24" s="0" t="s">
        <v>125</v>
      </c>
      <c r="F24" s="0" t="s">
        <v>141</v>
      </c>
      <c r="G24" s="0" t="s">
        <v>136</v>
      </c>
      <c r="H24" s="0" t="s">
        <v>136</v>
      </c>
    </row>
    <row r="25">
      <c r="A25" s="0" t="s">
        <v>197</v>
      </c>
      <c r="B25" s="0" t="s">
        <v>251</v>
      </c>
      <c r="C25" s="0" t="s">
        <v>251</v>
      </c>
      <c r="D25" s="0" t="s">
        <v>252</v>
      </c>
      <c r="E25" s="0" t="s">
        <v>252</v>
      </c>
      <c r="F25" s="0" t="s">
        <v>200</v>
      </c>
      <c r="G25" s="0" t="s">
        <v>201</v>
      </c>
      <c r="H25" s="0" t="s">
        <v>201</v>
      </c>
    </row>
    <row r="26">
      <c r="A26" s="0" t="s">
        <v>202</v>
      </c>
      <c r="B26" s="0" t="s">
        <v>82</v>
      </c>
      <c r="C26" s="0" t="s">
        <v>82</v>
      </c>
      <c r="D26" s="0" t="s">
        <v>82</v>
      </c>
      <c r="E26" s="0" t="s">
        <v>82</v>
      </c>
      <c r="F26" s="0" t="s">
        <v>88</v>
      </c>
      <c r="G26" s="0" t="s">
        <v>88</v>
      </c>
      <c r="H26" s="0" t="s">
        <v>88</v>
      </c>
    </row>
    <row r="28">
      <c r="A28" s="1" t="s">
        <v>203</v>
      </c>
    </row>
    <row r="29">
      <c r="A29" s="0" t="s">
        <v>204</v>
      </c>
      <c r="B29" s="11">
        <v>1</v>
      </c>
      <c r="C29" s="11">
        <v>1</v>
      </c>
      <c r="D29" s="11">
        <v>1</v>
      </c>
      <c r="E29" s="11">
        <v>1</v>
      </c>
      <c r="F29" s="11">
        <v>0</v>
      </c>
      <c r="G29" s="11">
        <v>1</v>
      </c>
      <c r="H29" s="11">
        <v>1</v>
      </c>
    </row>
    <row r="30">
      <c r="A30" s="0" t="s">
        <v>205</v>
      </c>
      <c r="B30" s="11">
        <v>2</v>
      </c>
      <c r="C30" s="11">
        <v>2</v>
      </c>
      <c r="D30" s="11">
        <v>4</v>
      </c>
      <c r="E30" s="11">
        <v>4</v>
      </c>
      <c r="F30" s="11">
        <v>4</v>
      </c>
      <c r="G30" s="11">
        <v>1</v>
      </c>
      <c r="H30" s="11">
        <v>1</v>
      </c>
    </row>
    <row r="31">
      <c r="A31" s="0" t="s">
        <v>206</v>
      </c>
      <c r="B31" s="11">
        <v>1</v>
      </c>
      <c r="C31" s="11">
        <v>1</v>
      </c>
      <c r="D31" s="11">
        <v>9</v>
      </c>
      <c r="E31" s="11">
        <v>9</v>
      </c>
      <c r="F31" s="11">
        <v>1</v>
      </c>
      <c r="G31" s="11">
        <v>1</v>
      </c>
      <c r="H31" s="11">
        <v>1</v>
      </c>
    </row>
    <row r="32">
      <c r="A32" s="0" t="s">
        <v>207</v>
      </c>
      <c r="B32" s="3">
        <v>6</v>
      </c>
      <c r="C32" s="3">
        <v>6</v>
      </c>
      <c r="D32" s="3">
        <v>4</v>
      </c>
      <c r="E32" s="3">
        <v>4</v>
      </c>
      <c r="F32" s="3">
        <v>0</v>
      </c>
      <c r="G32" s="3">
        <v>0</v>
      </c>
      <c r="H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c r="G33" s="3">
        <f>IFERROR(VLOOKUP(G$30,range_Power,2,TRUE),0)</f>
      </c>
      <c r="H33" s="3">
        <f>IFERROR(VLOOKUP(H$30,range_Power,2,TRUE),0)</f>
      </c>
    </row>
    <row r="34">
      <c r="A34" s="0" t="s">
        <v>208</v>
      </c>
      <c r="B34" s="3">
        <v>0</v>
      </c>
      <c r="C34" s="3">
        <v>0</v>
      </c>
      <c r="D34" s="3">
        <v>0</v>
      </c>
      <c r="E34" s="3">
        <v>0</v>
      </c>
      <c r="F34" s="3">
        <v>0</v>
      </c>
      <c r="G34" s="3">
        <v>0</v>
      </c>
      <c r="H34" s="3">
        <v>0</v>
      </c>
    </row>
    <row r="35">
      <c r="A35" s="0" t="s">
        <v>209</v>
      </c>
      <c r="B35" s="3">
        <v>5</v>
      </c>
      <c r="C35" s="3">
        <v>5</v>
      </c>
      <c r="D35" s="3">
        <v>0</v>
      </c>
      <c r="E35" s="3">
        <v>0</v>
      </c>
      <c r="F35" s="3">
        <v>0</v>
      </c>
      <c r="G35" s="3">
        <v>0</v>
      </c>
      <c r="H35" s="3">
        <v>0</v>
      </c>
    </row>
    <row r="36">
      <c r="A36" s="0" t="s">
        <v>210</v>
      </c>
      <c r="B36" s="3">
        <v>0</v>
      </c>
      <c r="C36" s="3">
        <v>0</v>
      </c>
      <c r="D36" s="3">
        <v>0</v>
      </c>
      <c r="E36" s="3">
        <v>0</v>
      </c>
      <c r="F36" s="3">
        <v>0</v>
      </c>
      <c r="G36" s="3">
        <v>0</v>
      </c>
      <c r="H36" s="3">
        <v>0</v>
      </c>
    </row>
    <row r="37">
      <c r="A37" s="0" t="s">
        <v>211</v>
      </c>
      <c r="B37" s="3">
        <v>0</v>
      </c>
      <c r="C37" s="3">
        <v>0</v>
      </c>
      <c r="D37" s="3">
        <v>0</v>
      </c>
      <c r="E37" s="3">
        <v>0</v>
      </c>
      <c r="F37" s="3">
        <v>0</v>
      </c>
      <c r="G37" s="3">
        <v>0</v>
      </c>
      <c r="H37" s="3">
        <v>0</v>
      </c>
    </row>
    <row r="38">
      <c r="A38" s="0" t="s">
        <v>212</v>
      </c>
      <c r="B38" s="3">
        <v>0</v>
      </c>
      <c r="C38" s="3">
        <v>0</v>
      </c>
      <c r="D38" s="3">
        <v>0</v>
      </c>
      <c r="E38" s="3">
        <v>0</v>
      </c>
      <c r="F38" s="3">
        <v>0</v>
      </c>
      <c r="G38" s="3">
        <v>0</v>
      </c>
      <c r="H38" s="3">
        <v>0</v>
      </c>
    </row>
    <row r="39">
      <c r="A39" s="0" t="s">
        <v>213</v>
      </c>
      <c r="B39" s="3">
        <v>0</v>
      </c>
      <c r="C39" s="3">
        <v>0</v>
      </c>
      <c r="D39" s="3">
        <v>0</v>
      </c>
      <c r="E39" s="3">
        <v>0</v>
      </c>
      <c r="F39" s="3">
        <v>0</v>
      </c>
      <c r="G39" s="3">
        <v>0</v>
      </c>
      <c r="H39" s="3">
        <v>0</v>
      </c>
    </row>
    <row r="40">
      <c r="A40" s="0" t="s">
        <v>214</v>
      </c>
      <c r="B40" s="3">
        <v>0</v>
      </c>
      <c r="C40" s="3">
        <v>0</v>
      </c>
      <c r="D40" s="3">
        <v>0</v>
      </c>
      <c r="E40" s="3">
        <v>0</v>
      </c>
      <c r="F40" s="3">
        <v>0</v>
      </c>
      <c r="G40" s="3">
        <v>0</v>
      </c>
      <c r="H40" s="3">
        <v>0</v>
      </c>
    </row>
    <row r="41">
      <c r="A41" s="0" t="s">
        <v>215</v>
      </c>
      <c r="B41" s="3">
        <v>0</v>
      </c>
      <c r="C41" s="3">
        <v>0</v>
      </c>
      <c r="D41" s="3">
        <v>0</v>
      </c>
      <c r="E41" s="3">
        <v>0</v>
      </c>
      <c r="F41" s="3">
        <v>0</v>
      </c>
      <c r="G41" s="3">
        <v>0</v>
      </c>
      <c r="H41" s="3">
        <v>0</v>
      </c>
    </row>
    <row r="42">
      <c r="A42" s="0" t="s">
        <v>216</v>
      </c>
      <c r="B42" s="3">
        <v>0</v>
      </c>
      <c r="C42" s="3">
        <v>0</v>
      </c>
      <c r="D42" s="3">
        <v>1</v>
      </c>
      <c r="E42" s="3">
        <v>1</v>
      </c>
      <c r="F42" s="3">
        <v>0</v>
      </c>
      <c r="G42" s="3">
        <v>0</v>
      </c>
      <c r="H42" s="3">
        <v>0</v>
      </c>
    </row>
    <row r="43">
      <c r="A43" s="0" t="s">
        <v>217</v>
      </c>
      <c r="B43" s="3">
        <v>0</v>
      </c>
      <c r="C43" s="3">
        <v>0</v>
      </c>
      <c r="D43" s="3">
        <v>0</v>
      </c>
      <c r="E43" s="3">
        <v>0</v>
      </c>
      <c r="F43" s="3">
        <v>0</v>
      </c>
      <c r="G43" s="3">
        <v>0</v>
      </c>
      <c r="H43" s="3">
        <v>0</v>
      </c>
    </row>
    <row r="44">
      <c r="A44" s="0" t="s">
        <v>218</v>
      </c>
      <c r="B44" s="3">
        <v>0</v>
      </c>
      <c r="C44" s="3">
        <v>0</v>
      </c>
      <c r="D44" s="3">
        <v>0</v>
      </c>
      <c r="E44" s="3">
        <v>0</v>
      </c>
      <c r="F44" s="3">
        <v>0</v>
      </c>
      <c r="G44" s="3">
        <v>0</v>
      </c>
      <c r="H44" s="3">
        <v>0</v>
      </c>
    </row>
    <row r="45">
      <c r="A45" s="0" t="s">
        <v>219</v>
      </c>
      <c r="B45" s="3">
        <v>0</v>
      </c>
      <c r="C45" s="3">
        <v>0</v>
      </c>
      <c r="D45" s="3">
        <v>0</v>
      </c>
      <c r="E45" s="3">
        <v>0</v>
      </c>
      <c r="F45" s="3">
        <v>0</v>
      </c>
      <c r="G45" s="3">
        <v>0</v>
      </c>
      <c r="H45" s="3">
        <v>0</v>
      </c>
    </row>
    <row r="46">
      <c r="A46" s="0" t="s">
        <v>220</v>
      </c>
      <c r="B46" s="3">
        <v>0</v>
      </c>
      <c r="C46" s="3">
        <v>0</v>
      </c>
      <c r="D46" s="3">
        <v>0</v>
      </c>
      <c r="E46" s="3">
        <v>0</v>
      </c>
      <c r="F46" s="3">
        <v>0</v>
      </c>
      <c r="G46" s="3">
        <v>0</v>
      </c>
      <c r="H46" s="3">
        <v>0</v>
      </c>
    </row>
    <row r="47">
      <c r="A47" s="0" t="s">
        <v>221</v>
      </c>
      <c r="B47" s="3">
        <v>0</v>
      </c>
      <c r="C47" s="3">
        <v>0</v>
      </c>
      <c r="D47" s="3">
        <v>0</v>
      </c>
      <c r="E47" s="3">
        <v>0</v>
      </c>
      <c r="F47" s="3">
        <v>0</v>
      </c>
      <c r="G47" s="3">
        <v>0</v>
      </c>
      <c r="H47" s="3">
        <v>0</v>
      </c>
    </row>
    <row r="48">
      <c r="A48" s="0" t="s">
        <v>222</v>
      </c>
      <c r="B48" s="3">
        <v>0</v>
      </c>
      <c r="C48" s="3">
        <v>0</v>
      </c>
      <c r="D48" s="3">
        <v>0</v>
      </c>
      <c r="E48" s="3">
        <v>0</v>
      </c>
      <c r="F48" s="3">
        <v>0</v>
      </c>
      <c r="G48" s="3">
        <v>0</v>
      </c>
      <c r="H48" s="3">
        <v>0</v>
      </c>
    </row>
    <row r="49">
      <c r="A49" s="0" t="s">
        <v>223</v>
      </c>
      <c r="B49" s="3">
        <v>0</v>
      </c>
      <c r="C49" s="3">
        <v>0</v>
      </c>
      <c r="D49" s="3">
        <v>0</v>
      </c>
      <c r="E49" s="3">
        <v>0</v>
      </c>
      <c r="F49" s="3">
        <v>0</v>
      </c>
      <c r="G49" s="3">
        <v>0</v>
      </c>
      <c r="H49" s="3">
        <v>0</v>
      </c>
    </row>
    <row r="50">
      <c r="A50" s="0" t="s">
        <v>224</v>
      </c>
      <c r="B50" s="3">
        <v>0</v>
      </c>
      <c r="C50" s="3">
        <v>0</v>
      </c>
      <c r="D50" s="3">
        <v>0</v>
      </c>
      <c r="E50" s="3">
        <v>0</v>
      </c>
      <c r="F50" s="3">
        <v>0</v>
      </c>
      <c r="G50" s="3">
        <v>0</v>
      </c>
      <c r="H50" s="3">
        <v>0</v>
      </c>
    </row>
    <row r="51">
      <c r="A51" s="0" t="s">
        <v>225</v>
      </c>
      <c r="B51" s="3">
        <v>0</v>
      </c>
      <c r="C51" s="3">
        <v>0</v>
      </c>
      <c r="D51" s="3">
        <v>0</v>
      </c>
      <c r="E51" s="3">
        <v>0</v>
      </c>
      <c r="F51" s="3">
        <v>0</v>
      </c>
      <c r="G51" s="3">
        <v>1</v>
      </c>
      <c r="H51" s="3">
        <v>1</v>
      </c>
    </row>
    <row r="52">
      <c r="A52" s="0" t="s">
        <v>226</v>
      </c>
      <c r="B52" s="3">
        <v>0</v>
      </c>
      <c r="C52" s="3">
        <v>0</v>
      </c>
      <c r="D52" s="3">
        <v>0</v>
      </c>
      <c r="E52" s="3">
        <v>0</v>
      </c>
      <c r="F52" s="3">
        <f>pow_Skeleton</f>
      </c>
      <c r="G52" s="3">
        <v>0</v>
      </c>
      <c r="H52" s="3">
        <v>0</v>
      </c>
    </row>
    <row r="53">
      <c r="A53" s="0" t="s">
        <v>227</v>
      </c>
      <c r="B53" s="11">
        <v>0</v>
      </c>
      <c r="C53" s="11">
        <v>0</v>
      </c>
      <c r="D53" s="11">
        <v>0</v>
      </c>
      <c r="E53" s="11">
        <v>0</v>
      </c>
      <c r="F53" s="11">
        <v>3</v>
      </c>
      <c r="G53" s="11">
        <v>0</v>
      </c>
      <c r="H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c r="G54" s="3">
        <f>G$32*pw_Damage+G$33+G$34*pw_Poison+G$35*pw_Heal+G$36*pw_Shield+G$37*pw_Block+G$38*pw_Parry+G$39*pw_Dodge+G$40*pw_Strength*pw_Horizon+G$41*pw_Weaken*pw_Horizon+G$42*pw_Vulnerable*pw_Horizon+G$43*pw_Frozen+G$44*pw_Rooted+G$45*pw_Taunt+G$46*pw_Stealth+G$47*pw_PoisonBlade*pw_Horizon+G$48*pw_DoubleNextAttack+G$49*pw_DoubleShield+G$50*pw_Draw+G$51*pw_Move+G$52*pw_Summon+MAX(0,G$31-1)*pw_Area</f>
      </c>
      <c r="H54" s="3">
        <f>H$32*pw_Damage+H$33+H$34*pw_Poison+H$35*pw_Heal+H$36*pw_Shield+H$37*pw_Block+H$38*pw_Parry+H$39*pw_Dodge+H$40*pw_Strength*pw_Horizon+H$41*pw_Weaken*pw_Horizon+H$42*pw_Vulnerable*pw_Horizon+H$43*pw_Frozen+H$44*pw_Rooted+H$45*pw_Taunt+H$46*pw_Stealth+H$47*pw_PoisonBlade*pw_Horizon+H$48*pw_DoubleNextAttack+H$49*pw_DoubleShield+H$50*pw_Draw+H$51*pw_Move+H$52*pw_Summon+MAX(0,H$31-1)*pw_Area</f>
      </c>
    </row>
    <row r="55">
      <c r="A55" s="0" t="s">
        <v>229</v>
      </c>
      <c r="B55" s="3">
        <f>B$54-B$32*pw_Damage-B$33-B$52*pw_Summon</f>
      </c>
      <c r="C55" s="3">
        <f>C$54-C$32*pw_Damage-C$33-C$52*pw_Summon</f>
      </c>
      <c r="D55" s="3">
        <f>D$54-D$32*pw_Damage-D$33-D$52*pw_Summon</f>
      </c>
      <c r="E55" s="3">
        <f>E$54-E$32*pw_Damage-E$33-E$52*pw_Summon</f>
      </c>
      <c r="F55" s="3">
        <f>F$54-F$32*pw_Damage-F$33-F$52*pw_Summon</f>
      </c>
      <c r="G55" s="3">
        <f>G$54-G$32*pw_Damage-G$33-G$52*pw_Summon</f>
      </c>
      <c r="H55" s="3">
        <f>H$54-H$32*pw_Damage-H$33-H$52*pw_Summon</f>
      </c>
    </row>
    <row r="57">
      <c r="A57" s="1" t="s">
        <v>230</v>
      </c>
      <c r="B57" s="4"/>
    </row>
  </sheetData>
  <dataValidations count="11">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 type="list" sqref="G24" showErrorMessage="0" allowBlank="1">
      <formula1>=list_EnemyCard</formula1>
    </dataValidation>
    <dataValidation type="list" sqref="H24" showErrorMessage="0" allowBlank="1">
      <formula1>=list_EnemyCard</formula1>
    </dataValidation>
  </dataValidations>
  <headerFooter/>
</worksheet>
</file>

<file path=xl/worksheets/sheet11.xml><?xml version="1.0" encoding="utf-8"?>
<worksheet xmlns:r="http://schemas.openxmlformats.org/officeDocument/2006/relationships" xmlns="http://schemas.openxmlformats.org/spreadsheetml/2006/main">
  <dimension ref="A1:H57"/>
  <sheetViews>
    <sheetView workbookViewId="0" tabSelected="0">
      <pane xSplit="1" topLeftCell="B1" state="frozen" activePane="topRight"/>
      <selection pane="topRight" activeCell="A1" sqref="A1"/>
    </sheetView>
  </sheetViews>
  <sheetFormatPr defaultRowHeight="15"/>
  <cols>
    <col min="1" max="1" width="24" customWidth="1"/>
    <col min="2" max="2" width="16" customWidth="1"/>
    <col min="3" max="3" width="16" customWidth="1"/>
    <col min="4" max="4" width="16" customWidth="1"/>
    <col min="5" max="5" width="16" customWidth="1"/>
    <col min="6" max="6" width="16" customWidth="1"/>
    <col min="7" max="7" width="16" customWidth="1"/>
    <col min="8" max="8" width="16" customWidth="1"/>
  </cols>
  <sheetData>
    <row r="1">
      <c r="A1" s="1" t="s">
        <v>177</v>
      </c>
      <c r="B1" s="0" t="s">
        <v>172</v>
      </c>
    </row>
    <row r="2">
      <c r="A2" s="1" t="s">
        <v>179</v>
      </c>
      <c r="B2" s="0" t="s">
        <v>82</v>
      </c>
    </row>
    <row r="3">
      <c r="A3" s="1" t="s">
        <v>180</v>
      </c>
      <c r="B3" s="0" t="s">
        <v>253</v>
      </c>
    </row>
    <row r="4">
      <c r="A4" s="1" t="s">
        <v>182</v>
      </c>
      <c r="B4" s="0">
        <f>IF($B$3="","NEW","Live")</f>
      </c>
    </row>
    <row r="6">
      <c r="A6" s="1" t="s">
        <v>183</v>
      </c>
    </row>
    <row r="7">
      <c r="A7" s="6" t="s">
        <v>184</v>
      </c>
      <c r="B7" s="0" t="s">
        <v>254</v>
      </c>
    </row>
    <row r="8">
      <c r="A8" s="6" t="s">
        <v>186</v>
      </c>
      <c r="B8" s="0">
        <v>150</v>
      </c>
    </row>
    <row r="9">
      <c r="A9" s="6" t="s">
        <v>187</v>
      </c>
      <c r="B9" s="0">
        <v>2</v>
      </c>
    </row>
    <row r="10">
      <c r="A10" s="6" t="s">
        <v>73</v>
      </c>
      <c r="B10" s="0" t="s">
        <v>95</v>
      </c>
    </row>
    <row r="11">
      <c r="A11" s="6" t="s">
        <v>74</v>
      </c>
      <c r="B11" s="0" t="s">
        <v>85</v>
      </c>
    </row>
    <row r="12">
      <c r="A12" s="6" t="s">
        <v>188</v>
      </c>
      <c r="B12" s="0" t="s">
        <v>121</v>
      </c>
    </row>
    <row r="13">
      <c r="A13" s="6" t="s">
        <v>76</v>
      </c>
      <c r="B13" s="0" t="s">
        <v>80</v>
      </c>
    </row>
    <row r="15">
      <c r="A15" s="1" t="s">
        <v>189</v>
      </c>
      <c r="B15" s="0">
        <v>2</v>
      </c>
    </row>
    <row r="16">
      <c r="A16" s="1" t="s">
        <v>190</v>
      </c>
      <c r="B16" s="3">
        <f>IF($B$8="","",ROUND(($B$19*$B$9*pw_ActionScale+$B$8*pw_Health)/pw_Divisor,3))</f>
      </c>
    </row>
    <row r="17">
      <c r="A17" s="0" t="s">
        <v>191</v>
      </c>
      <c r="B17" s="3">
        <f>IF($B$15="","",ROUND($B$16-$B$15,3))</f>
      </c>
    </row>
    <row r="18">
      <c r="B18" s="3"/>
    </row>
    <row r="19">
      <c r="A19" s="0" t="s">
        <v>192</v>
      </c>
      <c r="B19" s="3">
        <f>IFERROR(AVERAGEIF(B$26:H$26,"Yes",B$54:H$54),0)</f>
      </c>
    </row>
    <row r="20">
      <c r="A20" s="0" t="s">
        <v>193</v>
      </c>
      <c r="B20" s="3">
        <f>IFERROR(AVERAGEIF(B$26:H$26,"Yes",B$32:H$32),0)</f>
      </c>
    </row>
    <row r="21">
      <c r="A21" s="0" t="s">
        <v>194</v>
      </c>
      <c r="B21" s="3">
        <f>IFERROR(AVERAGEIF(B$26:H$26,"Yes",B$55:H$55),0)</f>
      </c>
    </row>
    <row r="22">
      <c r="A22" s="0" t="s">
        <v>195</v>
      </c>
      <c r="B22" s="3">
        <f>IFERROR(AVERAGEIF(B$26:H$26,"Yes",B$52:H$52),0)</f>
      </c>
    </row>
    <row r="24">
      <c r="A24" s="1" t="s">
        <v>196</v>
      </c>
      <c r="B24" s="0" t="s">
        <v>147</v>
      </c>
      <c r="C24" s="0" t="s">
        <v>147</v>
      </c>
      <c r="D24" s="0" t="s">
        <v>155</v>
      </c>
      <c r="E24" s="0" t="s">
        <v>155</v>
      </c>
      <c r="F24" s="0" t="s">
        <v>153</v>
      </c>
      <c r="G24" s="0" t="s">
        <v>136</v>
      </c>
      <c r="H24" s="0" t="s">
        <v>136</v>
      </c>
    </row>
    <row r="25">
      <c r="A25" s="0" t="s">
        <v>197</v>
      </c>
      <c r="B25" s="0" t="s">
        <v>255</v>
      </c>
      <c r="C25" s="0" t="s">
        <v>255</v>
      </c>
      <c r="D25" s="0" t="s">
        <v>237</v>
      </c>
      <c r="E25" s="0" t="s">
        <v>237</v>
      </c>
      <c r="F25" s="0" t="s">
        <v>200</v>
      </c>
      <c r="G25" s="0" t="s">
        <v>201</v>
      </c>
      <c r="H25" s="0" t="s">
        <v>201</v>
      </c>
    </row>
    <row r="26">
      <c r="A26" s="0" t="s">
        <v>202</v>
      </c>
      <c r="B26" s="0" t="s">
        <v>82</v>
      </c>
      <c r="C26" s="0" t="s">
        <v>82</v>
      </c>
      <c r="D26" s="0" t="s">
        <v>82</v>
      </c>
      <c r="E26" s="0" t="s">
        <v>82</v>
      </c>
      <c r="F26" s="0" t="s">
        <v>88</v>
      </c>
      <c r="G26" s="0" t="s">
        <v>88</v>
      </c>
      <c r="H26" s="0" t="s">
        <v>88</v>
      </c>
    </row>
    <row r="28">
      <c r="A28" s="1" t="s">
        <v>203</v>
      </c>
    </row>
    <row r="29">
      <c r="A29" s="0" t="s">
        <v>204</v>
      </c>
      <c r="B29" s="11">
        <v>1</v>
      </c>
      <c r="C29" s="11">
        <v>1</v>
      </c>
      <c r="D29" s="11">
        <v>1</v>
      </c>
      <c r="E29" s="11">
        <v>1</v>
      </c>
      <c r="F29" s="11">
        <v>0</v>
      </c>
      <c r="G29" s="11">
        <v>1</v>
      </c>
      <c r="H29" s="11">
        <v>1</v>
      </c>
    </row>
    <row r="30">
      <c r="A30" s="0" t="s">
        <v>205</v>
      </c>
      <c r="B30" s="11">
        <v>1</v>
      </c>
      <c r="C30" s="11">
        <v>1</v>
      </c>
      <c r="D30" s="11">
        <v>1</v>
      </c>
      <c r="E30" s="11">
        <v>1</v>
      </c>
      <c r="F30" s="11">
        <v>2</v>
      </c>
      <c r="G30" s="11">
        <v>1</v>
      </c>
      <c r="H30" s="11">
        <v>1</v>
      </c>
    </row>
    <row r="31">
      <c r="A31" s="0" t="s">
        <v>206</v>
      </c>
      <c r="B31" s="11">
        <v>9</v>
      </c>
      <c r="C31" s="11">
        <v>9</v>
      </c>
      <c r="D31" s="11">
        <v>1</v>
      </c>
      <c r="E31" s="11">
        <v>1</v>
      </c>
      <c r="F31" s="11">
        <v>1</v>
      </c>
      <c r="G31" s="11">
        <v>1</v>
      </c>
      <c r="H31" s="11">
        <v>1</v>
      </c>
    </row>
    <row r="32">
      <c r="A32" s="0" t="s">
        <v>207</v>
      </c>
      <c r="B32" s="3">
        <v>7</v>
      </c>
      <c r="C32" s="3">
        <v>7</v>
      </c>
      <c r="D32" s="3">
        <v>4</v>
      </c>
      <c r="E32" s="3">
        <v>4</v>
      </c>
      <c r="F32" s="3">
        <v>0</v>
      </c>
      <c r="G32" s="3">
        <v>0</v>
      </c>
      <c r="H32" s="3">
        <v>0</v>
      </c>
    </row>
    <row r="33">
      <c r="A33" s="0" t="s">
        <v>70</v>
      </c>
      <c r="B33" s="3">
        <f>IFERROR(VLOOKUP(B$30,range_Power,2,TRUE),0)</f>
      </c>
      <c r="C33" s="3">
        <f>IFERROR(VLOOKUP(C$30,range_Power,2,TRUE),0)</f>
      </c>
      <c r="D33" s="3">
        <f>IFERROR(VLOOKUP(D$30,range_Power,2,TRUE),0)</f>
      </c>
      <c r="E33" s="3">
        <f>IFERROR(VLOOKUP(E$30,range_Power,2,TRUE),0)</f>
      </c>
      <c r="F33" s="3">
        <f>IFERROR(VLOOKUP(F$30,range_Power,2,TRUE),0)</f>
      </c>
      <c r="G33" s="3">
        <f>IFERROR(VLOOKUP(G$30,range_Power,2,TRUE),0)</f>
      </c>
      <c r="H33" s="3">
        <f>IFERROR(VLOOKUP(H$30,range_Power,2,TRUE),0)</f>
      </c>
    </row>
    <row r="34">
      <c r="A34" s="0" t="s">
        <v>208</v>
      </c>
      <c r="B34" s="3">
        <v>0</v>
      </c>
      <c r="C34" s="3">
        <v>0</v>
      </c>
      <c r="D34" s="3">
        <v>0</v>
      </c>
      <c r="E34" s="3">
        <v>0</v>
      </c>
      <c r="F34" s="3">
        <v>0</v>
      </c>
      <c r="G34" s="3">
        <v>0</v>
      </c>
      <c r="H34" s="3">
        <v>0</v>
      </c>
    </row>
    <row r="35">
      <c r="A35" s="0" t="s">
        <v>209</v>
      </c>
      <c r="B35" s="3">
        <v>0</v>
      </c>
      <c r="C35" s="3">
        <v>0</v>
      </c>
      <c r="D35" s="3">
        <v>0</v>
      </c>
      <c r="E35" s="3">
        <v>0</v>
      </c>
      <c r="F35" s="3">
        <v>0</v>
      </c>
      <c r="G35" s="3">
        <v>0</v>
      </c>
      <c r="H35" s="3">
        <v>0</v>
      </c>
    </row>
    <row r="36">
      <c r="A36" s="0" t="s">
        <v>210</v>
      </c>
      <c r="B36" s="3">
        <v>0</v>
      </c>
      <c r="C36" s="3">
        <v>0</v>
      </c>
      <c r="D36" s="3">
        <v>10</v>
      </c>
      <c r="E36" s="3">
        <v>10</v>
      </c>
      <c r="F36" s="3">
        <v>0</v>
      </c>
      <c r="G36" s="3">
        <v>0</v>
      </c>
      <c r="H36" s="3">
        <v>0</v>
      </c>
    </row>
    <row r="37">
      <c r="A37" s="0" t="s">
        <v>211</v>
      </c>
      <c r="B37" s="3">
        <v>0</v>
      </c>
      <c r="C37" s="3">
        <v>0</v>
      </c>
      <c r="D37" s="3">
        <v>0</v>
      </c>
      <c r="E37" s="3">
        <v>0</v>
      </c>
      <c r="F37" s="3">
        <v>0</v>
      </c>
      <c r="G37" s="3">
        <v>0</v>
      </c>
      <c r="H37" s="3">
        <v>0</v>
      </c>
    </row>
    <row r="38">
      <c r="A38" s="0" t="s">
        <v>212</v>
      </c>
      <c r="B38" s="3">
        <v>0</v>
      </c>
      <c r="C38" s="3">
        <v>0</v>
      </c>
      <c r="D38" s="3">
        <v>0</v>
      </c>
      <c r="E38" s="3">
        <v>0</v>
      </c>
      <c r="F38" s="3">
        <v>0</v>
      </c>
      <c r="G38" s="3">
        <v>0</v>
      </c>
      <c r="H38" s="3">
        <v>0</v>
      </c>
    </row>
    <row r="39">
      <c r="A39" s="0" t="s">
        <v>213</v>
      </c>
      <c r="B39" s="3">
        <v>0</v>
      </c>
      <c r="C39" s="3">
        <v>0</v>
      </c>
      <c r="D39" s="3">
        <v>0</v>
      </c>
      <c r="E39" s="3">
        <v>0</v>
      </c>
      <c r="F39" s="3">
        <v>0</v>
      </c>
      <c r="G39" s="3">
        <v>0</v>
      </c>
      <c r="H39" s="3">
        <v>0</v>
      </c>
    </row>
    <row r="40">
      <c r="A40" s="0" t="s">
        <v>214</v>
      </c>
      <c r="B40" s="3">
        <v>0</v>
      </c>
      <c r="C40" s="3">
        <v>0</v>
      </c>
      <c r="D40" s="3">
        <v>0</v>
      </c>
      <c r="E40" s="3">
        <v>0</v>
      </c>
      <c r="F40" s="3">
        <v>0</v>
      </c>
      <c r="G40" s="3">
        <v>0</v>
      </c>
      <c r="H40" s="3">
        <v>0</v>
      </c>
    </row>
    <row r="41">
      <c r="A41" s="0" t="s">
        <v>215</v>
      </c>
      <c r="B41" s="3">
        <v>0</v>
      </c>
      <c r="C41" s="3">
        <v>0</v>
      </c>
      <c r="D41" s="3">
        <v>0</v>
      </c>
      <c r="E41" s="3">
        <v>0</v>
      </c>
      <c r="F41" s="3">
        <v>0</v>
      </c>
      <c r="G41" s="3">
        <v>0</v>
      </c>
      <c r="H41" s="3">
        <v>0</v>
      </c>
    </row>
    <row r="42">
      <c r="A42" s="0" t="s">
        <v>216</v>
      </c>
      <c r="B42" s="3">
        <v>0</v>
      </c>
      <c r="C42" s="3">
        <v>0</v>
      </c>
      <c r="D42" s="3">
        <v>0</v>
      </c>
      <c r="E42" s="3">
        <v>0</v>
      </c>
      <c r="F42" s="3">
        <v>0</v>
      </c>
      <c r="G42" s="3">
        <v>0</v>
      </c>
      <c r="H42" s="3">
        <v>0</v>
      </c>
    </row>
    <row r="43">
      <c r="A43" s="0" t="s">
        <v>217</v>
      </c>
      <c r="B43" s="3">
        <v>0</v>
      </c>
      <c r="C43" s="3">
        <v>0</v>
      </c>
      <c r="D43" s="3">
        <v>0</v>
      </c>
      <c r="E43" s="3">
        <v>0</v>
      </c>
      <c r="F43" s="3">
        <v>0</v>
      </c>
      <c r="G43" s="3">
        <v>0</v>
      </c>
      <c r="H43" s="3">
        <v>0</v>
      </c>
    </row>
    <row r="44">
      <c r="A44" s="0" t="s">
        <v>218</v>
      </c>
      <c r="B44" s="3">
        <v>0</v>
      </c>
      <c r="C44" s="3">
        <v>0</v>
      </c>
      <c r="D44" s="3">
        <v>0</v>
      </c>
      <c r="E44" s="3">
        <v>0</v>
      </c>
      <c r="F44" s="3">
        <v>0</v>
      </c>
      <c r="G44" s="3">
        <v>0</v>
      </c>
      <c r="H44" s="3">
        <v>0</v>
      </c>
    </row>
    <row r="45">
      <c r="A45" s="0" t="s">
        <v>219</v>
      </c>
      <c r="B45" s="3">
        <v>0</v>
      </c>
      <c r="C45" s="3">
        <v>0</v>
      </c>
      <c r="D45" s="3">
        <v>0</v>
      </c>
      <c r="E45" s="3">
        <v>0</v>
      </c>
      <c r="F45" s="3">
        <v>0</v>
      </c>
      <c r="G45" s="3">
        <v>0</v>
      </c>
      <c r="H45" s="3">
        <v>0</v>
      </c>
    </row>
    <row r="46">
      <c r="A46" s="0" t="s">
        <v>220</v>
      </c>
      <c r="B46" s="3">
        <v>0</v>
      </c>
      <c r="C46" s="3">
        <v>0</v>
      </c>
      <c r="D46" s="3">
        <v>0</v>
      </c>
      <c r="E46" s="3">
        <v>0</v>
      </c>
      <c r="F46" s="3">
        <v>0</v>
      </c>
      <c r="G46" s="3">
        <v>0</v>
      </c>
      <c r="H46" s="3">
        <v>0</v>
      </c>
    </row>
    <row r="47">
      <c r="A47" s="0" t="s">
        <v>221</v>
      </c>
      <c r="B47" s="3">
        <v>0</v>
      </c>
      <c r="C47" s="3">
        <v>0</v>
      </c>
      <c r="D47" s="3">
        <v>0</v>
      </c>
      <c r="E47" s="3">
        <v>0</v>
      </c>
      <c r="F47" s="3">
        <v>0</v>
      </c>
      <c r="G47" s="3">
        <v>0</v>
      </c>
      <c r="H47" s="3">
        <v>0</v>
      </c>
    </row>
    <row r="48">
      <c r="A48" s="0" t="s">
        <v>222</v>
      </c>
      <c r="B48" s="3">
        <v>0</v>
      </c>
      <c r="C48" s="3">
        <v>0</v>
      </c>
      <c r="D48" s="3">
        <v>0</v>
      </c>
      <c r="E48" s="3">
        <v>0</v>
      </c>
      <c r="F48" s="3">
        <v>0</v>
      </c>
      <c r="G48" s="3">
        <v>0</v>
      </c>
      <c r="H48" s="3">
        <v>0</v>
      </c>
    </row>
    <row r="49">
      <c r="A49" s="0" t="s">
        <v>223</v>
      </c>
      <c r="B49" s="3">
        <v>0</v>
      </c>
      <c r="C49" s="3">
        <v>0</v>
      </c>
      <c r="D49" s="3">
        <v>0</v>
      </c>
      <c r="E49" s="3">
        <v>0</v>
      </c>
      <c r="F49" s="3">
        <v>0</v>
      </c>
      <c r="G49" s="3">
        <v>0</v>
      </c>
      <c r="H49" s="3">
        <v>0</v>
      </c>
    </row>
    <row r="50">
      <c r="A50" s="0" t="s">
        <v>224</v>
      </c>
      <c r="B50" s="3">
        <v>0</v>
      </c>
      <c r="C50" s="3">
        <v>0</v>
      </c>
      <c r="D50" s="3">
        <v>0</v>
      </c>
      <c r="E50" s="3">
        <v>0</v>
      </c>
      <c r="F50" s="3">
        <v>0</v>
      </c>
      <c r="G50" s="3">
        <v>0</v>
      </c>
      <c r="H50" s="3">
        <v>0</v>
      </c>
    </row>
    <row r="51">
      <c r="A51" s="0" t="s">
        <v>225</v>
      </c>
      <c r="B51" s="3">
        <v>0</v>
      </c>
      <c r="C51" s="3">
        <v>0</v>
      </c>
      <c r="D51" s="3">
        <v>0</v>
      </c>
      <c r="E51" s="3">
        <v>0</v>
      </c>
      <c r="F51" s="3">
        <v>0</v>
      </c>
      <c r="G51" s="3">
        <v>1</v>
      </c>
      <c r="H51" s="3">
        <v>1</v>
      </c>
    </row>
    <row r="52">
      <c r="A52" s="0" t="s">
        <v>226</v>
      </c>
      <c r="B52" s="3">
        <v>0</v>
      </c>
      <c r="C52" s="3">
        <v>0</v>
      </c>
      <c r="D52" s="3">
        <v>0</v>
      </c>
      <c r="E52" s="3">
        <v>0</v>
      </c>
      <c r="F52" s="3">
        <f>pow_Pebble</f>
      </c>
      <c r="G52" s="3">
        <v>0</v>
      </c>
      <c r="H52" s="3">
        <v>0</v>
      </c>
    </row>
    <row r="53">
      <c r="A53" s="0" t="s">
        <v>227</v>
      </c>
      <c r="B53" s="11">
        <v>0</v>
      </c>
      <c r="C53" s="11">
        <v>0</v>
      </c>
      <c r="D53" s="11">
        <v>0</v>
      </c>
      <c r="E53" s="11">
        <v>0</v>
      </c>
      <c r="F53" s="11">
        <v>2</v>
      </c>
      <c r="G53" s="11">
        <v>0</v>
      </c>
      <c r="H53" s="11">
        <v>0</v>
      </c>
    </row>
    <row r="54">
      <c r="A54" s="1" t="s">
        <v>228</v>
      </c>
      <c r="B54" s="3">
        <f>B$32*pw_Damage+B$33+B$34*pw_Poison+B$35*pw_Heal+B$36*pw_Shield+B$37*pw_Block+B$38*pw_Parry+B$39*pw_Dodge+B$40*pw_Strength*pw_Horizon+B$41*pw_Weaken*pw_Horizon+B$42*pw_Vulnerable*pw_Horizon+B$43*pw_Frozen+B$44*pw_Rooted+B$45*pw_Taunt+B$46*pw_Stealth+B$47*pw_PoisonBlade*pw_Horizon+B$48*pw_DoubleNextAttack+B$49*pw_DoubleShield+B$50*pw_Draw+B$51*pw_Move+B$52*pw_Summon+MAX(0,B$31-1)*pw_Area</f>
      </c>
      <c r="C54" s="3">
        <f>C$32*pw_Damage+C$33+C$34*pw_Poison+C$35*pw_Heal+C$36*pw_Shield+C$37*pw_Block+C$38*pw_Parry+C$39*pw_Dodge+C$40*pw_Strength*pw_Horizon+C$41*pw_Weaken*pw_Horizon+C$42*pw_Vulnerable*pw_Horizon+C$43*pw_Frozen+C$44*pw_Rooted+C$45*pw_Taunt+C$46*pw_Stealth+C$47*pw_PoisonBlade*pw_Horizon+C$48*pw_DoubleNextAttack+C$49*pw_DoubleShield+C$50*pw_Draw+C$51*pw_Move+C$52*pw_Summon+MAX(0,C$31-1)*pw_Area</f>
      </c>
      <c r="D54" s="3">
        <f>D$32*pw_Damage+D$33+D$34*pw_Poison+D$35*pw_Heal+D$36*pw_Shield+D$37*pw_Block+D$38*pw_Parry+D$39*pw_Dodge+D$40*pw_Strength*pw_Horizon+D$41*pw_Weaken*pw_Horizon+D$42*pw_Vulnerable*pw_Horizon+D$43*pw_Frozen+D$44*pw_Rooted+D$45*pw_Taunt+D$46*pw_Stealth+D$47*pw_PoisonBlade*pw_Horizon+D$48*pw_DoubleNextAttack+D$49*pw_DoubleShield+D$50*pw_Draw+D$51*pw_Move+D$52*pw_Summon+MAX(0,D$31-1)*pw_Area</f>
      </c>
      <c r="E54" s="3">
        <f>E$32*pw_Damage+E$33+E$34*pw_Poison+E$35*pw_Heal+E$36*pw_Shield+E$37*pw_Block+E$38*pw_Parry+E$39*pw_Dodge+E$40*pw_Strength*pw_Horizon+E$41*pw_Weaken*pw_Horizon+E$42*pw_Vulnerable*pw_Horizon+E$43*pw_Frozen+E$44*pw_Rooted+E$45*pw_Taunt+E$46*pw_Stealth+E$47*pw_PoisonBlade*pw_Horizon+E$48*pw_DoubleNextAttack+E$49*pw_DoubleShield+E$50*pw_Draw+E$51*pw_Move+E$52*pw_Summon+MAX(0,E$31-1)*pw_Area</f>
      </c>
      <c r="F54" s="3">
        <f>F$32*pw_Damage+F$33+F$34*pw_Poison+F$35*pw_Heal+F$36*pw_Shield+F$37*pw_Block+F$38*pw_Parry+F$39*pw_Dodge+F$40*pw_Strength*pw_Horizon+F$41*pw_Weaken*pw_Horizon+F$42*pw_Vulnerable*pw_Horizon+F$43*pw_Frozen+F$44*pw_Rooted+F$45*pw_Taunt+F$46*pw_Stealth+F$47*pw_PoisonBlade*pw_Horizon+F$48*pw_DoubleNextAttack+F$49*pw_DoubleShield+F$50*pw_Draw+F$51*pw_Move+F$52*pw_Summon+MAX(0,F$31-1)*pw_Area</f>
      </c>
      <c r="G54" s="3">
        <f>G$32*pw_Damage+G$33+G$34*pw_Poison+G$35*pw_Heal+G$36*pw_Shield+G$37*pw_Block+G$38*pw_Parry+G$39*pw_Dodge+G$40*pw_Strength*pw_Horizon+G$41*pw_Weaken*pw_Horizon+G$42*pw_Vulnerable*pw_Horizon+G$43*pw_Frozen+G$44*pw_Rooted+G$45*pw_Taunt+G$46*pw_Stealth+G$47*pw_PoisonBlade*pw_Horizon+G$48*pw_DoubleNextAttack+G$49*pw_DoubleShield+G$50*pw_Draw+G$51*pw_Move+G$52*pw_Summon+MAX(0,G$31-1)*pw_Area</f>
      </c>
      <c r="H54" s="3">
        <f>H$32*pw_Damage+H$33+H$34*pw_Poison+H$35*pw_Heal+H$36*pw_Shield+H$37*pw_Block+H$38*pw_Parry+H$39*pw_Dodge+H$40*pw_Strength*pw_Horizon+H$41*pw_Weaken*pw_Horizon+H$42*pw_Vulnerable*pw_Horizon+H$43*pw_Frozen+H$44*pw_Rooted+H$45*pw_Taunt+H$46*pw_Stealth+H$47*pw_PoisonBlade*pw_Horizon+H$48*pw_DoubleNextAttack+H$49*pw_DoubleShield+H$50*pw_Draw+H$51*pw_Move+H$52*pw_Summon+MAX(0,H$31-1)*pw_Area</f>
      </c>
    </row>
    <row r="55">
      <c r="A55" s="0" t="s">
        <v>229</v>
      </c>
      <c r="B55" s="3">
        <f>B$54-B$32*pw_Damage-B$33-B$52*pw_Summon</f>
      </c>
      <c r="C55" s="3">
        <f>C$54-C$32*pw_Damage-C$33-C$52*pw_Summon</f>
      </c>
      <c r="D55" s="3">
        <f>D$54-D$32*pw_Damage-D$33-D$52*pw_Summon</f>
      </c>
      <c r="E55" s="3">
        <f>E$54-E$32*pw_Damage-E$33-E$52*pw_Summon</f>
      </c>
      <c r="F55" s="3">
        <f>F$54-F$32*pw_Damage-F$33-F$52*pw_Summon</f>
      </c>
      <c r="G55" s="3">
        <f>G$54-G$32*pw_Damage-G$33-G$52*pw_Summon</f>
      </c>
      <c r="H55" s="3">
        <f>H$54-H$32*pw_Damage-H$33-H$52*pw_Summon</f>
      </c>
    </row>
    <row r="57">
      <c r="A57" s="1" t="s">
        <v>230</v>
      </c>
      <c r="B57" s="4"/>
    </row>
  </sheetData>
  <dataValidations count="11">
    <dataValidation type="list" sqref="B10" showErrorMessage="0" allowBlank="1">
      <formula1>=list_Brain</formula1>
    </dataValidation>
    <dataValidation type="list" sqref="B11" showErrorMessage="0" allowBlank="1">
      <formula1>=list_Targeting</formula1>
    </dataValidation>
    <dataValidation type="list" sqref="B12" showErrorMessage="0" allowBlank="1">
      <formula1>=list_Loot</formula1>
    </dataValidation>
    <dataValidation type="list" sqref="B13" showErrorMessage="0" allowBlank="1">
      <formula1>=list_Role</formula1>
    </dataValidation>
    <dataValidation type="list" sqref="B24" showErrorMessage="0" allowBlank="1">
      <formula1>=list_EnemyCard</formula1>
    </dataValidation>
    <dataValidation type="list" sqref="C24" showErrorMessage="0" allowBlank="1">
      <formula1>=list_EnemyCard</formula1>
    </dataValidation>
    <dataValidation type="list" sqref="D24" showErrorMessage="0" allowBlank="1">
      <formula1>=list_EnemyCard</formula1>
    </dataValidation>
    <dataValidation type="list" sqref="E24" showErrorMessage="0" allowBlank="1">
      <formula1>=list_EnemyCard</formula1>
    </dataValidation>
    <dataValidation type="list" sqref="F24" showErrorMessage="0" allowBlank="1">
      <formula1>=list_EnemyCard</formula1>
    </dataValidation>
    <dataValidation type="list" sqref="G24" showErrorMessage="0" allowBlank="1">
      <formula1>=list_EnemyCard</formula1>
    </dataValidation>
    <dataValidation type="list" sqref="H24" showErrorMessage="0" allowBlank="1">
      <formula1>=list_EnemyCard</formula1>
    </dataValidation>
  </dataValidations>
  <headerFooter/>
</worksheet>
</file>

<file path=xl/worksheets/sheet12.xml><?xml version="1.0" encoding="utf-8"?>
<worksheet xmlns:r="http://schemas.openxmlformats.org/officeDocument/2006/relationships" xmlns="http://schemas.openxmlformats.org/spreadsheetml/2006/main">
  <dimension ref="A1:Q9"/>
  <sheetViews>
    <sheetView workbookViewId="0" tabSelected="0">
      <pane xSplit="1" ySplit="1" topLeftCell="B2" state="frozen" activePane="bottomRight"/>
      <selection pane="topRight" activeCell="B1" sqref="B1"/>
      <selection pane="bottomLeft" activeCell="A2" sqref="A2"/>
      <selection pane="bottomRight" activeCell="A1" sqref="A1"/>
    </sheetView>
  </sheetViews>
  <sheetFormatPr defaultRowHeight="15"/>
  <cols>
    <col min="1" max="1" width="22" customWidth="1"/>
    <col min="7" max="7" width="18" customWidth="1"/>
  </cols>
  <sheetData>
    <row r="1">
      <c r="A1" s="1" t="s">
        <v>256</v>
      </c>
      <c r="B1" s="1" t="s">
        <v>179</v>
      </c>
      <c r="C1" s="1" t="s">
        <v>76</v>
      </c>
      <c r="D1" s="1" t="s">
        <v>186</v>
      </c>
      <c r="E1" s="1" t="s">
        <v>257</v>
      </c>
      <c r="F1" s="1" t="s">
        <v>73</v>
      </c>
      <c r="G1" s="1" t="s">
        <v>74</v>
      </c>
      <c r="H1" s="1" t="s">
        <v>258</v>
      </c>
      <c r="I1" s="1" t="s">
        <v>259</v>
      </c>
      <c r="J1" s="1" t="s">
        <v>260</v>
      </c>
      <c r="K1" s="1" t="s">
        <v>261</v>
      </c>
      <c r="L1" s="1" t="s">
        <v>262</v>
      </c>
      <c r="M1" s="1" t="s">
        <v>263</v>
      </c>
      <c r="N1" s="1" t="s">
        <v>264</v>
      </c>
      <c r="O1" s="1" t="s">
        <v>265</v>
      </c>
      <c r="P1" s="1" t="s">
        <v>266</v>
      </c>
      <c r="Q1" s="1" t="s">
        <v>267</v>
      </c>
    </row>
    <row r="2">
      <c r="A2" s="0" t="s">
        <v>178</v>
      </c>
      <c r="B2" s="0" t="s">
        <v>82</v>
      </c>
      <c r="C2" s="0">
        <f>'BlackKnight'!B13</f>
      </c>
      <c r="D2" s="0">
        <f>'BlackKnight'!B8</f>
      </c>
      <c r="E2" s="0">
        <f>'BlackKnight'!B9</f>
      </c>
      <c r="F2" s="0">
        <f>'BlackKnight'!B10</f>
      </c>
      <c r="G2" s="0">
        <f>'BlackKnight'!B11</f>
      </c>
      <c r="H2" s="0">
        <v>5</v>
      </c>
      <c r="I2" s="3">
        <f>'BlackKnight'!B20</f>
      </c>
      <c r="J2" s="3">
        <f>'BlackKnight'!B21</f>
      </c>
      <c r="K2" s="3">
        <f>'BlackKnight'!B22</f>
      </c>
      <c r="L2" s="3">
        <f>'BlackKnight'!B19</f>
      </c>
      <c r="M2" s="3">
        <f>'BlackKnight'!B16</f>
      </c>
      <c r="N2" s="3">
        <f>'BlackKnight'!B15</f>
      </c>
      <c r="O2" s="3">
        <f>IF(N2="",M2,N2)</f>
      </c>
      <c r="P2" s="3">
        <f>'BlackKnight'!B17</f>
      </c>
      <c r="Q2" s="0">
        <f>IF(P2="","",IF(ABS(P2)&lt;=M2*pw_Tolerance,"OK",IF(P2&gt;0,"OVER","UNDER")))</f>
      </c>
    </row>
    <row r="3">
      <c r="A3" s="0" t="s">
        <v>170</v>
      </c>
      <c r="B3" s="0" t="s">
        <v>82</v>
      </c>
      <c r="C3" s="0">
        <f>'EvilKing'!B13</f>
      </c>
      <c r="D3" s="0">
        <f>'EvilKing'!B8</f>
      </c>
      <c r="E3" s="0">
        <f>'EvilKing'!B9</f>
      </c>
      <c r="F3" s="0">
        <f>'EvilKing'!B10</f>
      </c>
      <c r="G3" s="0">
        <f>'EvilKing'!B11</f>
      </c>
      <c r="H3" s="0">
        <v>7</v>
      </c>
      <c r="I3" s="3">
        <f>'EvilKing'!B20</f>
      </c>
      <c r="J3" s="3">
        <f>'EvilKing'!B21</f>
      </c>
      <c r="K3" s="3">
        <f>'EvilKing'!B22</f>
      </c>
      <c r="L3" s="3">
        <f>'EvilKing'!B19</f>
      </c>
      <c r="M3" s="3">
        <f>'EvilKing'!B16</f>
      </c>
      <c r="N3" s="3">
        <f>'EvilKing'!B15</f>
      </c>
      <c r="O3" s="3">
        <f>IF(N3="",M3,N3)</f>
      </c>
      <c r="P3" s="3">
        <f>'EvilKing'!B17</f>
      </c>
      <c r="Q3" s="0">
        <f>IF(P3="","",IF(ABS(P3)&lt;=M3*pw_Tolerance,"OK",IF(P3&gt;0,"OVER","UNDER")))</f>
      </c>
    </row>
    <row r="4">
      <c r="A4" s="0" t="s">
        <v>168</v>
      </c>
      <c r="B4" s="0" t="s">
        <v>82</v>
      </c>
      <c r="C4" s="0">
        <f>'EvilKnight'!B13</f>
      </c>
      <c r="D4" s="0">
        <f>'EvilKnight'!B8</f>
      </c>
      <c r="E4" s="0">
        <f>'EvilKnight'!B9</f>
      </c>
      <c r="F4" s="0">
        <f>'EvilKnight'!B10</f>
      </c>
      <c r="G4" s="0">
        <f>'EvilKnight'!B11</f>
      </c>
      <c r="H4" s="0">
        <v>7</v>
      </c>
      <c r="I4" s="3">
        <f>'EvilKnight'!B20</f>
      </c>
      <c r="J4" s="3">
        <f>'EvilKnight'!B21</f>
      </c>
      <c r="K4" s="3">
        <f>'EvilKnight'!B22</f>
      </c>
      <c r="L4" s="3">
        <f>'EvilKnight'!B19</f>
      </c>
      <c r="M4" s="3">
        <f>'EvilKnight'!B16</f>
      </c>
      <c r="N4" s="3">
        <f>'EvilKnight'!B15</f>
      </c>
      <c r="O4" s="3">
        <f>IF(N4="",M4,N4)</f>
      </c>
      <c r="P4" s="3">
        <f>'EvilKnight'!B17</f>
      </c>
      <c r="Q4" s="0">
        <f>IF(P4="","",IF(ABS(P4)&lt;=M4*pw_Tolerance,"OK",IF(P4&gt;0,"OVER","UNDER")))</f>
      </c>
    </row>
    <row r="5">
      <c r="A5" s="0" t="s">
        <v>166</v>
      </c>
      <c r="B5" s="0" t="s">
        <v>82</v>
      </c>
      <c r="C5" s="0">
        <f>'EvilWizard'!B13</f>
      </c>
      <c r="D5" s="0">
        <f>'EvilWizard'!B8</f>
      </c>
      <c r="E5" s="0">
        <f>'EvilWizard'!B9</f>
      </c>
      <c r="F5" s="0">
        <f>'EvilWizard'!B10</f>
      </c>
      <c r="G5" s="0">
        <f>'EvilWizard'!B11</f>
      </c>
      <c r="H5" s="0">
        <v>7</v>
      </c>
      <c r="I5" s="3">
        <f>'EvilWizard'!B20</f>
      </c>
      <c r="J5" s="3">
        <f>'EvilWizard'!B21</f>
      </c>
      <c r="K5" s="3">
        <f>'EvilWizard'!B22</f>
      </c>
      <c r="L5" s="3">
        <f>'EvilWizard'!B19</f>
      </c>
      <c r="M5" s="3">
        <f>'EvilWizard'!B16</f>
      </c>
      <c r="N5" s="3">
        <f>'EvilWizard'!B15</f>
      </c>
      <c r="O5" s="3">
        <f>IF(N5="",M5,N5)</f>
      </c>
      <c r="P5" s="3">
        <f>'EvilWizard'!B17</f>
      </c>
      <c r="Q5" s="0">
        <f>IF(P5="","",IF(ABS(P5)&lt;=M5*pw_Tolerance,"OK",IF(P5&gt;0,"OVER","UNDER")))</f>
      </c>
    </row>
    <row r="6">
      <c r="A6" s="0" t="s">
        <v>164</v>
      </c>
      <c r="B6" s="0" t="s">
        <v>82</v>
      </c>
      <c r="C6" s="0">
        <f>'EvilWizard2'!B13</f>
      </c>
      <c r="D6" s="0">
        <f>'EvilWizard2'!B8</f>
      </c>
      <c r="E6" s="0">
        <f>'EvilWizard2'!B9</f>
      </c>
      <c r="F6" s="0">
        <f>'EvilWizard2'!B10</f>
      </c>
      <c r="G6" s="0">
        <f>'EvilWizard2'!B11</f>
      </c>
      <c r="H6" s="0">
        <v>7</v>
      </c>
      <c r="I6" s="3">
        <f>'EvilWizard2'!B20</f>
      </c>
      <c r="J6" s="3">
        <f>'EvilWizard2'!B21</f>
      </c>
      <c r="K6" s="3">
        <f>'EvilWizard2'!B22</f>
      </c>
      <c r="L6" s="3">
        <f>'EvilWizard2'!B19</f>
      </c>
      <c r="M6" s="3">
        <f>'EvilWizard2'!B16</f>
      </c>
      <c r="N6" s="3">
        <f>'EvilWizard2'!B15</f>
      </c>
      <c r="O6" s="3">
        <f>IF(N6="",M6,N6)</f>
      </c>
      <c r="P6" s="3">
        <f>'EvilWizard2'!B17</f>
      </c>
      <c r="Q6" s="0">
        <f>IF(P6="","",IF(ABS(P6)&lt;=M6*pw_Tolerance,"OK",IF(P6&gt;0,"OVER","UNDER")))</f>
      </c>
    </row>
    <row r="7">
      <c r="A7" s="0" t="s">
        <v>176</v>
      </c>
      <c r="B7" s="0" t="s">
        <v>82</v>
      </c>
      <c r="C7" s="0">
        <f>'EvilWizard3'!B13</f>
      </c>
      <c r="D7" s="0">
        <f>'EvilWizard3'!B8</f>
      </c>
      <c r="E7" s="0">
        <f>'EvilWizard3'!B9</f>
      </c>
      <c r="F7" s="0">
        <f>'EvilWizard3'!B10</f>
      </c>
      <c r="G7" s="0">
        <f>'EvilWizard3'!B11</f>
      </c>
      <c r="H7" s="0">
        <v>7</v>
      </c>
      <c r="I7" s="3">
        <f>'EvilWizard3'!B20</f>
      </c>
      <c r="J7" s="3">
        <f>'EvilWizard3'!B21</f>
      </c>
      <c r="K7" s="3">
        <f>'EvilWizard3'!B22</f>
      </c>
      <c r="L7" s="3">
        <f>'EvilWizard3'!B19</f>
      </c>
      <c r="M7" s="3">
        <f>'EvilWizard3'!B16</f>
      </c>
      <c r="N7" s="3">
        <f>'EvilWizard3'!B15</f>
      </c>
      <c r="O7" s="3">
        <f>IF(N7="",M7,N7)</f>
      </c>
      <c r="P7" s="3">
        <f>'EvilWizard3'!B17</f>
      </c>
      <c r="Q7" s="0">
        <f>IF(P7="","",IF(ABS(P7)&lt;=M7*pw_Tolerance,"OK",IF(P7&gt;0,"OVER","UNDER")))</f>
      </c>
    </row>
    <row r="8">
      <c r="A8" s="0" t="s">
        <v>249</v>
      </c>
      <c r="B8" s="0" t="s">
        <v>82</v>
      </c>
      <c r="C8" s="0">
        <f>'Reaper'!B13</f>
      </c>
      <c r="D8" s="0">
        <f>'Reaper'!B8</f>
      </c>
      <c r="E8" s="0">
        <f>'Reaper'!B9</f>
      </c>
      <c r="F8" s="0">
        <f>'Reaper'!B10</f>
      </c>
      <c r="G8" s="0">
        <f>'Reaper'!B11</f>
      </c>
      <c r="H8" s="0">
        <v>7</v>
      </c>
      <c r="I8" s="3">
        <f>'Reaper'!B20</f>
      </c>
      <c r="J8" s="3">
        <f>'Reaper'!B21</f>
      </c>
      <c r="K8" s="3">
        <f>'Reaper'!B22</f>
      </c>
      <c r="L8" s="3">
        <f>'Reaper'!B19</f>
      </c>
      <c r="M8" s="3">
        <f>'Reaper'!B16</f>
      </c>
      <c r="N8" s="3">
        <f>'Reaper'!B15</f>
      </c>
      <c r="O8" s="3">
        <f>IF(N8="",M8,N8)</f>
      </c>
      <c r="P8" s="3">
        <f>'Reaper'!B17</f>
      </c>
      <c r="Q8" s="0">
        <f>IF(P8="","",IF(ABS(P8)&lt;=M8*pw_Tolerance,"OK",IF(P8&gt;0,"OVER","UNDER")))</f>
      </c>
    </row>
    <row r="9">
      <c r="A9" s="0" t="s">
        <v>172</v>
      </c>
      <c r="B9" s="0" t="s">
        <v>82</v>
      </c>
      <c r="C9" s="0">
        <f>'ReinforcedGolem'!B13</f>
      </c>
      <c r="D9" s="0">
        <f>'ReinforcedGolem'!B8</f>
      </c>
      <c r="E9" s="0">
        <f>'ReinforcedGolem'!B9</f>
      </c>
      <c r="F9" s="0">
        <f>'ReinforcedGolem'!B10</f>
      </c>
      <c r="G9" s="0">
        <f>'ReinforcedGolem'!B11</f>
      </c>
      <c r="H9" s="0">
        <v>7</v>
      </c>
      <c r="I9" s="3">
        <f>'ReinforcedGolem'!B20</f>
      </c>
      <c r="J9" s="3">
        <f>'ReinforcedGolem'!B21</f>
      </c>
      <c r="K9" s="3">
        <f>'ReinforcedGolem'!B22</f>
      </c>
      <c r="L9" s="3">
        <f>'ReinforcedGolem'!B19</f>
      </c>
      <c r="M9" s="3">
        <f>'ReinforcedGolem'!B16</f>
      </c>
      <c r="N9" s="3">
        <f>'ReinforcedGolem'!B15</f>
      </c>
      <c r="O9" s="3">
        <f>IF(N9="",M9,N9)</f>
      </c>
      <c r="P9" s="3">
        <f>'ReinforcedGolem'!B17</f>
      </c>
      <c r="Q9" s="0">
        <f>IF(P9="","",IF(ABS(P9)&lt;=M9*pw_Tolerance,"OK",IF(P9&gt;0,"OVER","UNDER")))</f>
      </c>
    </row>
  </sheetData>
  <autoFilter ref="A1:Q9"/>
  <conditionalFormatting sqref="Q2:Q9">
    <cfRule priority="1" type="cellIs" operator="equal" dxfId="0">
      <formula>"OVER"</formula>
    </cfRule>
    <cfRule priority="2" type="cellIs" operator="equal" dxfId="1">
      <formula>"UNDER"</formula>
    </cfRule>
    <cfRule priority="3" type="cellIs" operator="equal" dxfId="2">
      <formula>"OK"</formula>
    </cfRule>
  </conditionalFormatting>
  <headerFooter/>
</worksheet>
</file>

<file path=xl/worksheets/sheet13.xml><?xml version="1.0" encoding="utf-8"?>
<worksheet xmlns:r="http://schemas.openxmlformats.org/officeDocument/2006/relationships" xmlns="http://schemas.openxmlformats.org/spreadsheetml/2006/main">
  <dimension ref="A1:B28"/>
  <sheetViews>
    <sheetView workbookViewId="0" tabSelected="0"/>
  </sheetViews>
  <sheetFormatPr defaultRowHeight="15"/>
  <cols>
    <col min="1" max="1" width="28" customWidth="1"/>
    <col min="2" max="2" width="110" customWidth="1" style="4"/>
  </cols>
  <sheetData>
    <row r="1">
      <c r="A1" s="12" t="s">
        <v>268</v>
      </c>
    </row>
    <row r="2">
      <c r="A2" s="0" t="s">
        <v>81</v>
      </c>
    </row>
    <row r="3">
      <c r="A3" s="0" t="s">
        <v>269</v>
      </c>
    </row>
    <row r="4">
      <c r="A4" s="0" t="s">
        <v>81</v>
      </c>
    </row>
    <row r="5">
      <c r="A5" s="13" t="s">
        <v>270</v>
      </c>
    </row>
    <row r="6">
      <c r="A6" s="1" t="s">
        <v>271</v>
      </c>
      <c r="B6" s="4" t="s">
        <v>272</v>
      </c>
    </row>
    <row r="7">
      <c r="A7" s="1" t="s">
        <v>273</v>
      </c>
      <c r="B7" s="4" t="s">
        <v>274</v>
      </c>
    </row>
    <row r="8">
      <c r="A8" s="1" t="s">
        <v>275</v>
      </c>
      <c r="B8" s="4" t="s">
        <v>276</v>
      </c>
    </row>
    <row r="9">
      <c r="A9" s="1" t="s">
        <v>277</v>
      </c>
      <c r="B9" s="4" t="s">
        <v>278</v>
      </c>
    </row>
    <row r="10">
      <c r="A10" s="1" t="s">
        <v>279</v>
      </c>
      <c r="B10" s="4" t="s">
        <v>280</v>
      </c>
    </row>
    <row r="11">
      <c r="A11" s="1" t="s">
        <v>281</v>
      </c>
      <c r="B11" s="4" t="s">
        <v>282</v>
      </c>
    </row>
    <row r="12">
      <c r="A12" s="0" t="s">
        <v>81</v>
      </c>
    </row>
    <row r="13">
      <c r="A13" s="13" t="s">
        <v>283</v>
      </c>
    </row>
    <row r="14">
      <c r="A14" s="1" t="s">
        <v>189</v>
      </c>
      <c r="B14" s="4" t="s">
        <v>284</v>
      </c>
    </row>
    <row r="15">
      <c r="A15" s="1" t="s">
        <v>190</v>
      </c>
      <c r="B15" s="4" t="s">
        <v>285</v>
      </c>
    </row>
    <row r="16">
      <c r="A16" s="1" t="s">
        <v>76</v>
      </c>
      <c r="B16" s="4" t="s">
        <v>286</v>
      </c>
    </row>
    <row r="17">
      <c r="A17" s="1" t="s">
        <v>202</v>
      </c>
      <c r="B17" s="4" t="s">
        <v>287</v>
      </c>
    </row>
    <row r="18">
      <c r="A18" s="1" t="s">
        <v>226</v>
      </c>
      <c r="B18" s="4" t="s">
        <v>288</v>
      </c>
    </row>
    <row r="19">
      <c r="A19" s="0" t="s">
        <v>81</v>
      </c>
    </row>
    <row r="20">
      <c r="A20" s="13" t="s">
        <v>289</v>
      </c>
    </row>
    <row r="21">
      <c r="A21" s="1" t="s">
        <v>290</v>
      </c>
      <c r="B21" s="4" t="s">
        <v>291</v>
      </c>
    </row>
    <row r="22">
      <c r="A22" s="1" t="s">
        <v>196</v>
      </c>
      <c r="B22" s="4" t="s">
        <v>292</v>
      </c>
    </row>
    <row r="23">
      <c r="A23" s="1" t="s">
        <v>293</v>
      </c>
      <c r="B23" s="4" t="s">
        <v>294</v>
      </c>
    </row>
    <row r="24">
      <c r="A24" s="1" t="s">
        <v>295</v>
      </c>
      <c r="B24" s="4" t="s">
        <v>296</v>
      </c>
    </row>
    <row r="25">
      <c r="A25" s="1" t="s">
        <v>297</v>
      </c>
      <c r="B25" s="4" t="s">
        <v>298</v>
      </c>
    </row>
    <row r="26">
      <c r="A26" s="1" t="s">
        <v>299</v>
      </c>
      <c r="B26" s="4" t="s">
        <v>300</v>
      </c>
    </row>
    <row r="27">
      <c r="A27" s="1" t="s">
        <v>301</v>
      </c>
      <c r="B27" s="4" t="s">
        <v>302</v>
      </c>
    </row>
    <row r="28">
      <c r="A28" s="1" t="s">
        <v>303</v>
      </c>
      <c r="B28" s="4" t="s">
        <v>304</v>
      </c>
    </row>
  </sheetData>
  <headerFooter/>
</worksheet>
</file>